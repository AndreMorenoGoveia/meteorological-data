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35" windowWidth="19155" windowHeight="9285"/>
  </bookViews>
  <sheets>
    <sheet name="janeiro" sheetId="1" r:id="rId1"/>
    <sheet name="fevereiro" sheetId="2" r:id="rId2"/>
    <sheet name="marc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</sheets>
  <externalReferences>
    <externalReference r:id="rId13"/>
  </externalReferences>
  <calcPr calcId="125725"/>
</workbook>
</file>

<file path=xl/calcChain.xml><?xml version="1.0" encoding="utf-8"?>
<calcChain xmlns="http://schemas.openxmlformats.org/spreadsheetml/2006/main">
  <c r="U40" i="12"/>
  <c r="T40"/>
  <c r="S40"/>
  <c r="R40"/>
  <c r="Q40"/>
  <c r="P40"/>
  <c r="X40" s="1"/>
  <c r="O40"/>
  <c r="N40"/>
  <c r="M40"/>
  <c r="L40"/>
  <c r="K40"/>
  <c r="J40"/>
  <c r="W40" s="1"/>
  <c r="Y40" s="1"/>
  <c r="I40"/>
  <c r="Z39"/>
  <c r="AA39" s="1"/>
  <c r="Y39"/>
  <c r="X39"/>
  <c r="W39"/>
  <c r="G39"/>
  <c r="D39"/>
  <c r="E39" s="1"/>
  <c r="C39"/>
  <c r="Z38"/>
  <c r="X38"/>
  <c r="W38"/>
  <c r="Y38" s="1"/>
  <c r="AA38" s="1"/>
  <c r="G38"/>
  <c r="H38" s="1"/>
  <c r="F38"/>
  <c r="E38"/>
  <c r="D38"/>
  <c r="C38"/>
  <c r="Z37"/>
  <c r="X37"/>
  <c r="Y37" s="1"/>
  <c r="AA37" s="1"/>
  <c r="W37"/>
  <c r="G37"/>
  <c r="C37"/>
  <c r="D37" s="1"/>
  <c r="AA36"/>
  <c r="Z36"/>
  <c r="Y36"/>
  <c r="X36"/>
  <c r="W36"/>
  <c r="G36"/>
  <c r="C36"/>
  <c r="D36" s="1"/>
  <c r="Z35"/>
  <c r="Y35"/>
  <c r="AA35" s="1"/>
  <c r="X35"/>
  <c r="W35"/>
  <c r="H35"/>
  <c r="G35"/>
  <c r="F35"/>
  <c r="E35"/>
  <c r="D35"/>
  <c r="C35"/>
  <c r="Z34"/>
  <c r="Y34"/>
  <c r="AA34" s="1"/>
  <c r="X34"/>
  <c r="W34"/>
  <c r="G34"/>
  <c r="C34"/>
  <c r="D34" s="1"/>
  <c r="AA33"/>
  <c r="Z33"/>
  <c r="Y33"/>
  <c r="X33"/>
  <c r="W33"/>
  <c r="H33"/>
  <c r="G33"/>
  <c r="F33"/>
  <c r="E33"/>
  <c r="D33"/>
  <c r="C33"/>
  <c r="Z32"/>
  <c r="X32"/>
  <c r="W32"/>
  <c r="Y32" s="1"/>
  <c r="AA32" s="1"/>
  <c r="G32"/>
  <c r="C32"/>
  <c r="D32" s="1"/>
  <c r="Z31"/>
  <c r="X31"/>
  <c r="Y31" s="1"/>
  <c r="AA31" s="1"/>
  <c r="W31"/>
  <c r="G31"/>
  <c r="D31"/>
  <c r="E31" s="1"/>
  <c r="C31"/>
  <c r="Z30"/>
  <c r="X30"/>
  <c r="W30"/>
  <c r="Y30" s="1"/>
  <c r="AA30" s="1"/>
  <c r="G30"/>
  <c r="C30"/>
  <c r="D30" s="1"/>
  <c r="Z29"/>
  <c r="X29"/>
  <c r="Y29" s="1"/>
  <c r="AA29" s="1"/>
  <c r="W29"/>
  <c r="G29"/>
  <c r="C29"/>
  <c r="D29" s="1"/>
  <c r="AA28"/>
  <c r="Z28"/>
  <c r="Y28"/>
  <c r="X28"/>
  <c r="W28"/>
  <c r="G28"/>
  <c r="C28"/>
  <c r="D28" s="1"/>
  <c r="Z27"/>
  <c r="X27"/>
  <c r="W27"/>
  <c r="Y27" s="1"/>
  <c r="AA27" s="1"/>
  <c r="G27"/>
  <c r="C27"/>
  <c r="D27" s="1"/>
  <c r="Z26"/>
  <c r="Y26"/>
  <c r="AA26" s="1"/>
  <c r="X26"/>
  <c r="W26"/>
  <c r="G26"/>
  <c r="C26"/>
  <c r="D26" s="1"/>
  <c r="Z25"/>
  <c r="X25"/>
  <c r="W25"/>
  <c r="Y25" s="1"/>
  <c r="AA25" s="1"/>
  <c r="G25"/>
  <c r="F25"/>
  <c r="H25" s="1"/>
  <c r="D25"/>
  <c r="E25" s="1"/>
  <c r="C25"/>
  <c r="Z24"/>
  <c r="X24"/>
  <c r="W24"/>
  <c r="Y24" s="1"/>
  <c r="AA24" s="1"/>
  <c r="G24"/>
  <c r="D24"/>
  <c r="E24" s="1"/>
  <c r="C24"/>
  <c r="Z23"/>
  <c r="X23"/>
  <c r="Y23" s="1"/>
  <c r="AA23" s="1"/>
  <c r="W23"/>
  <c r="G23"/>
  <c r="D23"/>
  <c r="E23" s="1"/>
  <c r="C23"/>
  <c r="Z22"/>
  <c r="X22"/>
  <c r="Y22" s="1"/>
  <c r="AA22" s="1"/>
  <c r="W22"/>
  <c r="G22"/>
  <c r="H22" s="1"/>
  <c r="F22"/>
  <c r="E22"/>
  <c r="D22"/>
  <c r="C22"/>
  <c r="Z21"/>
  <c r="X21"/>
  <c r="Y21" s="1"/>
  <c r="AA21" s="1"/>
  <c r="W21"/>
  <c r="G21"/>
  <c r="C21"/>
  <c r="D21" s="1"/>
  <c r="AA20"/>
  <c r="Z20"/>
  <c r="Y20"/>
  <c r="X20"/>
  <c r="W20"/>
  <c r="G20"/>
  <c r="C20"/>
  <c r="D20" s="1"/>
  <c r="Z19"/>
  <c r="Y19"/>
  <c r="AA19" s="1"/>
  <c r="X19"/>
  <c r="W19"/>
  <c r="G19"/>
  <c r="C19"/>
  <c r="D19" s="1"/>
  <c r="Z18"/>
  <c r="Y18"/>
  <c r="AA18" s="1"/>
  <c r="X18"/>
  <c r="W18"/>
  <c r="G18"/>
  <c r="C18"/>
  <c r="D18" s="1"/>
  <c r="Z17"/>
  <c r="AA17" s="1"/>
  <c r="Y17"/>
  <c r="X17"/>
  <c r="W17"/>
  <c r="H17"/>
  <c r="G17"/>
  <c r="F17"/>
  <c r="E17"/>
  <c r="D17"/>
  <c r="C17"/>
  <c r="Z16"/>
  <c r="X16"/>
  <c r="W16"/>
  <c r="Y16" s="1"/>
  <c r="AA16" s="1"/>
  <c r="G16"/>
  <c r="C16"/>
  <c r="D16" s="1"/>
  <c r="Z15"/>
  <c r="X15"/>
  <c r="Y15" s="1"/>
  <c r="AA15" s="1"/>
  <c r="W15"/>
  <c r="G15"/>
  <c r="D15"/>
  <c r="E15" s="1"/>
  <c r="C15"/>
  <c r="Z14"/>
  <c r="X14"/>
  <c r="W14"/>
  <c r="Y14" s="1"/>
  <c r="AA14" s="1"/>
  <c r="G14"/>
  <c r="C14"/>
  <c r="D14" s="1"/>
  <c r="Z13"/>
  <c r="X13"/>
  <c r="Y13" s="1"/>
  <c r="AA13" s="1"/>
  <c r="W13"/>
  <c r="G13"/>
  <c r="C13"/>
  <c r="D13" s="1"/>
  <c r="AA12"/>
  <c r="Z12"/>
  <c r="Y12"/>
  <c r="X12"/>
  <c r="W12"/>
  <c r="H12"/>
  <c r="G12"/>
  <c r="F12"/>
  <c r="E12"/>
  <c r="D12"/>
  <c r="C12"/>
  <c r="Z11"/>
  <c r="X11"/>
  <c r="W11"/>
  <c r="Y11" s="1"/>
  <c r="AA11" s="1"/>
  <c r="G11"/>
  <c r="C11"/>
  <c r="D11" s="1"/>
  <c r="Z10"/>
  <c r="Y10"/>
  <c r="AA10" s="1"/>
  <c r="X10"/>
  <c r="W10"/>
  <c r="G10"/>
  <c r="C10"/>
  <c r="D10" s="1"/>
  <c r="Z9"/>
  <c r="Z40" s="1"/>
  <c r="X9"/>
  <c r="W9"/>
  <c r="Y9" s="1"/>
  <c r="AA9" s="1"/>
  <c r="G9"/>
  <c r="F9"/>
  <c r="H9" s="1"/>
  <c r="D9"/>
  <c r="E9" s="1"/>
  <c r="C9"/>
  <c r="V40" i="11"/>
  <c r="U40"/>
  <c r="T40"/>
  <c r="S40"/>
  <c r="R40"/>
  <c r="Q40"/>
  <c r="P40"/>
  <c r="O40"/>
  <c r="N40"/>
  <c r="M40"/>
  <c r="L40"/>
  <c r="K40"/>
  <c r="J40"/>
  <c r="I40"/>
  <c r="Z38"/>
  <c r="X38"/>
  <c r="Y38" s="1"/>
  <c r="AA38" s="1"/>
  <c r="W38"/>
  <c r="G38"/>
  <c r="D38"/>
  <c r="E38" s="1"/>
  <c r="C38"/>
  <c r="Z37"/>
  <c r="X37"/>
  <c r="W37"/>
  <c r="Y37" s="1"/>
  <c r="AA37" s="1"/>
  <c r="G37"/>
  <c r="C37"/>
  <c r="D37" s="1"/>
  <c r="Z36"/>
  <c r="X36"/>
  <c r="Y36" s="1"/>
  <c r="AA36" s="1"/>
  <c r="W36"/>
  <c r="G36"/>
  <c r="C36"/>
  <c r="D36" s="1"/>
  <c r="AA35"/>
  <c r="Z35"/>
  <c r="Y35"/>
  <c r="X35"/>
  <c r="W35"/>
  <c r="H35"/>
  <c r="G35"/>
  <c r="F35"/>
  <c r="E35"/>
  <c r="D35"/>
  <c r="C35"/>
  <c r="Z34"/>
  <c r="X34"/>
  <c r="W34"/>
  <c r="Y34" s="1"/>
  <c r="AA34" s="1"/>
  <c r="G34"/>
  <c r="C34"/>
  <c r="D34" s="1"/>
  <c r="Z33"/>
  <c r="Y33"/>
  <c r="AA33" s="1"/>
  <c r="X33"/>
  <c r="W33"/>
  <c r="G33"/>
  <c r="C33"/>
  <c r="D33" s="1"/>
  <c r="Z32"/>
  <c r="X32"/>
  <c r="W32"/>
  <c r="Y32" s="1"/>
  <c r="AA32" s="1"/>
  <c r="G32"/>
  <c r="F32"/>
  <c r="H32" s="1"/>
  <c r="D32"/>
  <c r="E32" s="1"/>
  <c r="C32"/>
  <c r="Z31"/>
  <c r="X31"/>
  <c r="W31"/>
  <c r="Y31" s="1"/>
  <c r="AA31" s="1"/>
  <c r="G31"/>
  <c r="D31"/>
  <c r="E31" s="1"/>
  <c r="C31"/>
  <c r="Z30"/>
  <c r="X30"/>
  <c r="Y30" s="1"/>
  <c r="AA30" s="1"/>
  <c r="W30"/>
  <c r="G30"/>
  <c r="D30"/>
  <c r="E30" s="1"/>
  <c r="C30"/>
  <c r="Z29"/>
  <c r="X29"/>
  <c r="W29"/>
  <c r="Y29" s="1"/>
  <c r="AA29" s="1"/>
  <c r="H29"/>
  <c r="G29"/>
  <c r="F29"/>
  <c r="E29"/>
  <c r="D29"/>
  <c r="C29"/>
  <c r="Z28"/>
  <c r="X28"/>
  <c r="Y28" s="1"/>
  <c r="AA28" s="1"/>
  <c r="W28"/>
  <c r="G28"/>
  <c r="C28"/>
  <c r="D28" s="1"/>
  <c r="AA27"/>
  <c r="Z27"/>
  <c r="Y27"/>
  <c r="X27"/>
  <c r="W27"/>
  <c r="G27"/>
  <c r="F27"/>
  <c r="H27" s="1"/>
  <c r="E27"/>
  <c r="D27"/>
  <c r="C27"/>
  <c r="Z26"/>
  <c r="Y26"/>
  <c r="AA26" s="1"/>
  <c r="X26"/>
  <c r="W26"/>
  <c r="G26"/>
  <c r="C26"/>
  <c r="D26" s="1"/>
  <c r="Z25"/>
  <c r="Y25"/>
  <c r="AA25" s="1"/>
  <c r="X25"/>
  <c r="W25"/>
  <c r="G25"/>
  <c r="C25"/>
  <c r="D25" s="1"/>
  <c r="Z24"/>
  <c r="AA24" s="1"/>
  <c r="Y24"/>
  <c r="X24"/>
  <c r="W24"/>
  <c r="G24"/>
  <c r="F24"/>
  <c r="H24" s="1"/>
  <c r="E24"/>
  <c r="D24"/>
  <c r="C24"/>
  <c r="Z23"/>
  <c r="X23"/>
  <c r="W23"/>
  <c r="Y23" s="1"/>
  <c r="AA23" s="1"/>
  <c r="G23"/>
  <c r="C23"/>
  <c r="D23" s="1"/>
  <c r="Z22"/>
  <c r="X22"/>
  <c r="Y22" s="1"/>
  <c r="AA22" s="1"/>
  <c r="W22"/>
  <c r="G22"/>
  <c r="D22"/>
  <c r="E22" s="1"/>
  <c r="C22"/>
  <c r="Z21"/>
  <c r="X21"/>
  <c r="W21"/>
  <c r="Y21" s="1"/>
  <c r="AA21" s="1"/>
  <c r="G21"/>
  <c r="C21"/>
  <c r="D21" s="1"/>
  <c r="Z20"/>
  <c r="X20"/>
  <c r="Y20" s="1"/>
  <c r="AA20" s="1"/>
  <c r="W20"/>
  <c r="G20"/>
  <c r="C20"/>
  <c r="D20" s="1"/>
  <c r="AA19"/>
  <c r="Z19"/>
  <c r="Y19"/>
  <c r="X19"/>
  <c r="W19"/>
  <c r="G19"/>
  <c r="C19"/>
  <c r="D19" s="1"/>
  <c r="Z18"/>
  <c r="X18"/>
  <c r="W18"/>
  <c r="Y18" s="1"/>
  <c r="AA18" s="1"/>
  <c r="G18"/>
  <c r="C18"/>
  <c r="D18" s="1"/>
  <c r="Z17"/>
  <c r="Y17"/>
  <c r="AA17" s="1"/>
  <c r="X17"/>
  <c r="W17"/>
  <c r="G17"/>
  <c r="C17"/>
  <c r="D17" s="1"/>
  <c r="Z16"/>
  <c r="X16"/>
  <c r="W16"/>
  <c r="Y16" s="1"/>
  <c r="AA16" s="1"/>
  <c r="G16"/>
  <c r="F16"/>
  <c r="H16" s="1"/>
  <c r="D16"/>
  <c r="E16" s="1"/>
  <c r="C16"/>
  <c r="Z15"/>
  <c r="X15"/>
  <c r="W15"/>
  <c r="Y15" s="1"/>
  <c r="AA15" s="1"/>
  <c r="G15"/>
  <c r="D15"/>
  <c r="E15" s="1"/>
  <c r="C15"/>
  <c r="Z14"/>
  <c r="X14"/>
  <c r="Y14" s="1"/>
  <c r="AA14" s="1"/>
  <c r="W14"/>
  <c r="G14"/>
  <c r="D14"/>
  <c r="E14" s="1"/>
  <c r="C14"/>
  <c r="Z13"/>
  <c r="X13"/>
  <c r="W13"/>
  <c r="Y13" s="1"/>
  <c r="AA13" s="1"/>
  <c r="G13"/>
  <c r="H13" s="1"/>
  <c r="F13"/>
  <c r="E13"/>
  <c r="D13"/>
  <c r="C13"/>
  <c r="Z12"/>
  <c r="X12"/>
  <c r="Y12" s="1"/>
  <c r="AA12" s="1"/>
  <c r="W12"/>
  <c r="G12"/>
  <c r="C12"/>
  <c r="D12" s="1"/>
  <c r="AA11"/>
  <c r="Z11"/>
  <c r="Y11"/>
  <c r="X11"/>
  <c r="W11"/>
  <c r="G11"/>
  <c r="F11"/>
  <c r="H11" s="1"/>
  <c r="E11"/>
  <c r="D11"/>
  <c r="C11"/>
  <c r="Z10"/>
  <c r="Y10"/>
  <c r="AA10" s="1"/>
  <c r="X10"/>
  <c r="W10"/>
  <c r="W40" s="1"/>
  <c r="H10"/>
  <c r="G10"/>
  <c r="F10"/>
  <c r="E10"/>
  <c r="D10"/>
  <c r="C10"/>
  <c r="Z9"/>
  <c r="Z40" s="1"/>
  <c r="Y9"/>
  <c r="X9"/>
  <c r="X40" s="1"/>
  <c r="W9"/>
  <c r="H9"/>
  <c r="G9"/>
  <c r="F9"/>
  <c r="E9"/>
  <c r="D9"/>
  <c r="C9"/>
  <c r="V40" i="10"/>
  <c r="U40"/>
  <c r="T40"/>
  <c r="S40"/>
  <c r="R40"/>
  <c r="Q40"/>
  <c r="P40"/>
  <c r="X40" s="1"/>
  <c r="O40"/>
  <c r="N40"/>
  <c r="M40"/>
  <c r="L40"/>
  <c r="K40"/>
  <c r="J40"/>
  <c r="I40"/>
  <c r="W40" s="1"/>
  <c r="Y40" s="1"/>
  <c r="Z39"/>
  <c r="X39"/>
  <c r="W39"/>
  <c r="Y39" s="1"/>
  <c r="AA39" s="1"/>
  <c r="G39"/>
  <c r="D39"/>
  <c r="E39" s="1"/>
  <c r="C39"/>
  <c r="Z38"/>
  <c r="X38"/>
  <c r="Y38" s="1"/>
  <c r="AA38" s="1"/>
  <c r="W38"/>
  <c r="G38"/>
  <c r="D38"/>
  <c r="E38" s="1"/>
  <c r="C38"/>
  <c r="Z37"/>
  <c r="X37"/>
  <c r="W37"/>
  <c r="Y37" s="1"/>
  <c r="AA37" s="1"/>
  <c r="G37"/>
  <c r="H37" s="1"/>
  <c r="F37"/>
  <c r="E37"/>
  <c r="D37"/>
  <c r="C37"/>
  <c r="Z36"/>
  <c r="X36"/>
  <c r="Y36" s="1"/>
  <c r="AA36" s="1"/>
  <c r="W36"/>
  <c r="G36"/>
  <c r="C36"/>
  <c r="D36" s="1"/>
  <c r="AA35"/>
  <c r="Z35"/>
  <c r="Y35"/>
  <c r="X35"/>
  <c r="W35"/>
  <c r="G35"/>
  <c r="F35"/>
  <c r="H35" s="1"/>
  <c r="E35"/>
  <c r="D35"/>
  <c r="C35"/>
  <c r="Z34"/>
  <c r="Y34"/>
  <c r="AA34" s="1"/>
  <c r="X34"/>
  <c r="W34"/>
  <c r="H34"/>
  <c r="G34"/>
  <c r="F34"/>
  <c r="E34"/>
  <c r="D34"/>
  <c r="C34"/>
  <c r="Z33"/>
  <c r="Y33"/>
  <c r="AA33" s="1"/>
  <c r="X33"/>
  <c r="W33"/>
  <c r="G33"/>
  <c r="C33"/>
  <c r="D33" s="1"/>
  <c r="Z32"/>
  <c r="AA32" s="1"/>
  <c r="Y32"/>
  <c r="X32"/>
  <c r="W32"/>
  <c r="G32"/>
  <c r="F32"/>
  <c r="H32" s="1"/>
  <c r="E32"/>
  <c r="D32"/>
  <c r="C32"/>
  <c r="Z31"/>
  <c r="X31"/>
  <c r="W31"/>
  <c r="Y31" s="1"/>
  <c r="AA31" s="1"/>
  <c r="G31"/>
  <c r="C31"/>
  <c r="D31" s="1"/>
  <c r="Z30"/>
  <c r="AA30" s="1"/>
  <c r="Y30"/>
  <c r="X30"/>
  <c r="W30"/>
  <c r="G30"/>
  <c r="D30"/>
  <c r="E30" s="1"/>
  <c r="C30"/>
  <c r="Z29"/>
  <c r="X29"/>
  <c r="W29"/>
  <c r="Y29" s="1"/>
  <c r="AA29" s="1"/>
  <c r="G29"/>
  <c r="C29"/>
  <c r="D29" s="1"/>
  <c r="Z28"/>
  <c r="X28"/>
  <c r="Y28" s="1"/>
  <c r="AA28" s="1"/>
  <c r="W28"/>
  <c r="G28"/>
  <c r="C28"/>
  <c r="D28" s="1"/>
  <c r="AA27"/>
  <c r="Z27"/>
  <c r="Y27"/>
  <c r="X27"/>
  <c r="W27"/>
  <c r="G27"/>
  <c r="C27"/>
  <c r="D27" s="1"/>
  <c r="Z26"/>
  <c r="X26"/>
  <c r="W26"/>
  <c r="Y26" s="1"/>
  <c r="AA26" s="1"/>
  <c r="G26"/>
  <c r="C26"/>
  <c r="D26" s="1"/>
  <c r="Z25"/>
  <c r="Y25"/>
  <c r="AA25" s="1"/>
  <c r="X25"/>
  <c r="W25"/>
  <c r="G25"/>
  <c r="C25"/>
  <c r="D25" s="1"/>
  <c r="Z24"/>
  <c r="X24"/>
  <c r="W24"/>
  <c r="Y24" s="1"/>
  <c r="AA24" s="1"/>
  <c r="G24"/>
  <c r="F24"/>
  <c r="H24" s="1"/>
  <c r="D24"/>
  <c r="E24" s="1"/>
  <c r="C24"/>
  <c r="Z23"/>
  <c r="X23"/>
  <c r="W23"/>
  <c r="Y23" s="1"/>
  <c r="AA23" s="1"/>
  <c r="G23"/>
  <c r="D23"/>
  <c r="E23" s="1"/>
  <c r="C23"/>
  <c r="Z22"/>
  <c r="X22"/>
  <c r="Y22" s="1"/>
  <c r="AA22" s="1"/>
  <c r="W22"/>
  <c r="G22"/>
  <c r="D22"/>
  <c r="E22" s="1"/>
  <c r="C22"/>
  <c r="Z21"/>
  <c r="X21"/>
  <c r="W21"/>
  <c r="Y21" s="1"/>
  <c r="AA21" s="1"/>
  <c r="G21"/>
  <c r="H21" s="1"/>
  <c r="F21"/>
  <c r="E21"/>
  <c r="D21"/>
  <c r="C21"/>
  <c r="Z20"/>
  <c r="X20"/>
  <c r="Y20" s="1"/>
  <c r="AA20" s="1"/>
  <c r="W20"/>
  <c r="G20"/>
  <c r="C20"/>
  <c r="D20" s="1"/>
  <c r="AA19"/>
  <c r="Z19"/>
  <c r="Y19"/>
  <c r="X19"/>
  <c r="W19"/>
  <c r="G19"/>
  <c r="F19"/>
  <c r="H19" s="1"/>
  <c r="E19"/>
  <c r="D19"/>
  <c r="C19"/>
  <c r="Z18"/>
  <c r="Y18"/>
  <c r="AA18" s="1"/>
  <c r="X18"/>
  <c r="W18"/>
  <c r="G18"/>
  <c r="C18"/>
  <c r="D18" s="1"/>
  <c r="Z17"/>
  <c r="Y17"/>
  <c r="AA17" s="1"/>
  <c r="X17"/>
  <c r="W17"/>
  <c r="G17"/>
  <c r="C17"/>
  <c r="D17" s="1"/>
  <c r="Z16"/>
  <c r="AA16" s="1"/>
  <c r="Y16"/>
  <c r="X16"/>
  <c r="W16"/>
  <c r="G16"/>
  <c r="F16"/>
  <c r="H16" s="1"/>
  <c r="E16"/>
  <c r="D16"/>
  <c r="C16"/>
  <c r="Z15"/>
  <c r="X15"/>
  <c r="W15"/>
  <c r="Y15" s="1"/>
  <c r="AA15" s="1"/>
  <c r="G15"/>
  <c r="C15"/>
  <c r="D15" s="1"/>
  <c r="Z14"/>
  <c r="AA14" s="1"/>
  <c r="Y14"/>
  <c r="X14"/>
  <c r="W14"/>
  <c r="G14"/>
  <c r="D14"/>
  <c r="E14" s="1"/>
  <c r="C14"/>
  <c r="Z13"/>
  <c r="X13"/>
  <c r="W13"/>
  <c r="Y13" s="1"/>
  <c r="AA13" s="1"/>
  <c r="G13"/>
  <c r="C13"/>
  <c r="D13" s="1"/>
  <c r="Z12"/>
  <c r="X12"/>
  <c r="Y12" s="1"/>
  <c r="AA12" s="1"/>
  <c r="W12"/>
  <c r="G12"/>
  <c r="C12"/>
  <c r="D12" s="1"/>
  <c r="AA11"/>
  <c r="Z11"/>
  <c r="Y11"/>
  <c r="X11"/>
  <c r="W11"/>
  <c r="G11"/>
  <c r="C11"/>
  <c r="D11" s="1"/>
  <c r="Z10"/>
  <c r="X10"/>
  <c r="W10"/>
  <c r="Y10" s="1"/>
  <c r="AA10" s="1"/>
  <c r="G10"/>
  <c r="C10"/>
  <c r="D10" s="1"/>
  <c r="Z9"/>
  <c r="Z40" s="1"/>
  <c r="Y9"/>
  <c r="AA9" s="1"/>
  <c r="X9"/>
  <c r="W9"/>
  <c r="G9"/>
  <c r="C9"/>
  <c r="D9" s="1"/>
  <c r="V40" i="9"/>
  <c r="U40"/>
  <c r="T40"/>
  <c r="S40"/>
  <c r="R40"/>
  <c r="Q40"/>
  <c r="P40"/>
  <c r="O40"/>
  <c r="N40"/>
  <c r="M40"/>
  <c r="L40"/>
  <c r="K40"/>
  <c r="J40"/>
  <c r="I40"/>
  <c r="Z38"/>
  <c r="X38"/>
  <c r="W38"/>
  <c r="Y38" s="1"/>
  <c r="AA38" s="1"/>
  <c r="G38"/>
  <c r="C38"/>
  <c r="D38" s="1"/>
  <c r="Z37"/>
  <c r="AA37" s="1"/>
  <c r="Y37"/>
  <c r="X37"/>
  <c r="W37"/>
  <c r="G37"/>
  <c r="D37"/>
  <c r="E37" s="1"/>
  <c r="C37"/>
  <c r="Z36"/>
  <c r="X36"/>
  <c r="W36"/>
  <c r="Y36" s="1"/>
  <c r="AA36" s="1"/>
  <c r="G36"/>
  <c r="C36"/>
  <c r="D36" s="1"/>
  <c r="Z35"/>
  <c r="X35"/>
  <c r="Y35" s="1"/>
  <c r="AA35" s="1"/>
  <c r="W35"/>
  <c r="G35"/>
  <c r="C35"/>
  <c r="D35" s="1"/>
  <c r="AA34"/>
  <c r="Z34"/>
  <c r="Y34"/>
  <c r="X34"/>
  <c r="W34"/>
  <c r="G34"/>
  <c r="C34"/>
  <c r="D34" s="1"/>
  <c r="Z33"/>
  <c r="X33"/>
  <c r="W33"/>
  <c r="Y33" s="1"/>
  <c r="AA33" s="1"/>
  <c r="G33"/>
  <c r="C33"/>
  <c r="D33" s="1"/>
  <c r="Z32"/>
  <c r="Y32"/>
  <c r="AA32" s="1"/>
  <c r="X32"/>
  <c r="W32"/>
  <c r="G32"/>
  <c r="C32"/>
  <c r="D32" s="1"/>
  <c r="Z31"/>
  <c r="X31"/>
  <c r="W31"/>
  <c r="Y31" s="1"/>
  <c r="AA31" s="1"/>
  <c r="G31"/>
  <c r="F31"/>
  <c r="H31" s="1"/>
  <c r="D31"/>
  <c r="E31" s="1"/>
  <c r="C31"/>
  <c r="Z30"/>
  <c r="X30"/>
  <c r="W30"/>
  <c r="Y30" s="1"/>
  <c r="AA30" s="1"/>
  <c r="G30"/>
  <c r="D30"/>
  <c r="E30" s="1"/>
  <c r="C30"/>
  <c r="Z29"/>
  <c r="X29"/>
  <c r="Y29" s="1"/>
  <c r="AA29" s="1"/>
  <c r="W29"/>
  <c r="G29"/>
  <c r="D29"/>
  <c r="E29" s="1"/>
  <c r="C29"/>
  <c r="Z28"/>
  <c r="X28"/>
  <c r="W28"/>
  <c r="Y28" s="1"/>
  <c r="AA28" s="1"/>
  <c r="G28"/>
  <c r="H28" s="1"/>
  <c r="F28"/>
  <c r="E28"/>
  <c r="D28"/>
  <c r="C28"/>
  <c r="Z27"/>
  <c r="X27"/>
  <c r="Y27" s="1"/>
  <c r="AA27" s="1"/>
  <c r="W27"/>
  <c r="G27"/>
  <c r="C27"/>
  <c r="D27" s="1"/>
  <c r="AA26"/>
  <c r="Z26"/>
  <c r="Y26"/>
  <c r="X26"/>
  <c r="W26"/>
  <c r="G26"/>
  <c r="F26"/>
  <c r="H26" s="1"/>
  <c r="E26"/>
  <c r="D26"/>
  <c r="C26"/>
  <c r="Z25"/>
  <c r="Y25"/>
  <c r="AA25" s="1"/>
  <c r="X25"/>
  <c r="W25"/>
  <c r="G25"/>
  <c r="C25"/>
  <c r="D25" s="1"/>
  <c r="Z24"/>
  <c r="Y24"/>
  <c r="AA24" s="1"/>
  <c r="X24"/>
  <c r="W24"/>
  <c r="G24"/>
  <c r="C24"/>
  <c r="D24" s="1"/>
  <c r="Z23"/>
  <c r="AA23" s="1"/>
  <c r="Y23"/>
  <c r="X23"/>
  <c r="W23"/>
  <c r="G23"/>
  <c r="F23"/>
  <c r="H23" s="1"/>
  <c r="E23"/>
  <c r="D23"/>
  <c r="C23"/>
  <c r="Z22"/>
  <c r="X22"/>
  <c r="W22"/>
  <c r="Y22" s="1"/>
  <c r="AA22" s="1"/>
  <c r="G22"/>
  <c r="C22"/>
  <c r="D22" s="1"/>
  <c r="Z21"/>
  <c r="AA21" s="1"/>
  <c r="Y21"/>
  <c r="X21"/>
  <c r="W21"/>
  <c r="G21"/>
  <c r="D21"/>
  <c r="E21" s="1"/>
  <c r="C21"/>
  <c r="Z20"/>
  <c r="X20"/>
  <c r="W20"/>
  <c r="Y20" s="1"/>
  <c r="AA20" s="1"/>
  <c r="G20"/>
  <c r="C20"/>
  <c r="D20" s="1"/>
  <c r="Z19"/>
  <c r="X19"/>
  <c r="Y19" s="1"/>
  <c r="AA19" s="1"/>
  <c r="W19"/>
  <c r="G19"/>
  <c r="C19"/>
  <c r="D19" s="1"/>
  <c r="AA18"/>
  <c r="Z18"/>
  <c r="Y18"/>
  <c r="X18"/>
  <c r="W18"/>
  <c r="G18"/>
  <c r="C18"/>
  <c r="D18" s="1"/>
  <c r="Z17"/>
  <c r="X17"/>
  <c r="W17"/>
  <c r="Y17" s="1"/>
  <c r="AA17" s="1"/>
  <c r="G17"/>
  <c r="C17"/>
  <c r="D17" s="1"/>
  <c r="Z16"/>
  <c r="Y16"/>
  <c r="AA16" s="1"/>
  <c r="X16"/>
  <c r="W16"/>
  <c r="G16"/>
  <c r="C16"/>
  <c r="D16" s="1"/>
  <c r="Z15"/>
  <c r="X15"/>
  <c r="W15"/>
  <c r="Y15" s="1"/>
  <c r="AA15" s="1"/>
  <c r="G15"/>
  <c r="F15"/>
  <c r="H15" s="1"/>
  <c r="D15"/>
  <c r="E15" s="1"/>
  <c r="C15"/>
  <c r="Z14"/>
  <c r="X14"/>
  <c r="W14"/>
  <c r="Y14" s="1"/>
  <c r="AA14" s="1"/>
  <c r="G14"/>
  <c r="D14"/>
  <c r="E14" s="1"/>
  <c r="C14"/>
  <c r="Z13"/>
  <c r="X13"/>
  <c r="Y13" s="1"/>
  <c r="AA13" s="1"/>
  <c r="W13"/>
  <c r="G13"/>
  <c r="D13"/>
  <c r="E13" s="1"/>
  <c r="C13"/>
  <c r="Z12"/>
  <c r="X12"/>
  <c r="W12"/>
  <c r="Y12" s="1"/>
  <c r="AA12" s="1"/>
  <c r="G12"/>
  <c r="H12" s="1"/>
  <c r="F12"/>
  <c r="E12"/>
  <c r="D12"/>
  <c r="C12"/>
  <c r="Z11"/>
  <c r="X11"/>
  <c r="Y11" s="1"/>
  <c r="AA11" s="1"/>
  <c r="W11"/>
  <c r="G11"/>
  <c r="C11"/>
  <c r="D11" s="1"/>
  <c r="AA10"/>
  <c r="Z10"/>
  <c r="Z40" s="1"/>
  <c r="Y10"/>
  <c r="X10"/>
  <c r="W10"/>
  <c r="H10"/>
  <c r="G10"/>
  <c r="F10"/>
  <c r="E10"/>
  <c r="D10"/>
  <c r="C10"/>
  <c r="Z9"/>
  <c r="Y9"/>
  <c r="X9"/>
  <c r="X40" s="1"/>
  <c r="W9"/>
  <c r="G9"/>
  <c r="C9"/>
  <c r="D9" s="1"/>
  <c r="V40" i="8"/>
  <c r="U40"/>
  <c r="T40"/>
  <c r="S40"/>
  <c r="R40"/>
  <c r="Q40"/>
  <c r="P40"/>
  <c r="X40" s="1"/>
  <c r="O40"/>
  <c r="N40"/>
  <c r="M40"/>
  <c r="L40"/>
  <c r="K40"/>
  <c r="J40"/>
  <c r="I40"/>
  <c r="W40" s="1"/>
  <c r="Y40" s="1"/>
  <c r="Z39"/>
  <c r="X39"/>
  <c r="W39"/>
  <c r="Y39" s="1"/>
  <c r="AA39" s="1"/>
  <c r="G39"/>
  <c r="F39"/>
  <c r="H39" s="1"/>
  <c r="E39"/>
  <c r="D39"/>
  <c r="C39"/>
  <c r="Z38"/>
  <c r="X38"/>
  <c r="W38"/>
  <c r="Y38" s="1"/>
  <c r="AA38" s="1"/>
  <c r="G38"/>
  <c r="D38"/>
  <c r="E38" s="1"/>
  <c r="C38"/>
  <c r="Z37"/>
  <c r="AA37" s="1"/>
  <c r="Y37"/>
  <c r="X37"/>
  <c r="W37"/>
  <c r="G37"/>
  <c r="D37"/>
  <c r="E37" s="1"/>
  <c r="C37"/>
  <c r="Z36"/>
  <c r="X36"/>
  <c r="W36"/>
  <c r="Y36" s="1"/>
  <c r="AA36" s="1"/>
  <c r="G36"/>
  <c r="H36" s="1"/>
  <c r="F36"/>
  <c r="E36"/>
  <c r="D36"/>
  <c r="C36"/>
  <c r="Z35"/>
  <c r="X35"/>
  <c r="Y35" s="1"/>
  <c r="AA35" s="1"/>
  <c r="W35"/>
  <c r="G35"/>
  <c r="C35"/>
  <c r="D35" s="1"/>
  <c r="AA34"/>
  <c r="Z34"/>
  <c r="Y34"/>
  <c r="X34"/>
  <c r="W34"/>
  <c r="G34"/>
  <c r="F34"/>
  <c r="H34" s="1"/>
  <c r="E34"/>
  <c r="D34"/>
  <c r="C34"/>
  <c r="Z33"/>
  <c r="Y33"/>
  <c r="AA33" s="1"/>
  <c r="X33"/>
  <c r="W33"/>
  <c r="G33"/>
  <c r="C33"/>
  <c r="D33" s="1"/>
  <c r="Z32"/>
  <c r="Y32"/>
  <c r="AA32" s="1"/>
  <c r="X32"/>
  <c r="W32"/>
  <c r="G32"/>
  <c r="C32"/>
  <c r="D32" s="1"/>
  <c r="Z31"/>
  <c r="X31"/>
  <c r="W31"/>
  <c r="Y31" s="1"/>
  <c r="AA31" s="1"/>
  <c r="G31"/>
  <c r="F31"/>
  <c r="H31" s="1"/>
  <c r="E31"/>
  <c r="D31"/>
  <c r="C31"/>
  <c r="Z30"/>
  <c r="X30"/>
  <c r="W30"/>
  <c r="Y30" s="1"/>
  <c r="AA30" s="1"/>
  <c r="G30"/>
  <c r="C30"/>
  <c r="D30" s="1"/>
  <c r="Z29"/>
  <c r="AA29" s="1"/>
  <c r="Y29"/>
  <c r="X29"/>
  <c r="W29"/>
  <c r="G29"/>
  <c r="D29"/>
  <c r="E29" s="1"/>
  <c r="C29"/>
  <c r="Z28"/>
  <c r="X28"/>
  <c r="W28"/>
  <c r="Y28" s="1"/>
  <c r="AA28" s="1"/>
  <c r="G28"/>
  <c r="C28"/>
  <c r="D28" s="1"/>
  <c r="Z27"/>
  <c r="X27"/>
  <c r="Y27" s="1"/>
  <c r="AA27" s="1"/>
  <c r="W27"/>
  <c r="G27"/>
  <c r="C27"/>
  <c r="D27" s="1"/>
  <c r="AA26"/>
  <c r="Z26"/>
  <c r="Y26"/>
  <c r="X26"/>
  <c r="W26"/>
  <c r="H26"/>
  <c r="G26"/>
  <c r="F26"/>
  <c r="E26"/>
  <c r="D26"/>
  <c r="C26"/>
  <c r="Z25"/>
  <c r="X25"/>
  <c r="W25"/>
  <c r="Y25" s="1"/>
  <c r="AA25" s="1"/>
  <c r="G25"/>
  <c r="C25"/>
  <c r="D25" s="1"/>
  <c r="Z24"/>
  <c r="Y24"/>
  <c r="AA24" s="1"/>
  <c r="X24"/>
  <c r="W24"/>
  <c r="G24"/>
  <c r="C24"/>
  <c r="D24" s="1"/>
  <c r="Z23"/>
  <c r="X23"/>
  <c r="W23"/>
  <c r="Y23" s="1"/>
  <c r="AA23" s="1"/>
  <c r="G23"/>
  <c r="F23"/>
  <c r="H23" s="1"/>
  <c r="E23"/>
  <c r="D23"/>
  <c r="C23"/>
  <c r="Z22"/>
  <c r="X22"/>
  <c r="W22"/>
  <c r="Y22" s="1"/>
  <c r="AA22" s="1"/>
  <c r="G22"/>
  <c r="D22"/>
  <c r="E22" s="1"/>
  <c r="C22"/>
  <c r="Z21"/>
  <c r="AA21" s="1"/>
  <c r="Y21"/>
  <c r="X21"/>
  <c r="W21"/>
  <c r="G21"/>
  <c r="D21"/>
  <c r="E21" s="1"/>
  <c r="C21"/>
  <c r="Z20"/>
  <c r="X20"/>
  <c r="W20"/>
  <c r="Y20" s="1"/>
  <c r="AA20" s="1"/>
  <c r="G20"/>
  <c r="H20" s="1"/>
  <c r="F20"/>
  <c r="E20"/>
  <c r="D20"/>
  <c r="C20"/>
  <c r="Z19"/>
  <c r="X19"/>
  <c r="Y19" s="1"/>
  <c r="AA19" s="1"/>
  <c r="W19"/>
  <c r="G19"/>
  <c r="C19"/>
  <c r="D19" s="1"/>
  <c r="AA18"/>
  <c r="Z18"/>
  <c r="Y18"/>
  <c r="X18"/>
  <c r="W18"/>
  <c r="H18"/>
  <c r="G18"/>
  <c r="F18"/>
  <c r="E18"/>
  <c r="D18"/>
  <c r="C18"/>
  <c r="Z17"/>
  <c r="Y17"/>
  <c r="AA17" s="1"/>
  <c r="X17"/>
  <c r="W17"/>
  <c r="G17"/>
  <c r="C17"/>
  <c r="D17" s="1"/>
  <c r="Z16"/>
  <c r="Y16"/>
  <c r="AA16" s="1"/>
  <c r="X16"/>
  <c r="W16"/>
  <c r="G16"/>
  <c r="C16"/>
  <c r="D16" s="1"/>
  <c r="Z15"/>
  <c r="X15"/>
  <c r="W15"/>
  <c r="Y15" s="1"/>
  <c r="AA15" s="1"/>
  <c r="G15"/>
  <c r="F15"/>
  <c r="H15" s="1"/>
  <c r="E15"/>
  <c r="D15"/>
  <c r="C15"/>
  <c r="Z14"/>
  <c r="X14"/>
  <c r="W14"/>
  <c r="Y14" s="1"/>
  <c r="AA14" s="1"/>
  <c r="G14"/>
  <c r="D14"/>
  <c r="E14" s="1"/>
  <c r="C14"/>
  <c r="Z13"/>
  <c r="AA13" s="1"/>
  <c r="Y13"/>
  <c r="X13"/>
  <c r="W13"/>
  <c r="G13"/>
  <c r="D13"/>
  <c r="E13" s="1"/>
  <c r="C13"/>
  <c r="Z12"/>
  <c r="X12"/>
  <c r="W12"/>
  <c r="Y12" s="1"/>
  <c r="AA12" s="1"/>
  <c r="G12"/>
  <c r="C12"/>
  <c r="D12" s="1"/>
  <c r="Z11"/>
  <c r="X11"/>
  <c r="Y11" s="1"/>
  <c r="AA11" s="1"/>
  <c r="W11"/>
  <c r="G11"/>
  <c r="C11"/>
  <c r="D11" s="1"/>
  <c r="AA10"/>
  <c r="Z10"/>
  <c r="Z40" s="1"/>
  <c r="Y10"/>
  <c r="X10"/>
  <c r="W10"/>
  <c r="G10"/>
  <c r="E10"/>
  <c r="D10"/>
  <c r="F10" s="1"/>
  <c r="H10" s="1"/>
  <c r="C10"/>
  <c r="Z9"/>
  <c r="X9"/>
  <c r="W9"/>
  <c r="Y9" s="1"/>
  <c r="AA9" s="1"/>
  <c r="G9"/>
  <c r="C9"/>
  <c r="D9" s="1"/>
  <c r="V40" i="7"/>
  <c r="U40"/>
  <c r="T40"/>
  <c r="S40"/>
  <c r="R40"/>
  <c r="Q40"/>
  <c r="P40"/>
  <c r="X40" s="1"/>
  <c r="O40"/>
  <c r="N40"/>
  <c r="M40"/>
  <c r="L40"/>
  <c r="K40"/>
  <c r="J40"/>
  <c r="W40" s="1"/>
  <c r="Y40" s="1"/>
  <c r="I40"/>
  <c r="Z39"/>
  <c r="Y39"/>
  <c r="AA39" s="1"/>
  <c r="X39"/>
  <c r="W39"/>
  <c r="G39"/>
  <c r="D39"/>
  <c r="E39" s="1"/>
  <c r="C39"/>
  <c r="Z38"/>
  <c r="X38"/>
  <c r="W38"/>
  <c r="Y38" s="1"/>
  <c r="AA38" s="1"/>
  <c r="G38"/>
  <c r="F38"/>
  <c r="H38" s="1"/>
  <c r="E38"/>
  <c r="D38"/>
  <c r="C38"/>
  <c r="Z37"/>
  <c r="X37"/>
  <c r="Y37" s="1"/>
  <c r="AA37" s="1"/>
  <c r="W37"/>
  <c r="G37"/>
  <c r="C37"/>
  <c r="D37" s="1"/>
  <c r="AA36"/>
  <c r="Z36"/>
  <c r="Y36"/>
  <c r="X36"/>
  <c r="W36"/>
  <c r="G36"/>
  <c r="F36"/>
  <c r="H36" s="1"/>
  <c r="E36"/>
  <c r="D36"/>
  <c r="C36"/>
  <c r="Z35"/>
  <c r="Y35"/>
  <c r="AA35" s="1"/>
  <c r="X35"/>
  <c r="W35"/>
  <c r="G35"/>
  <c r="C35"/>
  <c r="D35" s="1"/>
  <c r="Z34"/>
  <c r="Y34"/>
  <c r="AA34" s="1"/>
  <c r="X34"/>
  <c r="W34"/>
  <c r="G34"/>
  <c r="C34"/>
  <c r="D34" s="1"/>
  <c r="Z33"/>
  <c r="X33"/>
  <c r="W33"/>
  <c r="Y33" s="1"/>
  <c r="AA33" s="1"/>
  <c r="G33"/>
  <c r="F33"/>
  <c r="H33" s="1"/>
  <c r="E33"/>
  <c r="D33"/>
  <c r="C33"/>
  <c r="Z32"/>
  <c r="X32"/>
  <c r="W32"/>
  <c r="Y32" s="1"/>
  <c r="AA32" s="1"/>
  <c r="G32"/>
  <c r="D32"/>
  <c r="E32" s="1"/>
  <c r="C32"/>
  <c r="Z31"/>
  <c r="AA31" s="1"/>
  <c r="Y31"/>
  <c r="X31"/>
  <c r="W31"/>
  <c r="G31"/>
  <c r="D31"/>
  <c r="E31" s="1"/>
  <c r="C31"/>
  <c r="Z30"/>
  <c r="X30"/>
  <c r="W30"/>
  <c r="Y30" s="1"/>
  <c r="AA30" s="1"/>
  <c r="G30"/>
  <c r="C30"/>
  <c r="D30" s="1"/>
  <c r="Z29"/>
  <c r="X29"/>
  <c r="W29"/>
  <c r="Y29" s="1"/>
  <c r="AA29" s="1"/>
  <c r="G29"/>
  <c r="C29"/>
  <c r="D29" s="1"/>
  <c r="AA28"/>
  <c r="Z28"/>
  <c r="Y28"/>
  <c r="X28"/>
  <c r="W28"/>
  <c r="G28"/>
  <c r="E28"/>
  <c r="D28"/>
  <c r="F28" s="1"/>
  <c r="H28" s="1"/>
  <c r="C28"/>
  <c r="Z27"/>
  <c r="X27"/>
  <c r="W27"/>
  <c r="Y27" s="1"/>
  <c r="AA27" s="1"/>
  <c r="G27"/>
  <c r="C27"/>
  <c r="D27" s="1"/>
  <c r="Z26"/>
  <c r="Y26"/>
  <c r="AA26" s="1"/>
  <c r="X26"/>
  <c r="W26"/>
  <c r="G26"/>
  <c r="C26"/>
  <c r="D26" s="1"/>
  <c r="Z25"/>
  <c r="X25"/>
  <c r="W25"/>
  <c r="Y25" s="1"/>
  <c r="AA25" s="1"/>
  <c r="G25"/>
  <c r="F25"/>
  <c r="H25" s="1"/>
  <c r="E25"/>
  <c r="D25"/>
  <c r="C25"/>
  <c r="Z24"/>
  <c r="X24"/>
  <c r="W24"/>
  <c r="Y24" s="1"/>
  <c r="AA24" s="1"/>
  <c r="G24"/>
  <c r="D24"/>
  <c r="E24" s="1"/>
  <c r="C24"/>
  <c r="Z23"/>
  <c r="Y23"/>
  <c r="AA23" s="1"/>
  <c r="X23"/>
  <c r="W23"/>
  <c r="G23"/>
  <c r="D23"/>
  <c r="E23" s="1"/>
  <c r="C23"/>
  <c r="Z22"/>
  <c r="X22"/>
  <c r="W22"/>
  <c r="Y22" s="1"/>
  <c r="AA22" s="1"/>
  <c r="G22"/>
  <c r="F22"/>
  <c r="H22" s="1"/>
  <c r="E22"/>
  <c r="D22"/>
  <c r="C22"/>
  <c r="Z21"/>
  <c r="X21"/>
  <c r="W21"/>
  <c r="Y21" s="1"/>
  <c r="AA21" s="1"/>
  <c r="G21"/>
  <c r="C21"/>
  <c r="D21" s="1"/>
  <c r="AA20"/>
  <c r="Z20"/>
  <c r="Y20"/>
  <c r="X20"/>
  <c r="W20"/>
  <c r="G20"/>
  <c r="E20"/>
  <c r="D20"/>
  <c r="F20" s="1"/>
  <c r="H20" s="1"/>
  <c r="C20"/>
  <c r="Z19"/>
  <c r="Y19"/>
  <c r="AA19" s="1"/>
  <c r="X19"/>
  <c r="W19"/>
  <c r="G19"/>
  <c r="C19"/>
  <c r="D19" s="1"/>
  <c r="Z18"/>
  <c r="Y18"/>
  <c r="AA18" s="1"/>
  <c r="X18"/>
  <c r="W18"/>
  <c r="G18"/>
  <c r="C18"/>
  <c r="D18" s="1"/>
  <c r="Z17"/>
  <c r="X17"/>
  <c r="W17"/>
  <c r="Y17" s="1"/>
  <c r="AA17" s="1"/>
  <c r="G17"/>
  <c r="F17"/>
  <c r="H17" s="1"/>
  <c r="E17"/>
  <c r="D17"/>
  <c r="C17"/>
  <c r="Z16"/>
  <c r="X16"/>
  <c r="W16"/>
  <c r="Y16" s="1"/>
  <c r="AA16" s="1"/>
  <c r="G16"/>
  <c r="D16"/>
  <c r="E16" s="1"/>
  <c r="C16"/>
  <c r="Z15"/>
  <c r="Y15"/>
  <c r="AA15" s="1"/>
  <c r="X15"/>
  <c r="W15"/>
  <c r="G15"/>
  <c r="D15"/>
  <c r="E15" s="1"/>
  <c r="C15"/>
  <c r="Z14"/>
  <c r="X14"/>
  <c r="W14"/>
  <c r="Y14" s="1"/>
  <c r="AA14" s="1"/>
  <c r="G14"/>
  <c r="C14"/>
  <c r="D14" s="1"/>
  <c r="Z13"/>
  <c r="X13"/>
  <c r="W13"/>
  <c r="Y13" s="1"/>
  <c r="AA13" s="1"/>
  <c r="G13"/>
  <c r="C13"/>
  <c r="D13" s="1"/>
  <c r="AA12"/>
  <c r="Z12"/>
  <c r="Y12"/>
  <c r="X12"/>
  <c r="W12"/>
  <c r="G12"/>
  <c r="E12"/>
  <c r="D12"/>
  <c r="F12" s="1"/>
  <c r="H12" s="1"/>
  <c r="C12"/>
  <c r="Z11"/>
  <c r="X11"/>
  <c r="W11"/>
  <c r="Y11" s="1"/>
  <c r="AA11" s="1"/>
  <c r="G11"/>
  <c r="C11"/>
  <c r="D11" s="1"/>
  <c r="Z10"/>
  <c r="Y10"/>
  <c r="AA10" s="1"/>
  <c r="X10"/>
  <c r="W10"/>
  <c r="G10"/>
  <c r="C10"/>
  <c r="D10" s="1"/>
  <c r="Z9"/>
  <c r="X9"/>
  <c r="W9"/>
  <c r="Y9" s="1"/>
  <c r="AA9" s="1"/>
  <c r="G9"/>
  <c r="F9"/>
  <c r="H9" s="1"/>
  <c r="E9"/>
  <c r="D9"/>
  <c r="C9"/>
  <c r="V40" i="6"/>
  <c r="U40"/>
  <c r="T40"/>
  <c r="S40"/>
  <c r="R40"/>
  <c r="Q40"/>
  <c r="P40"/>
  <c r="O40"/>
  <c r="N40"/>
  <c r="M40"/>
  <c r="L40"/>
  <c r="K40"/>
  <c r="J40"/>
  <c r="I40"/>
  <c r="Z38"/>
  <c r="AA38" s="1"/>
  <c r="Y38"/>
  <c r="X38"/>
  <c r="W38"/>
  <c r="G38"/>
  <c r="D38"/>
  <c r="E38" s="1"/>
  <c r="C38"/>
  <c r="AA37"/>
  <c r="Z37"/>
  <c r="Y37"/>
  <c r="X37"/>
  <c r="W37"/>
  <c r="G37"/>
  <c r="F37"/>
  <c r="H37" s="1"/>
  <c r="E37"/>
  <c r="D37"/>
  <c r="C37"/>
  <c r="Z36"/>
  <c r="X36"/>
  <c r="W36"/>
  <c r="Y36" s="1"/>
  <c r="AA36" s="1"/>
  <c r="G36"/>
  <c r="C36"/>
  <c r="D36" s="1"/>
  <c r="AA35"/>
  <c r="Z35"/>
  <c r="Y35"/>
  <c r="X35"/>
  <c r="W35"/>
  <c r="G35"/>
  <c r="E35"/>
  <c r="D35"/>
  <c r="F35" s="1"/>
  <c r="H35" s="1"/>
  <c r="C35"/>
  <c r="Z34"/>
  <c r="X34"/>
  <c r="W34"/>
  <c r="Y34" s="1"/>
  <c r="AA34" s="1"/>
  <c r="G34"/>
  <c r="C34"/>
  <c r="D34" s="1"/>
  <c r="Z33"/>
  <c r="Y33"/>
  <c r="AA33" s="1"/>
  <c r="X33"/>
  <c r="W33"/>
  <c r="G33"/>
  <c r="C33"/>
  <c r="D33" s="1"/>
  <c r="Z32"/>
  <c r="X32"/>
  <c r="W32"/>
  <c r="Y32" s="1"/>
  <c r="AA32" s="1"/>
  <c r="G32"/>
  <c r="F32"/>
  <c r="H32" s="1"/>
  <c r="E32"/>
  <c r="D32"/>
  <c r="C32"/>
  <c r="Z31"/>
  <c r="X31"/>
  <c r="W31"/>
  <c r="Y31" s="1"/>
  <c r="AA31" s="1"/>
  <c r="G31"/>
  <c r="D31"/>
  <c r="E31" s="1"/>
  <c r="C31"/>
  <c r="Z30"/>
  <c r="Y30"/>
  <c r="AA30" s="1"/>
  <c r="X30"/>
  <c r="W30"/>
  <c r="G30"/>
  <c r="D30"/>
  <c r="E30" s="1"/>
  <c r="C30"/>
  <c r="Z29"/>
  <c r="X29"/>
  <c r="W29"/>
  <c r="Y29" s="1"/>
  <c r="AA29" s="1"/>
  <c r="G29"/>
  <c r="C29"/>
  <c r="D29" s="1"/>
  <c r="Z28"/>
  <c r="X28"/>
  <c r="Y28" s="1"/>
  <c r="AA28" s="1"/>
  <c r="W28"/>
  <c r="G28"/>
  <c r="C28"/>
  <c r="D28" s="1"/>
  <c r="AA27"/>
  <c r="Z27"/>
  <c r="Y27"/>
  <c r="X27"/>
  <c r="W27"/>
  <c r="G27"/>
  <c r="F27"/>
  <c r="H27" s="1"/>
  <c r="E27"/>
  <c r="D27"/>
  <c r="C27"/>
  <c r="Z26"/>
  <c r="Y26"/>
  <c r="AA26" s="1"/>
  <c r="X26"/>
  <c r="W26"/>
  <c r="G26"/>
  <c r="C26"/>
  <c r="D26" s="1"/>
  <c r="Z25"/>
  <c r="Y25"/>
  <c r="AA25" s="1"/>
  <c r="X25"/>
  <c r="W25"/>
  <c r="G25"/>
  <c r="C25"/>
  <c r="D25" s="1"/>
  <c r="Z24"/>
  <c r="X24"/>
  <c r="W24"/>
  <c r="Y24" s="1"/>
  <c r="AA24" s="1"/>
  <c r="G24"/>
  <c r="F24"/>
  <c r="H24" s="1"/>
  <c r="E24"/>
  <c r="D24"/>
  <c r="C24"/>
  <c r="Z23"/>
  <c r="X23"/>
  <c r="W23"/>
  <c r="Y23" s="1"/>
  <c r="AA23" s="1"/>
  <c r="G23"/>
  <c r="C23"/>
  <c r="D23" s="1"/>
  <c r="Z22"/>
  <c r="AA22" s="1"/>
  <c r="Y22"/>
  <c r="X22"/>
  <c r="W22"/>
  <c r="G22"/>
  <c r="D22"/>
  <c r="E22" s="1"/>
  <c r="C22"/>
  <c r="Z21"/>
  <c r="X21"/>
  <c r="W21"/>
  <c r="Y21" s="1"/>
  <c r="AA21" s="1"/>
  <c r="G21"/>
  <c r="H21" s="1"/>
  <c r="F21"/>
  <c r="E21"/>
  <c r="D21"/>
  <c r="C21"/>
  <c r="Z20"/>
  <c r="X20"/>
  <c r="W20"/>
  <c r="Y20" s="1"/>
  <c r="AA20" s="1"/>
  <c r="G20"/>
  <c r="C20"/>
  <c r="D20" s="1"/>
  <c r="AA19"/>
  <c r="Z19"/>
  <c r="Y19"/>
  <c r="X19"/>
  <c r="W19"/>
  <c r="G19"/>
  <c r="E19"/>
  <c r="D19"/>
  <c r="F19" s="1"/>
  <c r="H19" s="1"/>
  <c r="C19"/>
  <c r="Z18"/>
  <c r="X18"/>
  <c r="W18"/>
  <c r="Y18" s="1"/>
  <c r="AA18" s="1"/>
  <c r="G18"/>
  <c r="C18"/>
  <c r="D18" s="1"/>
  <c r="Z17"/>
  <c r="X17"/>
  <c r="Y17" s="1"/>
  <c r="AA17" s="1"/>
  <c r="W17"/>
  <c r="G17"/>
  <c r="D17"/>
  <c r="E17" s="1"/>
  <c r="C17"/>
  <c r="Z16"/>
  <c r="X16"/>
  <c r="W16"/>
  <c r="Y16" s="1"/>
  <c r="AA16" s="1"/>
  <c r="G16"/>
  <c r="F16"/>
  <c r="H16" s="1"/>
  <c r="E16"/>
  <c r="D16"/>
  <c r="C16"/>
  <c r="Z15"/>
  <c r="X15"/>
  <c r="W15"/>
  <c r="Y15" s="1"/>
  <c r="AA15" s="1"/>
  <c r="G15"/>
  <c r="D15"/>
  <c r="E15" s="1"/>
  <c r="C15"/>
  <c r="Z14"/>
  <c r="Y14"/>
  <c r="AA14" s="1"/>
  <c r="X14"/>
  <c r="W14"/>
  <c r="G14"/>
  <c r="C14"/>
  <c r="D14" s="1"/>
  <c r="Z13"/>
  <c r="X13"/>
  <c r="W13"/>
  <c r="Y13" s="1"/>
  <c r="AA13" s="1"/>
  <c r="G13"/>
  <c r="C13"/>
  <c r="D13" s="1"/>
  <c r="Z12"/>
  <c r="X12"/>
  <c r="W12"/>
  <c r="Y12" s="1"/>
  <c r="AA12" s="1"/>
  <c r="G12"/>
  <c r="C12"/>
  <c r="D12" s="1"/>
  <c r="AA11"/>
  <c r="Z11"/>
  <c r="Y11"/>
  <c r="X11"/>
  <c r="W11"/>
  <c r="G11"/>
  <c r="D11"/>
  <c r="E11" s="1"/>
  <c r="C11"/>
  <c r="Z10"/>
  <c r="Y10"/>
  <c r="AA10" s="1"/>
  <c r="X10"/>
  <c r="W10"/>
  <c r="G10"/>
  <c r="C10"/>
  <c r="D10" s="1"/>
  <c r="Z9"/>
  <c r="Z40" s="1"/>
  <c r="X9"/>
  <c r="Y9" s="1"/>
  <c r="W9"/>
  <c r="W40" s="1"/>
  <c r="G9"/>
  <c r="C9"/>
  <c r="D9" s="1"/>
  <c r="V40" i="5"/>
  <c r="U40"/>
  <c r="T40"/>
  <c r="S40"/>
  <c r="R40"/>
  <c r="Q40"/>
  <c r="X40" s="1"/>
  <c r="P40"/>
  <c r="O40"/>
  <c r="N40"/>
  <c r="M40"/>
  <c r="L40"/>
  <c r="K40"/>
  <c r="J40"/>
  <c r="I40"/>
  <c r="W40" s="1"/>
  <c r="Y40" s="1"/>
  <c r="Z39"/>
  <c r="X39"/>
  <c r="W39"/>
  <c r="Y39" s="1"/>
  <c r="AA39" s="1"/>
  <c r="G39"/>
  <c r="C39"/>
  <c r="D39" s="1"/>
  <c r="Z38"/>
  <c r="X38"/>
  <c r="W38"/>
  <c r="Y38" s="1"/>
  <c r="AA38" s="1"/>
  <c r="G38"/>
  <c r="C38"/>
  <c r="D38" s="1"/>
  <c r="Z37"/>
  <c r="AA37" s="1"/>
  <c r="Y37"/>
  <c r="X37"/>
  <c r="W37"/>
  <c r="G37"/>
  <c r="E37"/>
  <c r="D37"/>
  <c r="F37" s="1"/>
  <c r="H37" s="1"/>
  <c r="C37"/>
  <c r="Z36"/>
  <c r="X36"/>
  <c r="W36"/>
  <c r="Y36" s="1"/>
  <c r="AA36" s="1"/>
  <c r="G36"/>
  <c r="C36"/>
  <c r="D36" s="1"/>
  <c r="Z35"/>
  <c r="Y35"/>
  <c r="AA35" s="1"/>
  <c r="X35"/>
  <c r="W35"/>
  <c r="G35"/>
  <c r="C35"/>
  <c r="D35" s="1"/>
  <c r="Z34"/>
  <c r="X34"/>
  <c r="W34"/>
  <c r="Y34" s="1"/>
  <c r="AA34" s="1"/>
  <c r="G34"/>
  <c r="F34"/>
  <c r="H34" s="1"/>
  <c r="E34"/>
  <c r="D34"/>
  <c r="C34"/>
  <c r="Z33"/>
  <c r="X33"/>
  <c r="W33"/>
  <c r="Y33" s="1"/>
  <c r="AA33" s="1"/>
  <c r="G33"/>
  <c r="D33"/>
  <c r="E33" s="1"/>
  <c r="C33"/>
  <c r="Z32"/>
  <c r="Y32"/>
  <c r="AA32" s="1"/>
  <c r="X32"/>
  <c r="W32"/>
  <c r="G32"/>
  <c r="C32"/>
  <c r="D32" s="1"/>
  <c r="Z31"/>
  <c r="X31"/>
  <c r="W31"/>
  <c r="Y31" s="1"/>
  <c r="AA31" s="1"/>
  <c r="G31"/>
  <c r="C31"/>
  <c r="D31" s="1"/>
  <c r="Z30"/>
  <c r="X30"/>
  <c r="W30"/>
  <c r="Y30" s="1"/>
  <c r="AA30" s="1"/>
  <c r="G30"/>
  <c r="C30"/>
  <c r="D30" s="1"/>
  <c r="AA29"/>
  <c r="Z29"/>
  <c r="Y29"/>
  <c r="X29"/>
  <c r="W29"/>
  <c r="G29"/>
  <c r="D29"/>
  <c r="E29" s="1"/>
  <c r="C29"/>
  <c r="Z28"/>
  <c r="Y28"/>
  <c r="AA28" s="1"/>
  <c r="X28"/>
  <c r="W28"/>
  <c r="G28"/>
  <c r="C28"/>
  <c r="D28" s="1"/>
  <c r="Z27"/>
  <c r="X27"/>
  <c r="Y27" s="1"/>
  <c r="AA27" s="1"/>
  <c r="W27"/>
  <c r="G27"/>
  <c r="C27"/>
  <c r="D27" s="1"/>
  <c r="Z26"/>
  <c r="X26"/>
  <c r="W26"/>
  <c r="Y26" s="1"/>
  <c r="AA26" s="1"/>
  <c r="G26"/>
  <c r="F26"/>
  <c r="H26" s="1"/>
  <c r="E26"/>
  <c r="D26"/>
  <c r="C26"/>
  <c r="Z25"/>
  <c r="X25"/>
  <c r="W25"/>
  <c r="Y25" s="1"/>
  <c r="AA25" s="1"/>
  <c r="G25"/>
  <c r="D25"/>
  <c r="E25" s="1"/>
  <c r="C25"/>
  <c r="Z24"/>
  <c r="Y24"/>
  <c r="AA24" s="1"/>
  <c r="X24"/>
  <c r="W24"/>
  <c r="G24"/>
  <c r="D24"/>
  <c r="E24" s="1"/>
  <c r="C24"/>
  <c r="Z23"/>
  <c r="X23"/>
  <c r="W23"/>
  <c r="Y23" s="1"/>
  <c r="AA23" s="1"/>
  <c r="G23"/>
  <c r="F23"/>
  <c r="H23" s="1"/>
  <c r="E23"/>
  <c r="D23"/>
  <c r="C23"/>
  <c r="Z22"/>
  <c r="X22"/>
  <c r="W22"/>
  <c r="Y22" s="1"/>
  <c r="AA22" s="1"/>
  <c r="G22"/>
  <c r="C22"/>
  <c r="D22" s="1"/>
  <c r="Z21"/>
  <c r="AA21" s="1"/>
  <c r="Y21"/>
  <c r="X21"/>
  <c r="W21"/>
  <c r="G21"/>
  <c r="D21"/>
  <c r="E21" s="1"/>
  <c r="C21"/>
  <c r="Z20"/>
  <c r="X20"/>
  <c r="W20"/>
  <c r="Y20" s="1"/>
  <c r="AA20" s="1"/>
  <c r="G20"/>
  <c r="C20"/>
  <c r="D20" s="1"/>
  <c r="Z19"/>
  <c r="X19"/>
  <c r="Y19" s="1"/>
  <c r="AA19" s="1"/>
  <c r="W19"/>
  <c r="G19"/>
  <c r="D19"/>
  <c r="E19" s="1"/>
  <c r="C19"/>
  <c r="Z18"/>
  <c r="X18"/>
  <c r="W18"/>
  <c r="Y18" s="1"/>
  <c r="AA18" s="1"/>
  <c r="G18"/>
  <c r="F18"/>
  <c r="H18" s="1"/>
  <c r="E18"/>
  <c r="D18"/>
  <c r="C18"/>
  <c r="Z17"/>
  <c r="X17"/>
  <c r="W17"/>
  <c r="Y17" s="1"/>
  <c r="AA17" s="1"/>
  <c r="G17"/>
  <c r="D17"/>
  <c r="E17" s="1"/>
  <c r="C17"/>
  <c r="Z16"/>
  <c r="Y16"/>
  <c r="AA16" s="1"/>
  <c r="X16"/>
  <c r="W16"/>
  <c r="G16"/>
  <c r="C16"/>
  <c r="D16" s="1"/>
  <c r="Z15"/>
  <c r="X15"/>
  <c r="W15"/>
  <c r="Y15" s="1"/>
  <c r="AA15" s="1"/>
  <c r="G15"/>
  <c r="C15"/>
  <c r="D15" s="1"/>
  <c r="Z14"/>
  <c r="X14"/>
  <c r="W14"/>
  <c r="Y14" s="1"/>
  <c r="AA14" s="1"/>
  <c r="G14"/>
  <c r="C14"/>
  <c r="D14" s="1"/>
  <c r="Z13"/>
  <c r="AA13" s="1"/>
  <c r="Y13"/>
  <c r="X13"/>
  <c r="W13"/>
  <c r="G13"/>
  <c r="D13"/>
  <c r="E13" s="1"/>
  <c r="C13"/>
  <c r="Z12"/>
  <c r="Y12"/>
  <c r="AA12" s="1"/>
  <c r="X12"/>
  <c r="W12"/>
  <c r="G12"/>
  <c r="C12"/>
  <c r="D12" s="1"/>
  <c r="Z11"/>
  <c r="X11"/>
  <c r="Y11" s="1"/>
  <c r="AA11" s="1"/>
  <c r="W11"/>
  <c r="G11"/>
  <c r="C11"/>
  <c r="D11" s="1"/>
  <c r="Z10"/>
  <c r="X10"/>
  <c r="W10"/>
  <c r="Y10" s="1"/>
  <c r="AA10" s="1"/>
  <c r="G10"/>
  <c r="F10"/>
  <c r="H10" s="1"/>
  <c r="E10"/>
  <c r="D10"/>
  <c r="C10"/>
  <c r="Z9"/>
  <c r="X9"/>
  <c r="W9"/>
  <c r="Y9" s="1"/>
  <c r="AA9" s="1"/>
  <c r="G9"/>
  <c r="D9"/>
  <c r="E9" s="1"/>
  <c r="C9"/>
  <c r="V40" i="4"/>
  <c r="U40"/>
  <c r="T40"/>
  <c r="S40"/>
  <c r="R40"/>
  <c r="Q40"/>
  <c r="P40"/>
  <c r="O40"/>
  <c r="N40"/>
  <c r="M40"/>
  <c r="L40"/>
  <c r="K40"/>
  <c r="J40"/>
  <c r="I40"/>
  <c r="Z38"/>
  <c r="AA38" s="1"/>
  <c r="Y38"/>
  <c r="X38"/>
  <c r="W38"/>
  <c r="G38"/>
  <c r="D38"/>
  <c r="E38" s="1"/>
  <c r="C38"/>
  <c r="Z37"/>
  <c r="X37"/>
  <c r="W37"/>
  <c r="Y37" s="1"/>
  <c r="AA37" s="1"/>
  <c r="G37"/>
  <c r="C37"/>
  <c r="D37" s="1"/>
  <c r="Z36"/>
  <c r="X36"/>
  <c r="Y36" s="1"/>
  <c r="AA36" s="1"/>
  <c r="W36"/>
  <c r="G36"/>
  <c r="D36"/>
  <c r="E36" s="1"/>
  <c r="C36"/>
  <c r="Z35"/>
  <c r="X35"/>
  <c r="W35"/>
  <c r="Y35" s="1"/>
  <c r="AA35" s="1"/>
  <c r="G35"/>
  <c r="F35"/>
  <c r="H35" s="1"/>
  <c r="E35"/>
  <c r="D35"/>
  <c r="C35"/>
  <c r="Z34"/>
  <c r="X34"/>
  <c r="W34"/>
  <c r="Y34" s="1"/>
  <c r="AA34" s="1"/>
  <c r="G34"/>
  <c r="D34"/>
  <c r="E34" s="1"/>
  <c r="C34"/>
  <c r="Z33"/>
  <c r="Y33"/>
  <c r="AA33" s="1"/>
  <c r="X33"/>
  <c r="W33"/>
  <c r="G33"/>
  <c r="C33"/>
  <c r="D33" s="1"/>
  <c r="Z32"/>
  <c r="X32"/>
  <c r="W32"/>
  <c r="Y32" s="1"/>
  <c r="AA32" s="1"/>
  <c r="G32"/>
  <c r="C32"/>
  <c r="D32" s="1"/>
  <c r="Z31"/>
  <c r="X31"/>
  <c r="W31"/>
  <c r="Y31" s="1"/>
  <c r="AA31" s="1"/>
  <c r="G31"/>
  <c r="C31"/>
  <c r="D31" s="1"/>
  <c r="Z30"/>
  <c r="AA30" s="1"/>
  <c r="Y30"/>
  <c r="X30"/>
  <c r="W30"/>
  <c r="G30"/>
  <c r="D30"/>
  <c r="E30" s="1"/>
  <c r="C30"/>
  <c r="Z29"/>
  <c r="Y29"/>
  <c r="AA29" s="1"/>
  <c r="X29"/>
  <c r="W29"/>
  <c r="G29"/>
  <c r="C29"/>
  <c r="D29" s="1"/>
  <c r="Z28"/>
  <c r="X28"/>
  <c r="Y28" s="1"/>
  <c r="AA28" s="1"/>
  <c r="W28"/>
  <c r="G28"/>
  <c r="C28"/>
  <c r="D28" s="1"/>
  <c r="Z27"/>
  <c r="X27"/>
  <c r="W27"/>
  <c r="Y27" s="1"/>
  <c r="AA27" s="1"/>
  <c r="G27"/>
  <c r="F27"/>
  <c r="H27" s="1"/>
  <c r="E27"/>
  <c r="D27"/>
  <c r="C27"/>
  <c r="Z26"/>
  <c r="X26"/>
  <c r="W26"/>
  <c r="Y26" s="1"/>
  <c r="AA26" s="1"/>
  <c r="G26"/>
  <c r="D26"/>
  <c r="E26" s="1"/>
  <c r="C26"/>
  <c r="AA25"/>
  <c r="Z25"/>
  <c r="Y25"/>
  <c r="X25"/>
  <c r="W25"/>
  <c r="G25"/>
  <c r="C25"/>
  <c r="D25" s="1"/>
  <c r="AA24"/>
  <c r="Z24"/>
  <c r="Y24"/>
  <c r="G24"/>
  <c r="F24"/>
  <c r="H24" s="1"/>
  <c r="D24"/>
  <c r="E24" s="1"/>
  <c r="C24"/>
  <c r="Z23"/>
  <c r="Y23"/>
  <c r="AA23" s="1"/>
  <c r="X23"/>
  <c r="W23"/>
  <c r="G23"/>
  <c r="C23"/>
  <c r="D23" s="1"/>
  <c r="Z22"/>
  <c r="X22"/>
  <c r="Y22" s="1"/>
  <c r="AA22" s="1"/>
  <c r="W22"/>
  <c r="G22"/>
  <c r="C22"/>
  <c r="D22" s="1"/>
  <c r="Z21"/>
  <c r="X21"/>
  <c r="W21"/>
  <c r="Y21" s="1"/>
  <c r="AA21" s="1"/>
  <c r="G21"/>
  <c r="F21"/>
  <c r="H21" s="1"/>
  <c r="E21"/>
  <c r="D21"/>
  <c r="C21"/>
  <c r="Z20"/>
  <c r="X20"/>
  <c r="W20"/>
  <c r="Y20" s="1"/>
  <c r="AA20" s="1"/>
  <c r="G20"/>
  <c r="D20"/>
  <c r="E20" s="1"/>
  <c r="C20"/>
  <c r="AA19"/>
  <c r="Z19"/>
  <c r="Y19"/>
  <c r="X19"/>
  <c r="W19"/>
  <c r="G19"/>
  <c r="C19"/>
  <c r="D19" s="1"/>
  <c r="Z18"/>
  <c r="X18"/>
  <c r="W18"/>
  <c r="Y18" s="1"/>
  <c r="AA18" s="1"/>
  <c r="H18"/>
  <c r="G18"/>
  <c r="F18"/>
  <c r="E18"/>
  <c r="D18"/>
  <c r="C18"/>
  <c r="Z17"/>
  <c r="X17"/>
  <c r="W17"/>
  <c r="Y17" s="1"/>
  <c r="AA17" s="1"/>
  <c r="G17"/>
  <c r="C17"/>
  <c r="D17" s="1"/>
  <c r="Z16"/>
  <c r="AA16" s="1"/>
  <c r="Y16"/>
  <c r="X16"/>
  <c r="W16"/>
  <c r="G16"/>
  <c r="D16"/>
  <c r="E16" s="1"/>
  <c r="C16"/>
  <c r="Z15"/>
  <c r="X15"/>
  <c r="W15"/>
  <c r="Y15" s="1"/>
  <c r="AA15" s="1"/>
  <c r="H15"/>
  <c r="G15"/>
  <c r="F15"/>
  <c r="E15"/>
  <c r="D15"/>
  <c r="C15"/>
  <c r="Z14"/>
  <c r="X14"/>
  <c r="Y14" s="1"/>
  <c r="AA14" s="1"/>
  <c r="W14"/>
  <c r="G14"/>
  <c r="D14"/>
  <c r="E14" s="1"/>
  <c r="C14"/>
  <c r="Z13"/>
  <c r="X13"/>
  <c r="W13"/>
  <c r="Y13" s="1"/>
  <c r="AA13" s="1"/>
  <c r="G13"/>
  <c r="F13"/>
  <c r="H13" s="1"/>
  <c r="E13"/>
  <c r="D13"/>
  <c r="C13"/>
  <c r="Z12"/>
  <c r="X12"/>
  <c r="W12"/>
  <c r="Y12" s="1"/>
  <c r="AA12" s="1"/>
  <c r="G12"/>
  <c r="D12"/>
  <c r="E12" s="1"/>
  <c r="C12"/>
  <c r="Z11"/>
  <c r="Y11"/>
  <c r="AA11" s="1"/>
  <c r="X11"/>
  <c r="W11"/>
  <c r="G11"/>
  <c r="C11"/>
  <c r="D11" s="1"/>
  <c r="Z10"/>
  <c r="X10"/>
  <c r="W10"/>
  <c r="Y10" s="1"/>
  <c r="AA10" s="1"/>
  <c r="G10"/>
  <c r="C10"/>
  <c r="D10" s="1"/>
  <c r="Z9"/>
  <c r="Y9"/>
  <c r="X9"/>
  <c r="X40" s="1"/>
  <c r="W9"/>
  <c r="W40" s="1"/>
  <c r="G9"/>
  <c r="C9"/>
  <c r="D9" s="1"/>
  <c r="V40" i="3"/>
  <c r="U40"/>
  <c r="T40"/>
  <c r="S40"/>
  <c r="R40"/>
  <c r="Q40"/>
  <c r="P40"/>
  <c r="X40" s="1"/>
  <c r="O40"/>
  <c r="N40"/>
  <c r="M40"/>
  <c r="L40"/>
  <c r="K40"/>
  <c r="J40"/>
  <c r="I40"/>
  <c r="W40" s="1"/>
  <c r="Z39"/>
  <c r="X39"/>
  <c r="W39"/>
  <c r="Y39" s="1"/>
  <c r="AA39" s="1"/>
  <c r="G39"/>
  <c r="F39"/>
  <c r="H39" s="1"/>
  <c r="E39"/>
  <c r="D39"/>
  <c r="C39"/>
  <c r="Z38"/>
  <c r="X38"/>
  <c r="W38"/>
  <c r="Y38" s="1"/>
  <c r="AA38" s="1"/>
  <c r="G38"/>
  <c r="D38"/>
  <c r="E38" s="1"/>
  <c r="C38"/>
  <c r="AA37"/>
  <c r="Z37"/>
  <c r="Y37"/>
  <c r="X37"/>
  <c r="W37"/>
  <c r="G37"/>
  <c r="C37"/>
  <c r="D37" s="1"/>
  <c r="Z36"/>
  <c r="X36"/>
  <c r="W36"/>
  <c r="Y36" s="1"/>
  <c r="AA36" s="1"/>
  <c r="H36"/>
  <c r="G36"/>
  <c r="F36"/>
  <c r="E36"/>
  <c r="D36"/>
  <c r="C36"/>
  <c r="Z35"/>
  <c r="X35"/>
  <c r="W35"/>
  <c r="Y35" s="1"/>
  <c r="AA35" s="1"/>
  <c r="G35"/>
  <c r="C35"/>
  <c r="D35" s="1"/>
  <c r="Z34"/>
  <c r="AA34" s="1"/>
  <c r="Y34"/>
  <c r="X34"/>
  <c r="W34"/>
  <c r="G34"/>
  <c r="D34"/>
  <c r="E34" s="1"/>
  <c r="C34"/>
  <c r="Z33"/>
  <c r="X33"/>
  <c r="W33"/>
  <c r="Y33" s="1"/>
  <c r="AA33" s="1"/>
  <c r="G33"/>
  <c r="C33"/>
  <c r="D33" s="1"/>
  <c r="Z32"/>
  <c r="X32"/>
  <c r="Y32" s="1"/>
  <c r="AA32" s="1"/>
  <c r="W32"/>
  <c r="G32"/>
  <c r="D32"/>
  <c r="E32" s="1"/>
  <c r="C32"/>
  <c r="Z31"/>
  <c r="X31"/>
  <c r="W31"/>
  <c r="Y31" s="1"/>
  <c r="AA31" s="1"/>
  <c r="G31"/>
  <c r="F31"/>
  <c r="H31" s="1"/>
  <c r="E31"/>
  <c r="D31"/>
  <c r="C31"/>
  <c r="Z30"/>
  <c r="X30"/>
  <c r="W30"/>
  <c r="Y30" s="1"/>
  <c r="AA30" s="1"/>
  <c r="G30"/>
  <c r="D30"/>
  <c r="E30" s="1"/>
  <c r="C30"/>
  <c r="Z29"/>
  <c r="Y29"/>
  <c r="AA29" s="1"/>
  <c r="X29"/>
  <c r="W29"/>
  <c r="G29"/>
  <c r="C29"/>
  <c r="D29" s="1"/>
  <c r="Z28"/>
  <c r="X28"/>
  <c r="W28"/>
  <c r="Y28" s="1"/>
  <c r="AA28" s="1"/>
  <c r="G28"/>
  <c r="F28"/>
  <c r="H28" s="1"/>
  <c r="E28"/>
  <c r="D28"/>
  <c r="C28"/>
  <c r="Z27"/>
  <c r="X27"/>
  <c r="W27"/>
  <c r="Y27" s="1"/>
  <c r="AA27" s="1"/>
  <c r="G27"/>
  <c r="C27"/>
  <c r="D27" s="1"/>
  <c r="Z26"/>
  <c r="AA26" s="1"/>
  <c r="Y26"/>
  <c r="X26"/>
  <c r="W26"/>
  <c r="G26"/>
  <c r="D26"/>
  <c r="E26" s="1"/>
  <c r="C26"/>
  <c r="Z25"/>
  <c r="Y25"/>
  <c r="AA25" s="1"/>
  <c r="X25"/>
  <c r="W25"/>
  <c r="G25"/>
  <c r="C25"/>
  <c r="D25" s="1"/>
  <c r="Z24"/>
  <c r="X24"/>
  <c r="Y24" s="1"/>
  <c r="AA24" s="1"/>
  <c r="W24"/>
  <c r="G24"/>
  <c r="C24"/>
  <c r="D24" s="1"/>
  <c r="Z23"/>
  <c r="X23"/>
  <c r="W23"/>
  <c r="Y23" s="1"/>
  <c r="AA23" s="1"/>
  <c r="G23"/>
  <c r="F23"/>
  <c r="H23" s="1"/>
  <c r="E23"/>
  <c r="D23"/>
  <c r="C23"/>
  <c r="Z22"/>
  <c r="X22"/>
  <c r="W22"/>
  <c r="Y22" s="1"/>
  <c r="AA22" s="1"/>
  <c r="G22"/>
  <c r="D22"/>
  <c r="E22" s="1"/>
  <c r="C22"/>
  <c r="AA21"/>
  <c r="Z21"/>
  <c r="Y21"/>
  <c r="X21"/>
  <c r="W21"/>
  <c r="G21"/>
  <c r="C21"/>
  <c r="D21" s="1"/>
  <c r="Z20"/>
  <c r="X20"/>
  <c r="W20"/>
  <c r="Y20" s="1"/>
  <c r="AA20" s="1"/>
  <c r="G20"/>
  <c r="C20"/>
  <c r="D20" s="1"/>
  <c r="Z19"/>
  <c r="X19"/>
  <c r="W19"/>
  <c r="Y19" s="1"/>
  <c r="AA19" s="1"/>
  <c r="G19"/>
  <c r="C19"/>
  <c r="D19" s="1"/>
  <c r="Z18"/>
  <c r="AA18" s="1"/>
  <c r="Y18"/>
  <c r="X18"/>
  <c r="W18"/>
  <c r="G18"/>
  <c r="D18"/>
  <c r="E18" s="1"/>
  <c r="C18"/>
  <c r="Z17"/>
  <c r="X17"/>
  <c r="W17"/>
  <c r="Y17" s="1"/>
  <c r="AA17" s="1"/>
  <c r="G17"/>
  <c r="C17"/>
  <c r="D17" s="1"/>
  <c r="Z16"/>
  <c r="X16"/>
  <c r="Y16" s="1"/>
  <c r="AA16" s="1"/>
  <c r="W16"/>
  <c r="G16"/>
  <c r="D16"/>
  <c r="E16" s="1"/>
  <c r="C16"/>
  <c r="Z15"/>
  <c r="X15"/>
  <c r="W15"/>
  <c r="Y15" s="1"/>
  <c r="AA15" s="1"/>
  <c r="G15"/>
  <c r="F15"/>
  <c r="H15" s="1"/>
  <c r="E15"/>
  <c r="D15"/>
  <c r="C15"/>
  <c r="Z14"/>
  <c r="X14"/>
  <c r="W14"/>
  <c r="Y14" s="1"/>
  <c r="AA14" s="1"/>
  <c r="G14"/>
  <c r="D14"/>
  <c r="E14" s="1"/>
  <c r="C14"/>
  <c r="Z13"/>
  <c r="Y13"/>
  <c r="AA13" s="1"/>
  <c r="X13"/>
  <c r="W13"/>
  <c r="H13"/>
  <c r="G13"/>
  <c r="F13"/>
  <c r="E13"/>
  <c r="D13"/>
  <c r="C13"/>
  <c r="Z12"/>
  <c r="X12"/>
  <c r="W12"/>
  <c r="Y12" s="1"/>
  <c r="AA12" s="1"/>
  <c r="G12"/>
  <c r="F12"/>
  <c r="H12" s="1"/>
  <c r="E12"/>
  <c r="D12"/>
  <c r="C12"/>
  <c r="Z11"/>
  <c r="X11"/>
  <c r="W11"/>
  <c r="Y11" s="1"/>
  <c r="AA11" s="1"/>
  <c r="G11"/>
  <c r="C11"/>
  <c r="D11" s="1"/>
  <c r="Z10"/>
  <c r="AA10" s="1"/>
  <c r="Y10"/>
  <c r="X10"/>
  <c r="W10"/>
  <c r="G10"/>
  <c r="F10"/>
  <c r="H10" s="1"/>
  <c r="D10"/>
  <c r="E10" s="1"/>
  <c r="C10"/>
  <c r="Z9"/>
  <c r="Y9"/>
  <c r="AA9" s="1"/>
  <c r="X9"/>
  <c r="W9"/>
  <c r="G9"/>
  <c r="C9"/>
  <c r="D9" s="1"/>
  <c r="X39" i="2"/>
  <c r="W39"/>
  <c r="Y39" s="1"/>
  <c r="Z37"/>
  <c r="X37"/>
  <c r="W37"/>
  <c r="Y37" s="1"/>
  <c r="AA37" s="1"/>
  <c r="G37"/>
  <c r="F37"/>
  <c r="H37" s="1"/>
  <c r="E37"/>
  <c r="D37"/>
  <c r="C37"/>
  <c r="Z36"/>
  <c r="X36"/>
  <c r="W36"/>
  <c r="Y36" s="1"/>
  <c r="AA36" s="1"/>
  <c r="G36"/>
  <c r="D36"/>
  <c r="E36" s="1"/>
  <c r="C36"/>
  <c r="Z35"/>
  <c r="Y35"/>
  <c r="AA35" s="1"/>
  <c r="X35"/>
  <c r="W35"/>
  <c r="G35"/>
  <c r="C35"/>
  <c r="D35" s="1"/>
  <c r="Z34"/>
  <c r="X34"/>
  <c r="W34"/>
  <c r="Y34" s="1"/>
  <c r="AA34" s="1"/>
  <c r="G34"/>
  <c r="F34"/>
  <c r="H34" s="1"/>
  <c r="E34"/>
  <c r="D34"/>
  <c r="C34"/>
  <c r="Z33"/>
  <c r="X33"/>
  <c r="W33"/>
  <c r="Y33" s="1"/>
  <c r="AA33" s="1"/>
  <c r="G33"/>
  <c r="C33"/>
  <c r="D33" s="1"/>
  <c r="Z32"/>
  <c r="AA32" s="1"/>
  <c r="Y32"/>
  <c r="X32"/>
  <c r="W32"/>
  <c r="G32"/>
  <c r="D32"/>
  <c r="E32" s="1"/>
  <c r="C32"/>
  <c r="Z31"/>
  <c r="Y31"/>
  <c r="AA31" s="1"/>
  <c r="X31"/>
  <c r="W31"/>
  <c r="G31"/>
  <c r="C31"/>
  <c r="D31" s="1"/>
  <c r="Z30"/>
  <c r="X30"/>
  <c r="Y30" s="1"/>
  <c r="AA30" s="1"/>
  <c r="W30"/>
  <c r="G30"/>
  <c r="C30"/>
  <c r="D30" s="1"/>
  <c r="Z29"/>
  <c r="X29"/>
  <c r="W29"/>
  <c r="Y29" s="1"/>
  <c r="AA29" s="1"/>
  <c r="G29"/>
  <c r="F29"/>
  <c r="H29" s="1"/>
  <c r="E29"/>
  <c r="D29"/>
  <c r="C29"/>
  <c r="Z28"/>
  <c r="X28"/>
  <c r="W28"/>
  <c r="Y28" s="1"/>
  <c r="AA28" s="1"/>
  <c r="G28"/>
  <c r="D28"/>
  <c r="E28" s="1"/>
  <c r="C28"/>
  <c r="Z27"/>
  <c r="Y27"/>
  <c r="AA27" s="1"/>
  <c r="X27"/>
  <c r="W27"/>
  <c r="G27"/>
  <c r="C27"/>
  <c r="D27" s="1"/>
  <c r="Z26"/>
  <c r="X26"/>
  <c r="W26"/>
  <c r="Y26" s="1"/>
  <c r="AA26" s="1"/>
  <c r="G26"/>
  <c r="C26"/>
  <c r="D26" s="1"/>
  <c r="Z25"/>
  <c r="X25"/>
  <c r="W25"/>
  <c r="Y25" s="1"/>
  <c r="AA25" s="1"/>
  <c r="G25"/>
  <c r="C25"/>
  <c r="D25" s="1"/>
  <c r="Z24"/>
  <c r="AA24" s="1"/>
  <c r="Y24"/>
  <c r="X24"/>
  <c r="W24"/>
  <c r="G24"/>
  <c r="D24"/>
  <c r="E24" s="1"/>
  <c r="C24"/>
  <c r="Z23"/>
  <c r="X23"/>
  <c r="W23"/>
  <c r="Y23" s="1"/>
  <c r="AA23" s="1"/>
  <c r="G23"/>
  <c r="C23"/>
  <c r="D23" s="1"/>
  <c r="Z22"/>
  <c r="X22"/>
  <c r="Y22" s="1"/>
  <c r="AA22" s="1"/>
  <c r="W22"/>
  <c r="G22"/>
  <c r="D22"/>
  <c r="E22" s="1"/>
  <c r="C22"/>
  <c r="Z21"/>
  <c r="X21"/>
  <c r="W21"/>
  <c r="Y21" s="1"/>
  <c r="AA21" s="1"/>
  <c r="G21"/>
  <c r="F21"/>
  <c r="H21" s="1"/>
  <c r="E21"/>
  <c r="D21"/>
  <c r="C21"/>
  <c r="Z20"/>
  <c r="X20"/>
  <c r="W20"/>
  <c r="Y20" s="1"/>
  <c r="AA20" s="1"/>
  <c r="G20"/>
  <c r="D20"/>
  <c r="E20" s="1"/>
  <c r="C20"/>
  <c r="Z19"/>
  <c r="Y19"/>
  <c r="AA19" s="1"/>
  <c r="X19"/>
  <c r="W19"/>
  <c r="G19"/>
  <c r="C19"/>
  <c r="D19" s="1"/>
  <c r="Z18"/>
  <c r="X18"/>
  <c r="W18"/>
  <c r="Y18" s="1"/>
  <c r="AA18" s="1"/>
  <c r="G18"/>
  <c r="F18"/>
  <c r="H18" s="1"/>
  <c r="E18"/>
  <c r="D18"/>
  <c r="C18"/>
  <c r="Z17"/>
  <c r="X17"/>
  <c r="W17"/>
  <c r="Y17" s="1"/>
  <c r="AA17" s="1"/>
  <c r="G17"/>
  <c r="C17"/>
  <c r="D17" s="1"/>
  <c r="Z16"/>
  <c r="AA16" s="1"/>
  <c r="Y16"/>
  <c r="X16"/>
  <c r="W16"/>
  <c r="G16"/>
  <c r="D16"/>
  <c r="E16" s="1"/>
  <c r="C16"/>
  <c r="Z15"/>
  <c r="Y15"/>
  <c r="AA15" s="1"/>
  <c r="X15"/>
  <c r="W15"/>
  <c r="G15"/>
  <c r="C15"/>
  <c r="D15" s="1"/>
  <c r="Z14"/>
  <c r="X14"/>
  <c r="Y14" s="1"/>
  <c r="AA14" s="1"/>
  <c r="W14"/>
  <c r="G14"/>
  <c r="C14"/>
  <c r="D14" s="1"/>
  <c r="Z13"/>
  <c r="X13"/>
  <c r="W13"/>
  <c r="Y13" s="1"/>
  <c r="AA13" s="1"/>
  <c r="G13"/>
  <c r="F13"/>
  <c r="H13" s="1"/>
  <c r="E13"/>
  <c r="D13"/>
  <c r="C13"/>
  <c r="Z12"/>
  <c r="X12"/>
  <c r="W12"/>
  <c r="Y12" s="1"/>
  <c r="AA12" s="1"/>
  <c r="G12"/>
  <c r="D12"/>
  <c r="E12" s="1"/>
  <c r="C12"/>
  <c r="Z11"/>
  <c r="Y11"/>
  <c r="AA11" s="1"/>
  <c r="X11"/>
  <c r="W11"/>
  <c r="G11"/>
  <c r="C11"/>
  <c r="D11" s="1"/>
  <c r="Z10"/>
  <c r="X10"/>
  <c r="W10"/>
  <c r="Y10" s="1"/>
  <c r="AA10" s="1"/>
  <c r="G10"/>
  <c r="F10"/>
  <c r="H10" s="1"/>
  <c r="E10"/>
  <c r="D10"/>
  <c r="C10"/>
  <c r="Z9"/>
  <c r="X9"/>
  <c r="W9"/>
  <c r="Y9" s="1"/>
  <c r="AA9" s="1"/>
  <c r="G9"/>
  <c r="C9"/>
  <c r="D9" s="1"/>
  <c r="V40" i="1"/>
  <c r="U40"/>
  <c r="T40"/>
  <c r="S40"/>
  <c r="R40"/>
  <c r="Q40"/>
  <c r="P40"/>
  <c r="X40" s="1"/>
  <c r="O40"/>
  <c r="N40"/>
  <c r="M40"/>
  <c r="L40"/>
  <c r="K40"/>
  <c r="J40"/>
  <c r="I40"/>
  <c r="W40" s="1"/>
  <c r="Y40" s="1"/>
  <c r="Z39"/>
  <c r="X39"/>
  <c r="W39"/>
  <c r="Y39" s="1"/>
  <c r="AA39" s="1"/>
  <c r="G39"/>
  <c r="E39"/>
  <c r="D39"/>
  <c r="F39" s="1"/>
  <c r="H39" s="1"/>
  <c r="C39"/>
  <c r="Z38"/>
  <c r="X38"/>
  <c r="W38"/>
  <c r="Y38" s="1"/>
  <c r="AA38" s="1"/>
  <c r="G38"/>
  <c r="D38"/>
  <c r="E38" s="1"/>
  <c r="C38"/>
  <c r="Z37"/>
  <c r="Y37"/>
  <c r="AA37" s="1"/>
  <c r="X37"/>
  <c r="W37"/>
  <c r="H37"/>
  <c r="G37"/>
  <c r="F37"/>
  <c r="E37"/>
  <c r="D37"/>
  <c r="C37"/>
  <c r="Z36"/>
  <c r="X36"/>
  <c r="W36"/>
  <c r="Y36" s="1"/>
  <c r="AA36" s="1"/>
  <c r="G36"/>
  <c r="F36"/>
  <c r="H36" s="1"/>
  <c r="E36"/>
  <c r="D36"/>
  <c r="C36"/>
  <c r="Z35"/>
  <c r="Y35"/>
  <c r="AA35" s="1"/>
  <c r="X35"/>
  <c r="W35"/>
  <c r="G35"/>
  <c r="C35"/>
  <c r="D35" s="1"/>
  <c r="Z34"/>
  <c r="Y34"/>
  <c r="AA34" s="1"/>
  <c r="X34"/>
  <c r="W34"/>
  <c r="G34"/>
  <c r="F34"/>
  <c r="H34" s="1"/>
  <c r="D34"/>
  <c r="E34" s="1"/>
  <c r="C34"/>
  <c r="Z33"/>
  <c r="Y33"/>
  <c r="AA33" s="1"/>
  <c r="X33"/>
  <c r="W33"/>
  <c r="G33"/>
  <c r="C33"/>
  <c r="D33" s="1"/>
  <c r="Z32"/>
  <c r="X32"/>
  <c r="Y32" s="1"/>
  <c r="AA32" s="1"/>
  <c r="W32"/>
  <c r="G32"/>
  <c r="F32"/>
  <c r="H32" s="1"/>
  <c r="D32"/>
  <c r="E32" s="1"/>
  <c r="C32"/>
  <c r="Z31"/>
  <c r="X31"/>
  <c r="W31"/>
  <c r="Y31" s="1"/>
  <c r="AA31" s="1"/>
  <c r="G31"/>
  <c r="F31"/>
  <c r="H31" s="1"/>
  <c r="E31"/>
  <c r="D31"/>
  <c r="C31"/>
  <c r="Z30"/>
  <c r="X30"/>
  <c r="W30"/>
  <c r="Y30" s="1"/>
  <c r="AA30" s="1"/>
  <c r="G30"/>
  <c r="D30"/>
  <c r="E30" s="1"/>
  <c r="C30"/>
  <c r="AA29"/>
  <c r="Z29"/>
  <c r="Y29"/>
  <c r="X29"/>
  <c r="W29"/>
  <c r="G29"/>
  <c r="C29"/>
  <c r="D29" s="1"/>
  <c r="Z28"/>
  <c r="X28"/>
  <c r="W28"/>
  <c r="Y28" s="1"/>
  <c r="AA28" s="1"/>
  <c r="H28"/>
  <c r="G28"/>
  <c r="F28"/>
  <c r="E28"/>
  <c r="D28"/>
  <c r="C28"/>
  <c r="Z27"/>
  <c r="X27"/>
  <c r="W27"/>
  <c r="Y27" s="1"/>
  <c r="AA27" s="1"/>
  <c r="G27"/>
  <c r="C27"/>
  <c r="D27" s="1"/>
  <c r="Z26"/>
  <c r="AA26" s="1"/>
  <c r="Y26"/>
  <c r="X26"/>
  <c r="W26"/>
  <c r="G26"/>
  <c r="D26"/>
  <c r="E26" s="1"/>
  <c r="C26"/>
  <c r="Z25"/>
  <c r="X25"/>
  <c r="W25"/>
  <c r="Y25" s="1"/>
  <c r="AA25" s="1"/>
  <c r="G25"/>
  <c r="C25"/>
  <c r="D25" s="1"/>
  <c r="Z24"/>
  <c r="X24"/>
  <c r="W24"/>
  <c r="Y24" s="1"/>
  <c r="AA24" s="1"/>
  <c r="G24"/>
  <c r="D24"/>
  <c r="E24" s="1"/>
  <c r="C24"/>
  <c r="Z23"/>
  <c r="X23"/>
  <c r="W23"/>
  <c r="Y23" s="1"/>
  <c r="AA23" s="1"/>
  <c r="G23"/>
  <c r="E23"/>
  <c r="D23"/>
  <c r="F23" s="1"/>
  <c r="H23" s="1"/>
  <c r="C23"/>
  <c r="Z22"/>
  <c r="X22"/>
  <c r="W22"/>
  <c r="Y22" s="1"/>
  <c r="AA22" s="1"/>
  <c r="G22"/>
  <c r="D22"/>
  <c r="E22" s="1"/>
  <c r="C22"/>
  <c r="Z21"/>
  <c r="Y21"/>
  <c r="AA21" s="1"/>
  <c r="X21"/>
  <c r="W21"/>
  <c r="G21"/>
  <c r="C21"/>
  <c r="D21" s="1"/>
  <c r="Z20"/>
  <c r="X20"/>
  <c r="W20"/>
  <c r="Y20" s="1"/>
  <c r="AA20" s="1"/>
  <c r="G20"/>
  <c r="C20"/>
  <c r="D20" s="1"/>
  <c r="Z19"/>
  <c r="X19"/>
  <c r="W19"/>
  <c r="Y19" s="1"/>
  <c r="AA19" s="1"/>
  <c r="G19"/>
  <c r="C19"/>
  <c r="D19" s="1"/>
  <c r="Z18"/>
  <c r="Y18"/>
  <c r="AA18" s="1"/>
  <c r="X18"/>
  <c r="W18"/>
  <c r="G18"/>
  <c r="F18"/>
  <c r="H18" s="1"/>
  <c r="D18"/>
  <c r="E18" s="1"/>
  <c r="C18"/>
  <c r="Z17"/>
  <c r="Y17"/>
  <c r="AA17" s="1"/>
  <c r="X17"/>
  <c r="W17"/>
  <c r="G17"/>
  <c r="C17"/>
  <c r="D17" s="1"/>
  <c r="Z16"/>
  <c r="X16"/>
  <c r="Y16" s="1"/>
  <c r="AA16" s="1"/>
  <c r="W16"/>
  <c r="G16"/>
  <c r="F16"/>
  <c r="H16" s="1"/>
  <c r="D16"/>
  <c r="E16" s="1"/>
  <c r="C16"/>
  <c r="Z15"/>
  <c r="X15"/>
  <c r="W15"/>
  <c r="Y15" s="1"/>
  <c r="AA15" s="1"/>
  <c r="G15"/>
  <c r="F15"/>
  <c r="H15" s="1"/>
  <c r="E15"/>
  <c r="D15"/>
  <c r="C15"/>
  <c r="Z14"/>
  <c r="X14"/>
  <c r="W14"/>
  <c r="Y14" s="1"/>
  <c r="AA14" s="1"/>
  <c r="G14"/>
  <c r="D14"/>
  <c r="E14" s="1"/>
  <c r="C14"/>
  <c r="AA13"/>
  <c r="Z13"/>
  <c r="Y13"/>
  <c r="X13"/>
  <c r="W13"/>
  <c r="G13"/>
  <c r="C13"/>
  <c r="D13" s="1"/>
  <c r="Z12"/>
  <c r="X12"/>
  <c r="Y12" s="1"/>
  <c r="AA12" s="1"/>
  <c r="W12"/>
  <c r="H12"/>
  <c r="G12"/>
  <c r="F12"/>
  <c r="E12"/>
  <c r="D12"/>
  <c r="C12"/>
  <c r="Z11"/>
  <c r="X11"/>
  <c r="W11"/>
  <c r="Y11" s="1"/>
  <c r="AA11" s="1"/>
  <c r="G11"/>
  <c r="C11"/>
  <c r="D11" s="1"/>
  <c r="Z10"/>
  <c r="AA10" s="1"/>
  <c r="Y10"/>
  <c r="X10"/>
  <c r="W10"/>
  <c r="G10"/>
  <c r="D10"/>
  <c r="E10" s="1"/>
  <c r="C10"/>
  <c r="Z9"/>
  <c r="X9"/>
  <c r="W9"/>
  <c r="Y9" s="1"/>
  <c r="AA9" s="1"/>
  <c r="G9"/>
  <c r="C9"/>
  <c r="D9" s="1"/>
  <c r="F11" i="3" l="1"/>
  <c r="H11" s="1"/>
  <c r="E11"/>
  <c r="E29" i="4"/>
  <c r="F29"/>
  <c r="H29" s="1"/>
  <c r="E15" i="5"/>
  <c r="F15"/>
  <c r="H15" s="1"/>
  <c r="F30"/>
  <c r="H30" s="1"/>
  <c r="E30"/>
  <c r="E18" i="6"/>
  <c r="F18"/>
  <c r="H18" s="1"/>
  <c r="E17" i="9"/>
  <c r="F17"/>
  <c r="H17" s="1"/>
  <c r="E28" i="10"/>
  <c r="F28"/>
  <c r="H28" s="1"/>
  <c r="E20" i="11"/>
  <c r="F20"/>
  <c r="H20" s="1"/>
  <c r="E23"/>
  <c r="F23"/>
  <c r="H23" s="1"/>
  <c r="E37"/>
  <c r="F37"/>
  <c r="H37" s="1"/>
  <c r="E10" i="12"/>
  <c r="F10"/>
  <c r="H10" s="1"/>
  <c r="Y40" i="4"/>
  <c r="F19" i="1"/>
  <c r="H19" s="1"/>
  <c r="E19"/>
  <c r="E15" i="2"/>
  <c r="F15"/>
  <c r="H15" s="1"/>
  <c r="E25"/>
  <c r="F25"/>
  <c r="H25" s="1"/>
  <c r="F33"/>
  <c r="H33" s="1"/>
  <c r="E33"/>
  <c r="E33" i="3"/>
  <c r="F33"/>
  <c r="H33" s="1"/>
  <c r="E19" i="4"/>
  <c r="F19"/>
  <c r="H19" s="1"/>
  <c r="E20" i="5"/>
  <c r="F20"/>
  <c r="H20" s="1"/>
  <c r="F25" i="6"/>
  <c r="H25" s="1"/>
  <c r="E25"/>
  <c r="E24" i="8"/>
  <c r="F24"/>
  <c r="H24" s="1"/>
  <c r="F33" i="10"/>
  <c r="H33" s="1"/>
  <c r="E33"/>
  <c r="E30" i="12"/>
  <c r="F30"/>
  <c r="H30" s="1"/>
  <c r="E38" i="5"/>
  <c r="F38"/>
  <c r="H38" s="1"/>
  <c r="F37" i="12"/>
  <c r="H37" s="1"/>
  <c r="E37"/>
  <c r="E27" i="1"/>
  <c r="F27"/>
  <c r="H27" s="1"/>
  <c r="E12" i="5"/>
  <c r="F12"/>
  <c r="H12" s="1"/>
  <c r="E35"/>
  <c r="F35"/>
  <c r="H35" s="1"/>
  <c r="E10" i="6"/>
  <c r="F10"/>
  <c r="H10" s="1"/>
  <c r="E20"/>
  <c r="F20"/>
  <c r="H20" s="1"/>
  <c r="E26" i="7"/>
  <c r="F26"/>
  <c r="H26" s="1"/>
  <c r="E13" i="10"/>
  <c r="F13"/>
  <c r="H13" s="1"/>
  <c r="E18"/>
  <c r="F18"/>
  <c r="H18" s="1"/>
  <c r="F20"/>
  <c r="H20" s="1"/>
  <c r="E20"/>
  <c r="E25"/>
  <c r="F25"/>
  <c r="H25" s="1"/>
  <c r="F12" i="11"/>
  <c r="H12" s="1"/>
  <c r="E12"/>
  <c r="E17"/>
  <c r="F17"/>
  <c r="H17" s="1"/>
  <c r="F25"/>
  <c r="H25" s="1"/>
  <c r="E25"/>
  <c r="E27" i="12"/>
  <c r="F27"/>
  <c r="H27" s="1"/>
  <c r="Y40" i="3"/>
  <c r="E32" i="9"/>
  <c r="F32"/>
  <c r="H32" s="1"/>
  <c r="F30" i="2"/>
  <c r="H30" s="1"/>
  <c r="E30"/>
  <c r="F31" i="4"/>
  <c r="H31" s="1"/>
  <c r="E31"/>
  <c r="F27" i="5"/>
  <c r="H27" s="1"/>
  <c r="E27"/>
  <c r="E14" i="7"/>
  <c r="F14"/>
  <c r="H14" s="1"/>
  <c r="E19"/>
  <c r="F19"/>
  <c r="H19" s="1"/>
  <c r="F19" i="8"/>
  <c r="H19" s="1"/>
  <c r="E19"/>
  <c r="E22" i="9"/>
  <c r="F22"/>
  <c r="H22" s="1"/>
  <c r="E10" i="10"/>
  <c r="F10"/>
  <c r="H10" s="1"/>
  <c r="Y40" i="9"/>
  <c r="AA40" i="12"/>
  <c r="E29" i="1"/>
  <c r="F29"/>
  <c r="H29" s="1"/>
  <c r="F17" i="2"/>
  <c r="H17" s="1"/>
  <c r="E17"/>
  <c r="E35"/>
  <c r="F35"/>
  <c r="H35" s="1"/>
  <c r="E20" i="3"/>
  <c r="F20"/>
  <c r="H20" s="1"/>
  <c r="F9" i="4"/>
  <c r="H9" s="1"/>
  <c r="E9"/>
  <c r="Y40" i="6"/>
  <c r="AA9"/>
  <c r="AA40" s="1"/>
  <c r="F12"/>
  <c r="H12" s="1"/>
  <c r="E12"/>
  <c r="F21" i="7"/>
  <c r="H21" s="1"/>
  <c r="E21"/>
  <c r="E12" i="8"/>
  <c r="F12"/>
  <c r="H12" s="1"/>
  <c r="E17"/>
  <c r="F17"/>
  <c r="H17" s="1"/>
  <c r="E19" i="9"/>
  <c r="F19"/>
  <c r="H19" s="1"/>
  <c r="E34"/>
  <c r="F34"/>
  <c r="H34" s="1"/>
  <c r="E9" i="1"/>
  <c r="F9"/>
  <c r="H9" s="1"/>
  <c r="E17" i="3"/>
  <c r="F17"/>
  <c r="H17" s="1"/>
  <c r="E25"/>
  <c r="F25"/>
  <c r="H25" s="1"/>
  <c r="E35"/>
  <c r="F35"/>
  <c r="H35" s="1"/>
  <c r="E28" i="4"/>
  <c r="F28"/>
  <c r="H28" s="1"/>
  <c r="F14" i="5"/>
  <c r="H14" s="1"/>
  <c r="E14"/>
  <c r="E22"/>
  <c r="F22"/>
  <c r="H22" s="1"/>
  <c r="F24" i="9"/>
  <c r="H24" s="1"/>
  <c r="E24"/>
  <c r="E34" i="11"/>
  <c r="F34"/>
  <c r="H34" s="1"/>
  <c r="E36"/>
  <c r="F36"/>
  <c r="H36" s="1"/>
  <c r="E14" i="12"/>
  <c r="F14"/>
  <c r="H14" s="1"/>
  <c r="E19"/>
  <c r="F19"/>
  <c r="H19" s="1"/>
  <c r="AA40" i="8"/>
  <c r="AA40" i="10"/>
  <c r="E17" i="4"/>
  <c r="F17"/>
  <c r="H17" s="1"/>
  <c r="E20" i="12"/>
  <c r="F20"/>
  <c r="H20" s="1"/>
  <c r="F14" i="2"/>
  <c r="H14" s="1"/>
  <c r="E14"/>
  <c r="E32" i="5"/>
  <c r="F32"/>
  <c r="H32" s="1"/>
  <c r="E29" i="6"/>
  <c r="F29"/>
  <c r="H29" s="1"/>
  <c r="E34"/>
  <c r="F34"/>
  <c r="H34" s="1"/>
  <c r="E11" i="7"/>
  <c r="F11"/>
  <c r="H11" s="1"/>
  <c r="E28" i="8"/>
  <c r="F28"/>
  <c r="H28" s="1"/>
  <c r="F11" i="9"/>
  <c r="H11" s="1"/>
  <c r="E11"/>
  <c r="E16"/>
  <c r="F16"/>
  <c r="H16" s="1"/>
  <c r="E15" i="10"/>
  <c r="F15"/>
  <c r="H15" s="1"/>
  <c r="E29" i="12"/>
  <c r="F29"/>
  <c r="H29" s="1"/>
  <c r="E32"/>
  <c r="F32"/>
  <c r="H32" s="1"/>
  <c r="F34"/>
  <c r="H34" s="1"/>
  <c r="E34"/>
  <c r="E36"/>
  <c r="F36"/>
  <c r="H36" s="1"/>
  <c r="E21" i="1"/>
  <c r="F21"/>
  <c r="H21" s="1"/>
  <c r="E9" i="2"/>
  <c r="F9"/>
  <c r="H9" s="1"/>
  <c r="E19"/>
  <c r="F19"/>
  <c r="H19" s="1"/>
  <c r="E27"/>
  <c r="F27"/>
  <c r="H27" s="1"/>
  <c r="E37" i="3"/>
  <c r="F37"/>
  <c r="H37" s="1"/>
  <c r="E23" i="4"/>
  <c r="F23"/>
  <c r="H23" s="1"/>
  <c r="F11" i="5"/>
  <c r="H11" s="1"/>
  <c r="E11"/>
  <c r="F9" i="6"/>
  <c r="H9" s="1"/>
  <c r="E9"/>
  <c r="E9" i="8"/>
  <c r="F9"/>
  <c r="H9" s="1"/>
  <c r="E33"/>
  <c r="F33"/>
  <c r="H33" s="1"/>
  <c r="F35"/>
  <c r="H35" s="1"/>
  <c r="E35"/>
  <c r="E9" i="9"/>
  <c r="F9"/>
  <c r="H9" s="1"/>
  <c r="E12" i="10"/>
  <c r="F12"/>
  <c r="H12" s="1"/>
  <c r="E27"/>
  <c r="F27"/>
  <c r="H27" s="1"/>
  <c r="F36"/>
  <c r="H36" s="1"/>
  <c r="E36"/>
  <c r="E19" i="11"/>
  <c r="F19"/>
  <c r="H19" s="1"/>
  <c r="E21" i="3"/>
  <c r="F21"/>
  <c r="H21" s="1"/>
  <c r="E33" i="1"/>
  <c r="F33"/>
  <c r="H33" s="1"/>
  <c r="F27" i="3"/>
  <c r="H27" s="1"/>
  <c r="E27"/>
  <c r="E36" i="6"/>
  <c r="F36"/>
  <c r="H36" s="1"/>
  <c r="E13" i="7"/>
  <c r="F13"/>
  <c r="H13" s="1"/>
  <c r="E36" i="9"/>
  <c r="F36"/>
  <c r="H36" s="1"/>
  <c r="F17" i="10"/>
  <c r="H17" s="1"/>
  <c r="E17"/>
  <c r="F21" i="12"/>
  <c r="H21" s="1"/>
  <c r="E21"/>
  <c r="E26"/>
  <c r="F26"/>
  <c r="H26" s="1"/>
  <c r="Y40" i="11"/>
  <c r="E13" i="6"/>
  <c r="F13"/>
  <c r="H13" s="1"/>
  <c r="E11" i="1"/>
  <c r="F11"/>
  <c r="H11" s="1"/>
  <c r="E19" i="3"/>
  <c r="F19"/>
  <c r="H19" s="1"/>
  <c r="E11" i="4"/>
  <c r="F11"/>
  <c r="H11" s="1"/>
  <c r="E33"/>
  <c r="F33"/>
  <c r="H33" s="1"/>
  <c r="F18" i="7"/>
  <c r="H18" s="1"/>
  <c r="E18"/>
  <c r="E30"/>
  <c r="F30"/>
  <c r="H30" s="1"/>
  <c r="E35"/>
  <c r="F35"/>
  <c r="H35" s="1"/>
  <c r="F37"/>
  <c r="H37" s="1"/>
  <c r="E37"/>
  <c r="E11" i="8"/>
  <c r="F11"/>
  <c r="H11" s="1"/>
  <c r="E33" i="9"/>
  <c r="F33"/>
  <c r="H33" s="1"/>
  <c r="E9" i="10"/>
  <c r="F9"/>
  <c r="H9" s="1"/>
  <c r="E25" i="9"/>
  <c r="F25"/>
  <c r="H25" s="1"/>
  <c r="E31" i="10"/>
  <c r="F31"/>
  <c r="H31" s="1"/>
  <c r="F35" i="1"/>
  <c r="H35" s="1"/>
  <c r="E35"/>
  <c r="E11" i="2"/>
  <c r="F11"/>
  <c r="H11" s="1"/>
  <c r="F24" i="3"/>
  <c r="H24" s="1"/>
  <c r="E24"/>
  <c r="E25" i="4"/>
  <c r="F25"/>
  <c r="H25" s="1"/>
  <c r="E39" i="5"/>
  <c r="F39"/>
  <c r="H39" s="1"/>
  <c r="E14" i="6"/>
  <c r="F14"/>
  <c r="H14" s="1"/>
  <c r="F16" i="8"/>
  <c r="H16" s="1"/>
  <c r="E16"/>
  <c r="E30"/>
  <c r="F30"/>
  <c r="H30" s="1"/>
  <c r="E11" i="12"/>
  <c r="F11"/>
  <c r="H11" s="1"/>
  <c r="E13"/>
  <c r="F13"/>
  <c r="H13" s="1"/>
  <c r="E16"/>
  <c r="F16"/>
  <c r="H16" s="1"/>
  <c r="E17" i="1"/>
  <c r="F17"/>
  <c r="H17" s="1"/>
  <c r="E37" i="4"/>
  <c r="F37"/>
  <c r="H37" s="1"/>
  <c r="E20" i="9"/>
  <c r="F20"/>
  <c r="H20" s="1"/>
  <c r="F27"/>
  <c r="H27" s="1"/>
  <c r="E27"/>
  <c r="E13" i="1"/>
  <c r="F13"/>
  <c r="H13" s="1"/>
  <c r="E29" i="3"/>
  <c r="F29"/>
  <c r="H29" s="1"/>
  <c r="E16" i="5"/>
  <c r="F16"/>
  <c r="H16" s="1"/>
  <c r="E31"/>
  <c r="F31"/>
  <c r="H31" s="1"/>
  <c r="E26" i="6"/>
  <c r="F26"/>
  <c r="H26" s="1"/>
  <c r="F28"/>
  <c r="H28" s="1"/>
  <c r="E28"/>
  <c r="E25" i="8"/>
  <c r="F25"/>
  <c r="H25" s="1"/>
  <c r="E27"/>
  <c r="F27"/>
  <c r="H27" s="1"/>
  <c r="E18" i="9"/>
  <c r="F18"/>
  <c r="H18" s="1"/>
  <c r="E29" i="10"/>
  <c r="F29"/>
  <c r="H29" s="1"/>
  <c r="E21" i="11"/>
  <c r="F21"/>
  <c r="H21" s="1"/>
  <c r="E33"/>
  <c r="F33"/>
  <c r="H33" s="1"/>
  <c r="F18" i="12"/>
  <c r="H18" s="1"/>
  <c r="E18"/>
  <c r="E20" i="1"/>
  <c r="F20"/>
  <c r="H20" s="1"/>
  <c r="E26" i="2"/>
  <c r="F26"/>
  <c r="H26" s="1"/>
  <c r="F22" i="4"/>
  <c r="H22" s="1"/>
  <c r="E22"/>
  <c r="E36" i="5"/>
  <c r="F36"/>
  <c r="H36" s="1"/>
  <c r="E33" i="6"/>
  <c r="F33"/>
  <c r="H33" s="1"/>
  <c r="E10" i="7"/>
  <c r="F10"/>
  <c r="H10" s="1"/>
  <c r="E27"/>
  <c r="F27"/>
  <c r="H27" s="1"/>
  <c r="E38" i="9"/>
  <c r="F38"/>
  <c r="H38" s="1"/>
  <c r="E26" i="10"/>
  <c r="F26"/>
  <c r="H26" s="1"/>
  <c r="E18" i="11"/>
  <c r="F18"/>
  <c r="H18" s="1"/>
  <c r="E26"/>
  <c r="F26"/>
  <c r="H26" s="1"/>
  <c r="F28"/>
  <c r="H28" s="1"/>
  <c r="E28"/>
  <c r="F34" i="7"/>
  <c r="H34" s="1"/>
  <c r="E34"/>
  <c r="E23" i="2"/>
  <c r="F23"/>
  <c r="H23" s="1"/>
  <c r="F32" i="8"/>
  <c r="H32" s="1"/>
  <c r="E32"/>
  <c r="E35" i="9"/>
  <c r="F35"/>
  <c r="H35" s="1"/>
  <c r="E28" i="12"/>
  <c r="F28"/>
  <c r="H28" s="1"/>
  <c r="E25" i="1"/>
  <c r="F25"/>
  <c r="H25" s="1"/>
  <c r="E31" i="2"/>
  <c r="F31"/>
  <c r="H31" s="1"/>
  <c r="E9" i="3"/>
  <c r="F9"/>
  <c r="H9" s="1"/>
  <c r="E10" i="4"/>
  <c r="F10"/>
  <c r="H10" s="1"/>
  <c r="E32"/>
  <c r="F32"/>
  <c r="H32" s="1"/>
  <c r="E28" i="5"/>
  <c r="F28"/>
  <c r="H28" s="1"/>
  <c r="E23" i="6"/>
  <c r="F23"/>
  <c r="H23" s="1"/>
  <c r="E29" i="7"/>
  <c r="F29"/>
  <c r="H29" s="1"/>
  <c r="E11" i="10"/>
  <c r="F11"/>
  <c r="H11" s="1"/>
  <c r="F24" i="5"/>
  <c r="H24" s="1"/>
  <c r="F22" i="6"/>
  <c r="H22" s="1"/>
  <c r="F38"/>
  <c r="H38" s="1"/>
  <c r="F15" i="7"/>
  <c r="H15" s="1"/>
  <c r="F31"/>
  <c r="H31" s="1"/>
  <c r="F13" i="8"/>
  <c r="H13" s="1"/>
  <c r="F29"/>
  <c r="H29" s="1"/>
  <c r="F21" i="9"/>
  <c r="H21" s="1"/>
  <c r="F37"/>
  <c r="H37" s="1"/>
  <c r="F14" i="10"/>
  <c r="H14" s="1"/>
  <c r="F30"/>
  <c r="H30" s="1"/>
  <c r="F22" i="11"/>
  <c r="H22" s="1"/>
  <c r="F38"/>
  <c r="H38" s="1"/>
  <c r="F15" i="12"/>
  <c r="H15" s="1"/>
  <c r="F31"/>
  <c r="H31" s="1"/>
  <c r="W40" i="9"/>
  <c r="F10" i="1"/>
  <c r="H10" s="1"/>
  <c r="F26"/>
  <c r="H26" s="1"/>
  <c r="F24" i="2"/>
  <c r="H24" s="1"/>
  <c r="F18" i="3"/>
  <c r="H18" s="1"/>
  <c r="F34"/>
  <c r="H34" s="1"/>
  <c r="F16" i="4"/>
  <c r="H16" s="1"/>
  <c r="F38"/>
  <c r="H38" s="1"/>
  <c r="F21" i="5"/>
  <c r="H21" s="1"/>
  <c r="F14" i="1"/>
  <c r="H14" s="1"/>
  <c r="F30"/>
  <c r="H30" s="1"/>
  <c r="F12" i="2"/>
  <c r="H12" s="1"/>
  <c r="F28"/>
  <c r="H28" s="1"/>
  <c r="F22" i="3"/>
  <c r="H22" s="1"/>
  <c r="F38"/>
  <c r="H38" s="1"/>
  <c r="F20" i="4"/>
  <c r="H20" s="1"/>
  <c r="F26"/>
  <c r="H26" s="1"/>
  <c r="F9" i="5"/>
  <c r="H9" s="1"/>
  <c r="F25"/>
  <c r="H25" s="1"/>
  <c r="F16" i="7"/>
  <c r="H16" s="1"/>
  <c r="F32"/>
  <c r="H32" s="1"/>
  <c r="F14" i="8"/>
  <c r="H14" s="1"/>
  <c r="F24" i="1"/>
  <c r="H24" s="1"/>
  <c r="F22" i="2"/>
  <c r="H22" s="1"/>
  <c r="F16" i="3"/>
  <c r="H16" s="1"/>
  <c r="F32"/>
  <c r="H32" s="1"/>
  <c r="AA9" i="4"/>
  <c r="F14"/>
  <c r="H14" s="1"/>
  <c r="F36"/>
  <c r="H36" s="1"/>
  <c r="F19" i="5"/>
  <c r="H19" s="1"/>
  <c r="F17" i="6"/>
  <c r="H17" s="1"/>
  <c r="F30"/>
  <c r="H30" s="1"/>
  <c r="F23" i="7"/>
  <c r="H23" s="1"/>
  <c r="F39"/>
  <c r="H39" s="1"/>
  <c r="F21" i="8"/>
  <c r="H21" s="1"/>
  <c r="F37"/>
  <c r="H37" s="1"/>
  <c r="F13" i="9"/>
  <c r="H13" s="1"/>
  <c r="F29"/>
  <c r="H29" s="1"/>
  <c r="F22" i="10"/>
  <c r="H22" s="1"/>
  <c r="F38"/>
  <c r="H38" s="1"/>
  <c r="AA9" i="11"/>
  <c r="AA40" s="1"/>
  <c r="F14"/>
  <c r="H14" s="1"/>
  <c r="F30"/>
  <c r="H30" s="1"/>
  <c r="F23" i="12"/>
  <c r="H23" s="1"/>
  <c r="F39"/>
  <c r="H39" s="1"/>
  <c r="F16" i="2"/>
  <c r="H16" s="1"/>
  <c r="F32"/>
  <c r="H32" s="1"/>
  <c r="F26" i="3"/>
  <c r="H26" s="1"/>
  <c r="F30" i="4"/>
  <c r="H30" s="1"/>
  <c r="F13" i="5"/>
  <c r="H13" s="1"/>
  <c r="F29"/>
  <c r="H29" s="1"/>
  <c r="F11" i="6"/>
  <c r="H11" s="1"/>
  <c r="X40"/>
  <c r="F22" i="1"/>
  <c r="H22" s="1"/>
  <c r="F38"/>
  <c r="H38" s="1"/>
  <c r="F20" i="2"/>
  <c r="H20" s="1"/>
  <c r="F36"/>
  <c r="H36" s="1"/>
  <c r="F14" i="3"/>
  <c r="H14" s="1"/>
  <c r="F30"/>
  <c r="H30" s="1"/>
  <c r="F12" i="4"/>
  <c r="H12" s="1"/>
  <c r="F34"/>
  <c r="H34" s="1"/>
  <c r="F17" i="5"/>
  <c r="H17" s="1"/>
  <c r="F33"/>
  <c r="H33" s="1"/>
  <c r="F15" i="6"/>
  <c r="H15" s="1"/>
  <c r="F31"/>
  <c r="H31" s="1"/>
  <c r="F24" i="7"/>
  <c r="H24" s="1"/>
  <c r="F22" i="8"/>
  <c r="H22" s="1"/>
  <c r="F38"/>
  <c r="H38" s="1"/>
  <c r="AA9" i="9"/>
  <c r="AA40" s="1"/>
  <c r="F14"/>
  <c r="H14" s="1"/>
  <c r="F30"/>
  <c r="H30" s="1"/>
  <c r="F23" i="10"/>
  <c r="H23" s="1"/>
  <c r="F39"/>
  <c r="H39" s="1"/>
  <c r="F15" i="11"/>
  <c r="H15" s="1"/>
  <c r="F31"/>
  <c r="H31" s="1"/>
  <c r="F24" i="12"/>
  <c r="H24" s="1"/>
</calcChain>
</file>

<file path=xl/sharedStrings.xml><?xml version="1.0" encoding="utf-8"?>
<sst xmlns="http://schemas.openxmlformats.org/spreadsheetml/2006/main" count="776" uniqueCount="102">
  <si>
    <t xml:space="preserve">JANEIRO DE 2020 </t>
  </si>
  <si>
    <t xml:space="preserve">                     INSTITUTO   ASTRONÔMICO   E   GEOFÍSICO   DA   UNIVERSIDADE   DE   SÃO   PAULO</t>
  </si>
  <si>
    <t>(digitado por Edvaldo Gomes  )</t>
  </si>
  <si>
    <t>(digitado porEdvaldo Gomes )</t>
  </si>
  <si>
    <t>(verificado por   Sergio Edvaldo Gomes)</t>
  </si>
  <si>
    <t xml:space="preserve">    DADOS  RELATIVOS  À  IRRADIAÇÃO  SOLAR  GLOBAL  E  À  DURAÇÃO  DO  BRILHO  SOLAR</t>
  </si>
  <si>
    <t>(verificado por Sergio  )</t>
  </si>
  <si>
    <t>DIA</t>
  </si>
  <si>
    <t xml:space="preserve">                 IRRADIAÇÃO  SOLAR  GLOBAL</t>
  </si>
  <si>
    <t xml:space="preserve">   DURAÇÃO  DO  BRILHO  SOLAR</t>
  </si>
  <si>
    <t>área</t>
  </si>
  <si>
    <t>fator</t>
  </si>
  <si>
    <t>total</t>
  </si>
  <si>
    <t>estimativa</t>
  </si>
  <si>
    <t>topo da</t>
  </si>
  <si>
    <t>transmissão</t>
  </si>
  <si>
    <t>duração</t>
  </si>
  <si>
    <t>insolação</t>
  </si>
  <si>
    <t>média</t>
  </si>
  <si>
    <t>diário de</t>
  </si>
  <si>
    <t>diário</t>
  </si>
  <si>
    <t>piranômetro</t>
  </si>
  <si>
    <t>atmosfera</t>
  </si>
  <si>
    <t>global</t>
  </si>
  <si>
    <t xml:space="preserve">                duração  horária  (horas)</t>
  </si>
  <si>
    <t>totais  (horas)</t>
  </si>
  <si>
    <t>teórica (hs)</t>
  </si>
  <si>
    <t>relativa (%)</t>
  </si>
  <si>
    <t>(cm2)</t>
  </si>
  <si>
    <t>correção</t>
  </si>
  <si>
    <t>(cal / cm2)</t>
  </si>
  <si>
    <t>(MJ / m2)</t>
  </si>
  <si>
    <t>(%)</t>
  </si>
  <si>
    <t>05h-06h</t>
  </si>
  <si>
    <t>06h-07h</t>
  </si>
  <si>
    <t>07h-08h</t>
  </si>
  <si>
    <t>08h-09h</t>
  </si>
  <si>
    <t>09h-10h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</si>
  <si>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</si>
  <si>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</si>
  <si>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</si>
  <si>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</si>
  <si>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</si>
  <si>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</si>
  <si>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</si>
  <si>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</si>
  <si>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</si>
  <si>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manhã</t>
  </si>
  <si>
    <t>tarde</t>
  </si>
  <si>
    <t>dia</t>
  </si>
  <si>
    <t xml:space="preserve">"área média": valor médio obtido a partir de diversas planimetrias sobre o actinograma </t>
  </si>
  <si>
    <t>"fator diário de correção": fator multiplicativo recomendado pelo fabricante do actinógrafo, dado por 0,734+0,00641*ho-0,000033*ho*ho, sendo ho a elevação solar na passagem meridiana</t>
  </si>
  <si>
    <t>"total diário": produto entre (1) a área média, (2) o fator de correção diário, (3) a constante 14,25 (quantidade de cal/cm2 para cada cm2 de área planimetrada), e (4) o fator 1,022 (obediência à World Radiometric Reference)</t>
  </si>
  <si>
    <t>"estimativa piranômetro": irradiação diária que seria medida com um piranômetro Eppley equipado de filtro Schott WG7, dada por (7,86+1,25*A)*4,1868/100, sendo A a irradiação obtida com o actinógrafo</t>
  </si>
  <si>
    <t>"topo da atmosfera": valor teórico da irradiação diária solar incidente no topo da atmosfera, para uma constante solar de 1367 W/m2</t>
  </si>
  <si>
    <t>"transmissão global": quociente entre as irradiações "estimativa piranômetro" e "topo da atmosfera"</t>
  </si>
  <si>
    <t>"insolação relativa": quociente entre o total diário observado para a duração de brilho solar e o respectivo valor teórico, desprezando-se possíveis efeitos associados à refração atmosférica</t>
  </si>
  <si>
    <r>
      <t xml:space="preserve">(*) valores </t>
    </r>
    <r>
      <rPr>
        <sz val="12"/>
        <color indexed="10"/>
        <rFont val="Arial"/>
        <family val="2"/>
      </rPr>
      <t>-99,0</t>
    </r>
    <r>
      <rPr>
        <sz val="12"/>
        <rFont val="Arial"/>
        <family val="2"/>
      </rPr>
      <t xml:space="preserve"> indicam falha no registro do actinógrafo</t>
    </r>
  </si>
  <si>
    <t xml:space="preserve">FEVEREIRO DE 2020 </t>
  </si>
  <si>
    <t>(digitado por Edvaldo Gomes )</t>
  </si>
  <si>
    <t xml:space="preserve">(verificado por  Edvaldo Gomes  </t>
  </si>
  <si>
    <t>(verificado por Edvaldo Gomes</t>
  </si>
  <si>
    <t>MARÇO DE 2020</t>
  </si>
  <si>
    <t>(digitado por Edvaldo Gomes /  )</t>
  </si>
  <si>
    <t xml:space="preserve">(verificado por Edvaldo Gomes /Sergio  </t>
  </si>
  <si>
    <t>(verificado por Edvaldo Gomes /Sergio</t>
  </si>
  <si>
    <t xml:space="preserve"> </t>
  </si>
  <si>
    <t xml:space="preserve">ABRIL DE 2020 </t>
  </si>
  <si>
    <t>(digitado por EDVALDO GOMES)</t>
  </si>
  <si>
    <t>(verificado por Edvaldo Gomes /   Sergio verif. 1 até 9</t>
  </si>
  <si>
    <t>(verificado por EDVALDO GOMES / Sergio 1 até 21</t>
  </si>
  <si>
    <r>
      <t xml:space="preserve">(*) valores </t>
    </r>
    <r>
      <rPr>
        <sz val="12"/>
        <color indexed="10"/>
        <rFont val="Arial"/>
        <family val="2"/>
      </rPr>
      <t>-0,0</t>
    </r>
    <r>
      <rPr>
        <sz val="12"/>
        <rFont val="Arial"/>
        <family val="2"/>
      </rPr>
      <t xml:space="preserve"> indicam falha no registro do heliógrafo</t>
    </r>
  </si>
  <si>
    <t xml:space="preserve">MAIO DE 2020 </t>
  </si>
  <si>
    <t>(digitado por  Sergio / Edvaldo Gomes )</t>
  </si>
  <si>
    <t>(digitado por  Sergio / Edvaldo Gomes ) 1 até 5</t>
  </si>
  <si>
    <t>(verificado por   Sergio 1 ate 31</t>
  </si>
  <si>
    <t>(verificado por EDVALDO GOMES /Sergio 1 ate 31</t>
  </si>
  <si>
    <t xml:space="preserve"> JUNHO DE 2020 </t>
  </si>
  <si>
    <t>(digitado por EDVALDO GOMES  )</t>
  </si>
  <si>
    <t>(digitado por EDVALDO GOMES )</t>
  </si>
  <si>
    <t>(verificado por EDVALDO GOMES /  Sergio</t>
  </si>
  <si>
    <t>(verificado por EDVALDO GOMES / Sergio</t>
  </si>
  <si>
    <t xml:space="preserve">JULHO DE 2020 </t>
  </si>
  <si>
    <t>(digitado por  Edvaldo Gomes )</t>
  </si>
  <si>
    <t>verif. 1 até 31</t>
  </si>
  <si>
    <t xml:space="preserve">(verificado por Edvaldo Gomes / Sergio </t>
  </si>
  <si>
    <t>(verificado por Edvaldo Gomes / Sergio</t>
  </si>
  <si>
    <t xml:space="preserve"> AGOSTO DE 2020 </t>
  </si>
  <si>
    <t xml:space="preserve">(verificado por Edvaldo Gomes / Sergio  </t>
  </si>
  <si>
    <t>SETEMBRO DE 2020</t>
  </si>
  <si>
    <t>VERIF DIA 1 ATÉ 24</t>
  </si>
  <si>
    <t>(verificado por Edvaldo Gomes /  Sergio</t>
  </si>
  <si>
    <t>VERIF DIA 24 ATÉ 30</t>
  </si>
  <si>
    <t xml:space="preserve">OUTUBRO DE 2020 </t>
  </si>
  <si>
    <t xml:space="preserve">NOVEMBRO DE 2020 </t>
  </si>
  <si>
    <t xml:space="preserve">(verificado por Edvaldo Gomes / Sergio    </t>
  </si>
  <si>
    <t>verif dia 1 até dia 3</t>
  </si>
  <si>
    <t>verif dia 4 até dia 30</t>
  </si>
  <si>
    <t xml:space="preserve">  DEZEMBRO DE 2020 </t>
  </si>
  <si>
    <t>(digitado por  Edvaldo Gomes)</t>
  </si>
  <si>
    <t>(verificado por Edvaldo Gomes / Sergio    veirf. Dia 1 até 31</t>
  </si>
  <si>
    <t>Verif dia 1 até 31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</si>
</sst>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m/d/yyyy"/>
  </numFmts>
  <fonts count="18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2"/>
      <color indexed="10"/>
      <name val="Arial"/>
      <family val="2"/>
    </font>
    <font>
      <sz val="10"/>
      <color indexed="10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b/>
      <sz val="12"/>
      <color indexed="10"/>
      <name val="Arial"/>
      <family val="2"/>
    </font>
    <font>
      <b/>
      <sz val="10"/>
      <color rgb="FFFF0000"/>
      <name val="Arial"/>
      <family val="2"/>
    </font>
    <font>
      <sz val="12"/>
      <color indexed="9"/>
      <name val="Arial"/>
      <family val="2"/>
    </font>
    <font>
      <b/>
      <i/>
      <u/>
      <sz val="10"/>
      <color indexed="10"/>
      <name val="Arial"/>
      <family val="2"/>
    </font>
    <font>
      <i/>
      <u/>
      <sz val="10"/>
      <name val="Arial"/>
      <family val="2"/>
    </font>
    <font>
      <b/>
      <sz val="10"/>
      <color indexed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42"/>
        <bgColor indexed="34"/>
      </patternFill>
    </fill>
    <fill>
      <patternFill patternType="solid">
        <fgColor rgb="FFCCFFCC"/>
        <bgColor indexed="27"/>
      </patternFill>
    </fill>
    <fill>
      <patternFill patternType="solid">
        <fgColor rgb="FFCCFFCC"/>
        <bgColor indexed="3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7"/>
      </patternFill>
    </fill>
  </fills>
  <borders count="86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/>
      <diagonal/>
    </border>
    <border>
      <left style="double">
        <color indexed="63"/>
      </left>
      <right/>
      <top style="double">
        <color indexed="63"/>
      </top>
      <bottom style="medium">
        <color indexed="63"/>
      </bottom>
      <diagonal/>
    </border>
    <border>
      <left/>
      <right/>
      <top style="double">
        <color indexed="63"/>
      </top>
      <bottom/>
      <diagonal/>
    </border>
    <border>
      <left/>
      <right/>
      <top style="double">
        <color indexed="63"/>
      </top>
      <bottom style="medium">
        <color indexed="63"/>
      </bottom>
      <diagonal/>
    </border>
    <border>
      <left/>
      <right style="double">
        <color indexed="63"/>
      </right>
      <top style="double">
        <color indexed="63"/>
      </top>
      <bottom style="medium">
        <color indexed="63"/>
      </bottom>
      <diagonal/>
    </border>
    <border>
      <left style="double">
        <color indexed="63"/>
      </left>
      <right style="double">
        <color indexed="63"/>
      </right>
      <top/>
      <bottom/>
      <diagonal/>
    </border>
    <border>
      <left style="double">
        <color indexed="63"/>
      </left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/>
      <top style="medium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double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medium">
        <color indexed="63"/>
      </left>
      <right style="double">
        <color indexed="63"/>
      </right>
      <top style="medium">
        <color indexed="63"/>
      </top>
      <bottom/>
      <diagonal/>
    </border>
    <border>
      <left style="double">
        <color indexed="63"/>
      </left>
      <right/>
      <top/>
      <bottom/>
      <diagonal/>
    </border>
    <border>
      <left style="double">
        <color indexed="63"/>
      </left>
      <right style="thin">
        <color indexed="63"/>
      </right>
      <top/>
      <bottom/>
      <diagonal/>
    </border>
    <border>
      <left style="double">
        <color indexed="63"/>
      </left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 style="medium">
        <color indexed="63"/>
      </left>
      <right style="double">
        <color indexed="63"/>
      </right>
      <top/>
      <bottom style="medium">
        <color indexed="63"/>
      </bottom>
      <diagonal/>
    </border>
    <border>
      <left style="double">
        <color indexed="63"/>
      </left>
      <right style="double">
        <color indexed="63"/>
      </right>
      <top/>
      <bottom style="medium">
        <color indexed="63"/>
      </bottom>
      <diagonal/>
    </border>
    <border>
      <left style="double">
        <color indexed="63"/>
      </left>
      <right style="thin">
        <color indexed="63"/>
      </right>
      <top/>
      <bottom style="medium">
        <color indexed="63"/>
      </bottom>
      <diagonal/>
    </border>
    <border>
      <left style="thin">
        <color indexed="63"/>
      </left>
      <right style="thin">
        <color indexed="63"/>
      </right>
      <top/>
      <bottom style="medium">
        <color indexed="63"/>
      </bottom>
      <diagonal/>
    </border>
    <border>
      <left style="thin">
        <color indexed="63"/>
      </left>
      <right/>
      <top/>
      <bottom style="medium">
        <color indexed="63"/>
      </bottom>
      <diagonal/>
    </border>
    <border>
      <left style="double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double">
        <color indexed="63"/>
      </right>
      <top style="medium">
        <color indexed="63"/>
      </top>
      <bottom style="medium">
        <color indexed="63"/>
      </bottom>
      <diagonal/>
    </border>
    <border>
      <left style="double">
        <color indexed="63"/>
      </left>
      <right style="double">
        <color indexed="63"/>
      </right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double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/>
      <top/>
      <bottom style="thin">
        <color indexed="63"/>
      </bottom>
      <diagonal/>
    </border>
    <border>
      <left style="medium">
        <color indexed="63"/>
      </left>
      <right style="double">
        <color indexed="63"/>
      </right>
      <top/>
      <bottom style="thin">
        <color indexed="63"/>
      </bottom>
      <diagonal/>
    </border>
    <border>
      <left style="thin">
        <color indexed="63"/>
      </left>
      <right style="double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/>
      <diagonal/>
    </border>
    <border>
      <left style="double">
        <color indexed="63"/>
      </left>
      <right style="double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double">
        <color indexed="63"/>
      </left>
      <right style="double">
        <color indexed="63"/>
      </right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/>
      <right/>
      <top style="thin">
        <color indexed="63"/>
      </top>
      <bottom style="double">
        <color indexed="63"/>
      </bottom>
      <diagonal/>
    </border>
    <border>
      <left style="thin">
        <color indexed="63"/>
      </left>
      <right/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double">
        <color indexed="63"/>
      </right>
      <top style="thin">
        <color indexed="63"/>
      </top>
      <bottom style="double">
        <color indexed="63"/>
      </bottom>
      <diagonal/>
    </border>
    <border>
      <left/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double">
        <color indexed="63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double">
        <color indexed="63"/>
      </right>
      <top/>
      <bottom/>
      <diagonal/>
    </border>
    <border>
      <left style="double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thin">
        <color indexed="63"/>
      </top>
      <bottom/>
      <diagonal/>
    </border>
    <border>
      <left style="medium">
        <color indexed="63"/>
      </left>
      <right style="double">
        <color indexed="63"/>
      </right>
      <top style="thin">
        <color indexed="63"/>
      </top>
      <bottom/>
      <diagonal/>
    </border>
    <border>
      <left style="thin">
        <color indexed="63"/>
      </left>
      <right style="medium">
        <color indexed="63"/>
      </right>
      <top/>
      <bottom style="thin">
        <color indexed="63"/>
      </bottom>
      <diagonal/>
    </border>
    <border>
      <left style="double">
        <color indexed="63"/>
      </left>
      <right style="thin">
        <color indexed="63"/>
      </right>
      <top style="thin">
        <color indexed="63"/>
      </top>
      <bottom/>
      <diagonal/>
    </border>
    <border>
      <left style="double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 style="double">
        <color indexed="63"/>
      </bottom>
      <diagonal/>
    </border>
    <border>
      <left/>
      <right style="double">
        <color indexed="63"/>
      </right>
      <top style="thin">
        <color indexed="63"/>
      </top>
      <bottom style="double">
        <color indexed="63"/>
      </bottom>
      <diagonal/>
    </border>
    <border>
      <left/>
      <right style="thin">
        <color indexed="63"/>
      </right>
      <top style="medium">
        <color indexed="63"/>
      </top>
      <bottom/>
      <diagonal/>
    </border>
    <border>
      <left style="double">
        <color indexed="63"/>
      </left>
      <right style="thin">
        <color indexed="63"/>
      </right>
      <top/>
      <bottom style="thin">
        <color indexed="63"/>
      </bottom>
      <diagonal/>
    </border>
    <border>
      <left style="double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/>
      <diagonal/>
    </border>
    <border>
      <left style="medium">
        <color indexed="63"/>
      </left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ill="0" applyBorder="0" applyAlignment="0" applyProtection="0"/>
    <xf numFmtId="0" fontId="1" fillId="0" borderId="0" applyNumberFormat="0"/>
  </cellStyleXfs>
  <cellXfs count="194">
    <xf numFmtId="0" fontId="0" fillId="0" borderId="0" xfId="0"/>
    <xf numFmtId="0" fontId="2" fillId="2" borderId="0" xfId="2" applyFont="1" applyFill="1" applyAlignment="1">
      <alignment horizontal="left"/>
    </xf>
    <xf numFmtId="0" fontId="2" fillId="2" borderId="0" xfId="2" applyFont="1" applyFill="1" applyAlignment="1">
      <alignment horizontal="right"/>
    </xf>
    <xf numFmtId="0" fontId="1" fillId="3" borderId="0" xfId="2" applyFill="1"/>
    <xf numFmtId="0" fontId="2" fillId="3" borderId="0" xfId="2" applyFont="1" applyFill="1" applyAlignment="1">
      <alignment horizontal="left"/>
    </xf>
    <xf numFmtId="0" fontId="3" fillId="3" borderId="0" xfId="2" applyFont="1" applyFill="1" applyAlignment="1">
      <alignment horizontal="center"/>
    </xf>
    <xf numFmtId="0" fontId="2" fillId="3" borderId="0" xfId="2" applyFont="1" applyFill="1"/>
    <xf numFmtId="0" fontId="1" fillId="0" borderId="0" xfId="2"/>
    <xf numFmtId="0" fontId="0" fillId="2" borderId="0" xfId="2" applyFont="1" applyFill="1" applyAlignment="1">
      <alignment horizontal="left"/>
    </xf>
    <xf numFmtId="0" fontId="0" fillId="3" borderId="0" xfId="2" applyFont="1" applyFill="1" applyAlignment="1">
      <alignment horizontal="left"/>
    </xf>
    <xf numFmtId="0" fontId="4" fillId="3" borderId="1" xfId="2" applyFont="1" applyFill="1" applyBorder="1" applyAlignment="1">
      <alignment horizontal="center"/>
    </xf>
    <xf numFmtId="0" fontId="1" fillId="3" borderId="2" xfId="2" applyFill="1" applyBorder="1"/>
    <xf numFmtId="0" fontId="4" fillId="3" borderId="3" xfId="2" applyFont="1" applyFill="1" applyBorder="1" applyAlignment="1">
      <alignment horizontal="left"/>
    </xf>
    <xf numFmtId="0" fontId="1" fillId="3" borderId="4" xfId="2" applyFill="1" applyBorder="1"/>
    <xf numFmtId="0" fontId="4" fillId="3" borderId="4" xfId="2" applyFont="1" applyFill="1" applyBorder="1" applyAlignment="1">
      <alignment horizontal="center"/>
    </xf>
    <xf numFmtId="0" fontId="1" fillId="3" borderId="5" xfId="2" applyFill="1" applyBorder="1"/>
    <xf numFmtId="0" fontId="4" fillId="3" borderId="3" xfId="2" applyFont="1" applyFill="1" applyBorder="1" applyAlignment="1">
      <alignment horizontal="center"/>
    </xf>
    <xf numFmtId="0" fontId="4" fillId="3" borderId="3" xfId="2" applyFont="1" applyFill="1" applyBorder="1"/>
    <xf numFmtId="0" fontId="5" fillId="3" borderId="5" xfId="2" applyFont="1" applyFill="1" applyBorder="1" applyAlignment="1">
      <alignment horizontal="center"/>
    </xf>
    <xf numFmtId="0" fontId="1" fillId="3" borderId="6" xfId="2" applyFill="1" applyBorder="1" applyAlignment="1">
      <alignment horizontal="center" vertical="top" wrapText="1"/>
    </xf>
    <xf numFmtId="0" fontId="5" fillId="3" borderId="7" xfId="2" applyFont="1" applyFill="1" applyBorder="1" applyAlignment="1">
      <alignment horizontal="center"/>
    </xf>
    <xf numFmtId="0" fontId="5" fillId="3" borderId="8" xfId="2" applyFont="1" applyFill="1" applyBorder="1" applyAlignment="1">
      <alignment horizontal="center"/>
    </xf>
    <xf numFmtId="0" fontId="5" fillId="3" borderId="9" xfId="2" applyFont="1" applyFill="1" applyBorder="1" applyAlignment="1">
      <alignment horizontal="center"/>
    </xf>
    <xf numFmtId="0" fontId="5" fillId="3" borderId="10" xfId="2" applyFont="1" applyFill="1" applyBorder="1" applyAlignment="1">
      <alignment horizontal="center"/>
    </xf>
    <xf numFmtId="0" fontId="5" fillId="3" borderId="11" xfId="2" applyFont="1" applyFill="1" applyBorder="1" applyAlignment="1">
      <alignment horizontal="left"/>
    </xf>
    <xf numFmtId="0" fontId="1" fillId="3" borderId="12" xfId="2" applyFill="1" applyBorder="1"/>
    <xf numFmtId="0" fontId="1" fillId="3" borderId="12" xfId="2" applyFill="1" applyBorder="1" applyAlignment="1">
      <alignment horizontal="center"/>
    </xf>
    <xf numFmtId="0" fontId="1" fillId="3" borderId="13" xfId="2" applyFill="1" applyBorder="1" applyAlignment="1">
      <alignment horizontal="center"/>
    </xf>
    <xf numFmtId="0" fontId="1" fillId="3" borderId="14" xfId="2" applyFill="1" applyBorder="1" applyAlignment="1">
      <alignment horizontal="center"/>
    </xf>
    <xf numFmtId="0" fontId="0" fillId="3" borderId="12" xfId="2" applyFont="1" applyFill="1" applyBorder="1" applyAlignment="1">
      <alignment horizontal="center"/>
    </xf>
    <xf numFmtId="0" fontId="0" fillId="3" borderId="13" xfId="2" applyFont="1" applyFill="1" applyBorder="1" applyAlignment="1">
      <alignment horizontal="center"/>
    </xf>
    <xf numFmtId="0" fontId="5" fillId="3" borderId="14" xfId="2" applyFont="1" applyFill="1" applyBorder="1" applyAlignment="1">
      <alignment horizontal="center"/>
    </xf>
    <xf numFmtId="0" fontId="5" fillId="3" borderId="15" xfId="2" applyFont="1" applyFill="1" applyBorder="1" applyAlignment="1">
      <alignment horizontal="center"/>
    </xf>
    <xf numFmtId="0" fontId="1" fillId="3" borderId="16" xfId="2" applyFill="1" applyBorder="1" applyAlignment="1">
      <alignment horizontal="center" vertical="top" wrapText="1"/>
    </xf>
    <xf numFmtId="0" fontId="5" fillId="3" borderId="17" xfId="2" applyFont="1" applyFill="1" applyBorder="1" applyAlignment="1">
      <alignment horizontal="center"/>
    </xf>
    <xf numFmtId="0" fontId="5" fillId="3" borderId="0" xfId="2" applyFont="1" applyFill="1" applyAlignment="1">
      <alignment horizontal="center"/>
    </xf>
    <xf numFmtId="0" fontId="5" fillId="3" borderId="18" xfId="2" applyFont="1" applyFill="1" applyBorder="1" applyAlignment="1">
      <alignment horizontal="center"/>
    </xf>
    <xf numFmtId="0" fontId="4" fillId="3" borderId="19" xfId="2" applyFont="1" applyFill="1" applyBorder="1" applyAlignment="1">
      <alignment horizontal="left"/>
    </xf>
    <xf numFmtId="0" fontId="5" fillId="3" borderId="20" xfId="2" applyFont="1" applyFill="1" applyBorder="1" applyAlignment="1">
      <alignment horizontal="left"/>
    </xf>
    <xf numFmtId="0" fontId="5" fillId="3" borderId="21" xfId="2" applyFont="1" applyFill="1" applyBorder="1" applyAlignment="1">
      <alignment horizontal="center"/>
    </xf>
    <xf numFmtId="0" fontId="1" fillId="3" borderId="19" xfId="2" applyFill="1" applyBorder="1" applyAlignment="1">
      <alignment horizontal="center"/>
    </xf>
    <xf numFmtId="0" fontId="5" fillId="3" borderId="20" xfId="2" applyFont="1" applyFill="1" applyBorder="1" applyAlignment="1">
      <alignment horizontal="center"/>
    </xf>
    <xf numFmtId="0" fontId="5" fillId="3" borderId="22" xfId="2" applyFont="1" applyFill="1" applyBorder="1" applyAlignment="1">
      <alignment horizontal="center"/>
    </xf>
    <xf numFmtId="9" fontId="0" fillId="3" borderId="23" xfId="1" applyFont="1" applyFill="1" applyBorder="1" applyAlignment="1">
      <alignment horizontal="center" vertical="top" wrapText="1"/>
    </xf>
    <xf numFmtId="0" fontId="5" fillId="3" borderId="24" xfId="2" applyFont="1" applyFill="1" applyBorder="1" applyAlignment="1">
      <alignment horizontal="center"/>
    </xf>
    <xf numFmtId="0" fontId="5" fillId="3" borderId="25" xfId="2" applyFont="1" applyFill="1" applyBorder="1" applyAlignment="1">
      <alignment horizontal="center"/>
    </xf>
    <xf numFmtId="0" fontId="5" fillId="3" borderId="26" xfId="2" applyFont="1" applyFill="1" applyBorder="1" applyAlignment="1">
      <alignment horizontal="center"/>
    </xf>
    <xf numFmtId="0" fontId="5" fillId="3" borderId="27" xfId="2" applyFont="1" applyFill="1" applyBorder="1" applyAlignment="1">
      <alignment horizontal="center"/>
    </xf>
    <xf numFmtId="0" fontId="5" fillId="3" borderId="28" xfId="2" applyFont="1" applyFill="1" applyBorder="1" applyAlignment="1">
      <alignment horizontal="center"/>
    </xf>
    <xf numFmtId="0" fontId="5" fillId="3" borderId="29" xfId="2" applyFont="1" applyFill="1" applyBorder="1" applyAlignment="1">
      <alignment horizontal="center"/>
    </xf>
    <xf numFmtId="0" fontId="5" fillId="3" borderId="30" xfId="2" applyFont="1" applyFill="1" applyBorder="1" applyAlignment="1">
      <alignment horizontal="left"/>
    </xf>
    <xf numFmtId="0" fontId="5" fillId="3" borderId="31" xfId="2" applyFont="1" applyFill="1" applyBorder="1" applyAlignment="1">
      <alignment horizontal="center"/>
    </xf>
    <xf numFmtId="0" fontId="5" fillId="3" borderId="32" xfId="2" applyFont="1" applyFill="1" applyBorder="1" applyAlignment="1">
      <alignment horizontal="center"/>
    </xf>
    <xf numFmtId="0" fontId="5" fillId="3" borderId="13" xfId="2" applyFont="1" applyFill="1" applyBorder="1" applyAlignment="1">
      <alignment horizontal="center"/>
    </xf>
    <xf numFmtId="0" fontId="5" fillId="3" borderId="33" xfId="2" applyFont="1" applyFill="1" applyBorder="1" applyAlignment="1">
      <alignment horizontal="center"/>
    </xf>
    <xf numFmtId="0" fontId="3" fillId="4" borderId="34" xfId="2" applyFont="1" applyFill="1" applyBorder="1" applyAlignment="1">
      <alignment horizontal="center"/>
    </xf>
    <xf numFmtId="164" fontId="3" fillId="2" borderId="35" xfId="2" applyNumberFormat="1" applyFont="1" applyFill="1" applyBorder="1" applyAlignment="1">
      <alignment horizontal="center"/>
    </xf>
    <xf numFmtId="165" fontId="3" fillId="3" borderId="36" xfId="2" applyNumberFormat="1" applyFont="1" applyFill="1" applyBorder="1" applyAlignment="1">
      <alignment horizontal="center"/>
    </xf>
    <xf numFmtId="164" fontId="3" fillId="3" borderId="35" xfId="2" applyNumberFormat="1" applyFont="1" applyFill="1" applyBorder="1" applyAlignment="1">
      <alignment horizontal="center"/>
    </xf>
    <xf numFmtId="2" fontId="3" fillId="3" borderId="37" xfId="2" applyNumberFormat="1" applyFont="1" applyFill="1" applyBorder="1" applyAlignment="1">
      <alignment horizontal="center"/>
    </xf>
    <xf numFmtId="2" fontId="3" fillId="3" borderId="38" xfId="2" applyNumberFormat="1" applyFont="1" applyFill="1" applyBorder="1" applyAlignment="1">
      <alignment horizontal="center"/>
    </xf>
    <xf numFmtId="2" fontId="3" fillId="3" borderId="39" xfId="2" applyNumberFormat="1" applyFont="1" applyFill="1" applyBorder="1" applyAlignment="1">
      <alignment horizontal="center"/>
    </xf>
    <xf numFmtId="164" fontId="3" fillId="3" borderId="40" xfId="2" applyNumberFormat="1" applyFont="1" applyFill="1" applyBorder="1" applyAlignment="1">
      <alignment horizontal="center"/>
    </xf>
    <xf numFmtId="164" fontId="3" fillId="2" borderId="41" xfId="2" applyNumberFormat="1" applyFont="1" applyFill="1" applyBorder="1" applyAlignment="1">
      <alignment horizontal="center"/>
    </xf>
    <xf numFmtId="164" fontId="3" fillId="2" borderId="42" xfId="2" applyNumberFormat="1" applyFont="1" applyFill="1" applyBorder="1" applyAlignment="1">
      <alignment horizontal="center"/>
    </xf>
    <xf numFmtId="164" fontId="3" fillId="0" borderId="43" xfId="0" applyNumberFormat="1" applyFont="1" applyBorder="1" applyAlignment="1">
      <alignment horizontal="center"/>
    </xf>
    <xf numFmtId="164" fontId="3" fillId="0" borderId="44" xfId="0" applyNumberFormat="1" applyFont="1" applyBorder="1" applyAlignment="1">
      <alignment horizontal="center"/>
    </xf>
    <xf numFmtId="164" fontId="6" fillId="3" borderId="35" xfId="2" applyNumberFormat="1" applyFont="1" applyFill="1" applyBorder="1" applyAlignment="1">
      <alignment horizontal="center"/>
    </xf>
    <xf numFmtId="164" fontId="3" fillId="3" borderId="39" xfId="2" applyNumberFormat="1" applyFont="1" applyFill="1" applyBorder="1" applyAlignment="1">
      <alignment horizontal="center"/>
    </xf>
    <xf numFmtId="164" fontId="3" fillId="3" borderId="42" xfId="2" applyNumberFormat="1" applyFont="1" applyFill="1" applyBorder="1" applyAlignment="1">
      <alignment horizontal="center"/>
    </xf>
    <xf numFmtId="164" fontId="3" fillId="3" borderId="45" xfId="2" applyNumberFormat="1" applyFont="1" applyFill="1" applyBorder="1" applyAlignment="1">
      <alignment horizontal="center"/>
    </xf>
    <xf numFmtId="164" fontId="3" fillId="3" borderId="46" xfId="2" applyNumberFormat="1" applyFont="1" applyFill="1" applyBorder="1" applyAlignment="1">
      <alignment horizontal="center"/>
    </xf>
    <xf numFmtId="0" fontId="3" fillId="5" borderId="34" xfId="2" applyFont="1" applyFill="1" applyBorder="1" applyAlignment="1">
      <alignment horizontal="center"/>
    </xf>
    <xf numFmtId="165" fontId="3" fillId="3" borderId="39" xfId="2" applyNumberFormat="1" applyFont="1" applyFill="1" applyBorder="1" applyAlignment="1">
      <alignment horizontal="center"/>
    </xf>
    <xf numFmtId="164" fontId="3" fillId="3" borderId="47" xfId="2" applyNumberFormat="1" applyFont="1" applyFill="1" applyBorder="1" applyAlignment="1">
      <alignment horizontal="center"/>
    </xf>
    <xf numFmtId="164" fontId="3" fillId="2" borderId="44" xfId="2" applyNumberFormat="1" applyFont="1" applyFill="1" applyBorder="1" applyAlignment="1">
      <alignment horizontal="center"/>
    </xf>
    <xf numFmtId="164" fontId="3" fillId="2" borderId="48" xfId="2" applyNumberFormat="1" applyFont="1" applyFill="1" applyBorder="1" applyAlignment="1">
      <alignment horizontal="center"/>
    </xf>
    <xf numFmtId="164" fontId="3" fillId="2" borderId="49" xfId="2" applyNumberFormat="1" applyFont="1" applyFill="1" applyBorder="1" applyAlignment="1">
      <alignment horizontal="center"/>
    </xf>
    <xf numFmtId="164" fontId="3" fillId="2" borderId="43" xfId="2" applyNumberFormat="1" applyFont="1" applyFill="1" applyBorder="1" applyAlignment="1">
      <alignment horizontal="center"/>
    </xf>
    <xf numFmtId="0" fontId="3" fillId="5" borderId="50" xfId="2" applyFont="1" applyFill="1" applyBorder="1" applyAlignment="1">
      <alignment horizontal="center"/>
    </xf>
    <xf numFmtId="164" fontId="3" fillId="2" borderId="51" xfId="2" applyNumberFormat="1" applyFont="1" applyFill="1" applyBorder="1" applyAlignment="1">
      <alignment horizontal="center"/>
    </xf>
    <xf numFmtId="164" fontId="3" fillId="2" borderId="52" xfId="2" applyNumberFormat="1" applyFont="1" applyFill="1" applyBorder="1" applyAlignment="1">
      <alignment horizontal="center"/>
    </xf>
    <xf numFmtId="0" fontId="3" fillId="6" borderId="50" xfId="2" applyFont="1" applyFill="1" applyBorder="1" applyAlignment="1">
      <alignment horizontal="center"/>
    </xf>
    <xf numFmtId="0" fontId="3" fillId="4" borderId="50" xfId="2" applyFont="1" applyFill="1" applyBorder="1" applyAlignment="1">
      <alignment horizontal="center"/>
    </xf>
    <xf numFmtId="0" fontId="3" fillId="3" borderId="50" xfId="2" applyFont="1" applyFill="1" applyBorder="1" applyAlignment="1">
      <alignment horizontal="center"/>
    </xf>
    <xf numFmtId="164" fontId="7" fillId="2" borderId="44" xfId="2" applyNumberFormat="1" applyFont="1" applyFill="1" applyBorder="1" applyAlignment="1">
      <alignment horizontal="center"/>
    </xf>
    <xf numFmtId="0" fontId="3" fillId="3" borderId="53" xfId="2" applyFont="1" applyFill="1" applyBorder="1" applyAlignment="1">
      <alignment horizontal="center"/>
    </xf>
    <xf numFmtId="164" fontId="3" fillId="2" borderId="54" xfId="2" applyNumberFormat="1" applyFont="1" applyFill="1" applyBorder="1" applyAlignment="1">
      <alignment horizontal="center"/>
    </xf>
    <xf numFmtId="165" fontId="3" fillId="3" borderId="54" xfId="2" applyNumberFormat="1" applyFont="1" applyFill="1" applyBorder="1" applyAlignment="1">
      <alignment horizontal="center"/>
    </xf>
    <xf numFmtId="164" fontId="3" fillId="3" borderId="54" xfId="2" applyNumberFormat="1" applyFont="1" applyFill="1" applyBorder="1" applyAlignment="1">
      <alignment horizontal="center"/>
    </xf>
    <xf numFmtId="2" fontId="3" fillId="3" borderId="55" xfId="2" applyNumberFormat="1" applyFont="1" applyFill="1" applyBorder="1" applyAlignment="1">
      <alignment horizontal="center"/>
    </xf>
    <xf numFmtId="2" fontId="3" fillId="3" borderId="56" xfId="2" applyNumberFormat="1" applyFont="1" applyFill="1" applyBorder="1" applyAlignment="1">
      <alignment horizontal="center"/>
    </xf>
    <xf numFmtId="2" fontId="3" fillId="3" borderId="54" xfId="2" applyNumberFormat="1" applyFont="1" applyFill="1" applyBorder="1" applyAlignment="1">
      <alignment horizontal="center"/>
    </xf>
    <xf numFmtId="164" fontId="3" fillId="3" borderId="57" xfId="2" applyNumberFormat="1" applyFont="1" applyFill="1" applyBorder="1" applyAlignment="1">
      <alignment horizontal="center"/>
    </xf>
    <xf numFmtId="164" fontId="3" fillId="2" borderId="58" xfId="2" applyNumberFormat="1" applyFont="1" applyFill="1" applyBorder="1" applyAlignment="1">
      <alignment horizontal="center"/>
    </xf>
    <xf numFmtId="164" fontId="3" fillId="2" borderId="59" xfId="2" applyNumberFormat="1" applyFont="1" applyFill="1" applyBorder="1" applyAlignment="1">
      <alignment horizontal="center"/>
    </xf>
    <xf numFmtId="164" fontId="3" fillId="0" borderId="58" xfId="0" applyNumberFormat="1" applyFont="1" applyBorder="1" applyAlignment="1">
      <alignment horizontal="center"/>
    </xf>
    <xf numFmtId="164" fontId="3" fillId="0" borderId="54" xfId="0" applyNumberFormat="1" applyFont="1" applyBorder="1" applyAlignment="1">
      <alignment horizontal="center"/>
    </xf>
    <xf numFmtId="164" fontId="3" fillId="3" borderId="60" xfId="2" applyNumberFormat="1" applyFont="1" applyFill="1" applyBorder="1" applyAlignment="1">
      <alignment horizontal="center"/>
    </xf>
    <xf numFmtId="164" fontId="3" fillId="3" borderId="61" xfId="2" applyNumberFormat="1" applyFont="1" applyFill="1" applyBorder="1" applyAlignment="1">
      <alignment horizontal="center"/>
    </xf>
    <xf numFmtId="0" fontId="3" fillId="3" borderId="0" xfId="2" applyFont="1" applyFill="1"/>
    <xf numFmtId="0" fontId="3" fillId="3" borderId="3" xfId="2" applyFont="1" applyFill="1" applyBorder="1" applyAlignment="1">
      <alignment horizontal="center"/>
    </xf>
    <xf numFmtId="164" fontId="6" fillId="3" borderId="3" xfId="2" applyNumberFormat="1" applyFont="1" applyFill="1" applyBorder="1" applyAlignment="1">
      <alignment horizontal="center"/>
    </xf>
    <xf numFmtId="164" fontId="3" fillId="3" borderId="3" xfId="2" applyNumberFormat="1" applyFont="1" applyFill="1" applyBorder="1" applyAlignment="1">
      <alignment horizontal="center"/>
    </xf>
    <xf numFmtId="0" fontId="3" fillId="3" borderId="3" xfId="2" applyFont="1" applyFill="1" applyBorder="1"/>
    <xf numFmtId="0" fontId="3" fillId="0" borderId="0" xfId="2" applyFont="1"/>
    <xf numFmtId="0" fontId="7" fillId="0" borderId="0" xfId="2" applyFont="1"/>
    <xf numFmtId="0" fontId="9" fillId="3" borderId="0" xfId="2" applyFont="1" applyFill="1"/>
    <xf numFmtId="0" fontId="0" fillId="3" borderId="0" xfId="2" applyFont="1" applyFill="1"/>
    <xf numFmtId="0" fontId="3" fillId="3" borderId="34" xfId="2" applyFont="1" applyFill="1" applyBorder="1" applyAlignment="1">
      <alignment horizontal="center"/>
    </xf>
    <xf numFmtId="164" fontId="3" fillId="2" borderId="62" xfId="2" applyNumberFormat="1" applyFont="1" applyFill="1" applyBorder="1" applyAlignment="1">
      <alignment horizontal="center"/>
    </xf>
    <xf numFmtId="164" fontId="6" fillId="2" borderId="44" xfId="0" applyNumberFormat="1" applyFont="1" applyFill="1" applyBorder="1" applyAlignment="1">
      <alignment horizontal="center"/>
    </xf>
    <xf numFmtId="164" fontId="6" fillId="2" borderId="42" xfId="0" applyNumberFormat="1" applyFont="1" applyFill="1" applyBorder="1" applyAlignment="1">
      <alignment horizontal="center"/>
    </xf>
    <xf numFmtId="164" fontId="6" fillId="2" borderId="43" xfId="0" applyNumberFormat="1" applyFont="1" applyFill="1" applyBorder="1" applyAlignment="1">
      <alignment horizontal="center"/>
    </xf>
    <xf numFmtId="164" fontId="3" fillId="3" borderId="63" xfId="2" applyNumberFormat="1" applyFont="1" applyFill="1" applyBorder="1" applyAlignment="1">
      <alignment horizontal="center"/>
    </xf>
    <xf numFmtId="165" fontId="3" fillId="3" borderId="44" xfId="2" applyNumberFormat="1" applyFont="1" applyFill="1" applyBorder="1" applyAlignment="1">
      <alignment horizontal="center"/>
    </xf>
    <xf numFmtId="164" fontId="6" fillId="2" borderId="48" xfId="0" applyNumberFormat="1" applyFont="1" applyFill="1" applyBorder="1" applyAlignment="1">
      <alignment horizontal="center"/>
    </xf>
    <xf numFmtId="164" fontId="3" fillId="3" borderId="48" xfId="2" applyNumberFormat="1" applyFont="1" applyFill="1" applyBorder="1" applyAlignment="1">
      <alignment horizontal="center"/>
    </xf>
    <xf numFmtId="0" fontId="3" fillId="5" borderId="53" xfId="2" applyFont="1" applyFill="1" applyBorder="1" applyAlignment="1">
      <alignment horizontal="center"/>
    </xf>
    <xf numFmtId="2" fontId="3" fillId="3" borderId="58" xfId="2" applyNumberFormat="1" applyFont="1" applyFill="1" applyBorder="1" applyAlignment="1">
      <alignment horizontal="center"/>
    </xf>
    <xf numFmtId="164" fontId="3" fillId="3" borderId="59" xfId="2" applyNumberFormat="1" applyFont="1" applyFill="1" applyBorder="1" applyAlignment="1">
      <alignment horizontal="center"/>
    </xf>
    <xf numFmtId="164" fontId="3" fillId="3" borderId="64" xfId="2" applyNumberFormat="1" applyFont="1" applyFill="1" applyBorder="1" applyAlignment="1">
      <alignment horizontal="center"/>
    </xf>
    <xf numFmtId="164" fontId="3" fillId="3" borderId="65" xfId="2" applyNumberFormat="1" applyFont="1" applyFill="1" applyBorder="1" applyAlignment="1">
      <alignment horizontal="center"/>
    </xf>
    <xf numFmtId="164" fontId="3" fillId="3" borderId="0" xfId="2" applyNumberFormat="1" applyFont="1" applyFill="1" applyAlignment="1">
      <alignment horizontal="center"/>
    </xf>
    <xf numFmtId="164" fontId="3" fillId="3" borderId="66" xfId="2" applyNumberFormat="1" applyFont="1" applyFill="1" applyBorder="1" applyAlignment="1">
      <alignment horizontal="center"/>
    </xf>
    <xf numFmtId="164" fontId="3" fillId="3" borderId="3" xfId="2" applyNumberFormat="1" applyFont="1" applyFill="1" applyBorder="1"/>
    <xf numFmtId="9" fontId="1" fillId="5" borderId="23" xfId="1" applyFont="1" applyFill="1" applyBorder="1" applyAlignment="1">
      <alignment horizontal="center" vertical="top" wrapText="1"/>
    </xf>
    <xf numFmtId="164" fontId="3" fillId="2" borderId="44" xfId="0" applyNumberFormat="1" applyFont="1" applyFill="1" applyBorder="1" applyAlignment="1">
      <alignment horizontal="center"/>
    </xf>
    <xf numFmtId="164" fontId="3" fillId="2" borderId="42" xfId="0" applyNumberFormat="1" applyFont="1" applyFill="1" applyBorder="1" applyAlignment="1">
      <alignment horizontal="center"/>
    </xf>
    <xf numFmtId="164" fontId="3" fillId="2" borderId="43" xfId="0" applyNumberFormat="1" applyFont="1" applyFill="1" applyBorder="1" applyAlignment="1">
      <alignment horizontal="center"/>
    </xf>
    <xf numFmtId="164" fontId="3" fillId="2" borderId="67" xfId="2" applyNumberFormat="1" applyFont="1" applyFill="1" applyBorder="1" applyAlignment="1">
      <alignment horizontal="center"/>
    </xf>
    <xf numFmtId="164" fontId="3" fillId="2" borderId="48" xfId="0" applyNumberFormat="1" applyFont="1" applyFill="1" applyBorder="1" applyAlignment="1">
      <alignment horizontal="center"/>
    </xf>
    <xf numFmtId="164" fontId="10" fillId="2" borderId="35" xfId="2" applyNumberFormat="1" applyFont="1" applyFill="1" applyBorder="1" applyAlignment="1">
      <alignment horizontal="center"/>
    </xf>
    <xf numFmtId="164" fontId="3" fillId="2" borderId="44" xfId="0" quotePrefix="1" applyNumberFormat="1" applyFont="1" applyFill="1" applyBorder="1" applyAlignment="1">
      <alignment horizontal="center"/>
    </xf>
    <xf numFmtId="164" fontId="3" fillId="2" borderId="52" xfId="0" applyNumberFormat="1" applyFont="1" applyFill="1" applyBorder="1" applyAlignment="1">
      <alignment horizontal="center"/>
    </xf>
    <xf numFmtId="164" fontId="3" fillId="2" borderId="51" xfId="0" applyNumberFormat="1" applyFont="1" applyFill="1" applyBorder="1" applyAlignment="1">
      <alignment horizontal="center"/>
    </xf>
    <xf numFmtId="164" fontId="3" fillId="2" borderId="49" xfId="0" applyNumberFormat="1" applyFont="1" applyFill="1" applyBorder="1" applyAlignment="1">
      <alignment horizontal="center"/>
    </xf>
    <xf numFmtId="164" fontId="3" fillId="2" borderId="68" xfId="2" applyNumberFormat="1" applyFont="1" applyFill="1" applyBorder="1" applyAlignment="1">
      <alignment horizontal="center"/>
    </xf>
    <xf numFmtId="164" fontId="3" fillId="2" borderId="58" xfId="0" applyNumberFormat="1" applyFont="1" applyFill="1" applyBorder="1" applyAlignment="1">
      <alignment horizontal="center"/>
    </xf>
    <xf numFmtId="164" fontId="3" fillId="2" borderId="54" xfId="0" applyNumberFormat="1" applyFont="1" applyFill="1" applyBorder="1" applyAlignment="1">
      <alignment horizontal="center"/>
    </xf>
    <xf numFmtId="164" fontId="3" fillId="2" borderId="59" xfId="0" applyNumberFormat="1" applyFont="1" applyFill="1" applyBorder="1" applyAlignment="1">
      <alignment horizontal="center"/>
    </xf>
    <xf numFmtId="0" fontId="11" fillId="3" borderId="0" xfId="2" applyFont="1" applyFill="1"/>
    <xf numFmtId="0" fontId="11" fillId="2" borderId="0" xfId="2" applyFont="1" applyFill="1" applyAlignment="1">
      <alignment horizontal="left"/>
    </xf>
    <xf numFmtId="0" fontId="11" fillId="5" borderId="0" xfId="2" applyFont="1" applyFill="1"/>
    <xf numFmtId="0" fontId="12" fillId="3" borderId="0" xfId="2" applyFont="1" applyFill="1"/>
    <xf numFmtId="164" fontId="3" fillId="2" borderId="36" xfId="2" applyNumberFormat="1" applyFont="1" applyFill="1" applyBorder="1" applyAlignment="1">
      <alignment horizontal="center"/>
    </xf>
    <xf numFmtId="0" fontId="10" fillId="5" borderId="50" xfId="2" applyFont="1" applyFill="1" applyBorder="1" applyAlignment="1">
      <alignment horizontal="center"/>
    </xf>
    <xf numFmtId="164" fontId="10" fillId="2" borderId="43" xfId="2" applyNumberFormat="1" applyFont="1" applyFill="1" applyBorder="1" applyAlignment="1">
      <alignment horizontal="center"/>
    </xf>
    <xf numFmtId="164" fontId="10" fillId="2" borderId="51" xfId="2" applyNumberFormat="1" applyFont="1" applyFill="1" applyBorder="1" applyAlignment="1">
      <alignment horizontal="center"/>
    </xf>
    <xf numFmtId="164" fontId="10" fillId="2" borderId="49" xfId="2" applyNumberFormat="1" applyFont="1" applyFill="1" applyBorder="1" applyAlignment="1">
      <alignment horizontal="center"/>
    </xf>
    <xf numFmtId="164" fontId="3" fillId="7" borderId="51" xfId="2" applyNumberFormat="1" applyFont="1" applyFill="1" applyBorder="1" applyAlignment="1">
      <alignment horizontal="center"/>
    </xf>
    <xf numFmtId="164" fontId="3" fillId="3" borderId="69" xfId="2" applyNumberFormat="1" applyFont="1" applyFill="1" applyBorder="1" applyAlignment="1">
      <alignment horizontal="center"/>
    </xf>
    <xf numFmtId="164" fontId="3" fillId="3" borderId="70" xfId="2" applyNumberFormat="1" applyFont="1" applyFill="1" applyBorder="1" applyAlignment="1">
      <alignment horizontal="center"/>
    </xf>
    <xf numFmtId="0" fontId="13" fillId="2" borderId="0" xfId="2" applyFont="1" applyFill="1" applyAlignment="1">
      <alignment horizontal="left"/>
    </xf>
    <xf numFmtId="0" fontId="1" fillId="3" borderId="16" xfId="2" applyFill="1" applyBorder="1"/>
    <xf numFmtId="0" fontId="3" fillId="3" borderId="16" xfId="2" applyFont="1" applyFill="1" applyBorder="1" applyAlignment="1">
      <alignment horizontal="center"/>
    </xf>
    <xf numFmtId="0" fontId="1" fillId="0" borderId="0" xfId="2" applyBorder="1"/>
    <xf numFmtId="166" fontId="1" fillId="3" borderId="0" xfId="2" applyNumberFormat="1" applyFill="1"/>
    <xf numFmtId="0" fontId="5" fillId="3" borderId="30" xfId="2" applyFont="1" applyFill="1" applyBorder="1" applyAlignment="1">
      <alignment horizontal="center"/>
    </xf>
    <xf numFmtId="0" fontId="14" fillId="2" borderId="62" xfId="2" applyFont="1" applyFill="1" applyBorder="1" applyAlignment="1">
      <alignment horizontal="center"/>
    </xf>
    <xf numFmtId="164" fontId="3" fillId="2" borderId="71" xfId="2" applyNumberFormat="1" applyFont="1" applyFill="1" applyBorder="1" applyAlignment="1">
      <alignment horizontal="center"/>
    </xf>
    <xf numFmtId="164" fontId="3" fillId="2" borderId="63" xfId="2" applyNumberFormat="1" applyFont="1" applyFill="1" applyBorder="1" applyAlignment="1">
      <alignment horizontal="center"/>
    </xf>
    <xf numFmtId="0" fontId="14" fillId="2" borderId="72" xfId="2" applyFont="1" applyFill="1" applyBorder="1" applyAlignment="1">
      <alignment horizontal="center"/>
    </xf>
    <xf numFmtId="0" fontId="14" fillId="2" borderId="73" xfId="2" applyFont="1" applyFill="1" applyBorder="1" applyAlignment="1">
      <alignment horizontal="center"/>
    </xf>
    <xf numFmtId="164" fontId="3" fillId="3" borderId="74" xfId="2" applyNumberFormat="1" applyFont="1" applyFill="1" applyBorder="1" applyAlignment="1">
      <alignment horizontal="center"/>
    </xf>
    <xf numFmtId="0" fontId="13" fillId="3" borderId="0" xfId="2" applyFont="1" applyFill="1"/>
    <xf numFmtId="0" fontId="5" fillId="3" borderId="75" xfId="2" applyFont="1" applyFill="1" applyBorder="1" applyAlignment="1">
      <alignment horizontal="center"/>
    </xf>
    <xf numFmtId="0" fontId="5" fillId="3" borderId="76" xfId="2" applyFont="1" applyFill="1" applyBorder="1" applyAlignment="1">
      <alignment horizontal="center"/>
    </xf>
    <xf numFmtId="164" fontId="3" fillId="2" borderId="77" xfId="2" applyNumberFormat="1" applyFont="1" applyFill="1" applyBorder="1" applyAlignment="1">
      <alignment horizontal="center"/>
    </xf>
    <xf numFmtId="164" fontId="3" fillId="2" borderId="8" xfId="2" applyNumberFormat="1" applyFont="1" applyFill="1" applyBorder="1" applyAlignment="1">
      <alignment horizontal="center"/>
    </xf>
    <xf numFmtId="164" fontId="3" fillId="2" borderId="78" xfId="2" applyNumberFormat="1" applyFont="1" applyFill="1" applyBorder="1" applyAlignment="1">
      <alignment horizontal="center"/>
    </xf>
    <xf numFmtId="164" fontId="3" fillId="2" borderId="79" xfId="2" applyNumberFormat="1" applyFont="1" applyFill="1" applyBorder="1" applyAlignment="1">
      <alignment horizontal="center"/>
    </xf>
    <xf numFmtId="164" fontId="3" fillId="2" borderId="80" xfId="2" applyNumberFormat="1" applyFont="1" applyFill="1" applyBorder="1" applyAlignment="1">
      <alignment horizontal="center"/>
    </xf>
    <xf numFmtId="164" fontId="3" fillId="2" borderId="81" xfId="2" applyNumberFormat="1" applyFont="1" applyFill="1" applyBorder="1" applyAlignment="1">
      <alignment horizontal="center"/>
    </xf>
    <xf numFmtId="164" fontId="3" fillId="2" borderId="82" xfId="2" applyNumberFormat="1" applyFont="1" applyFill="1" applyBorder="1" applyAlignment="1">
      <alignment horizontal="center"/>
    </xf>
    <xf numFmtId="0" fontId="2" fillId="3" borderId="50" xfId="2" applyFont="1" applyFill="1" applyBorder="1" applyAlignment="1">
      <alignment horizontal="center"/>
    </xf>
    <xf numFmtId="0" fontId="14" fillId="2" borderId="68" xfId="2" applyFont="1" applyFill="1" applyBorder="1" applyAlignment="1">
      <alignment horizontal="center"/>
    </xf>
    <xf numFmtId="164" fontId="3" fillId="2" borderId="56" xfId="2" applyNumberFormat="1" applyFont="1" applyFill="1" applyBorder="1" applyAlignment="1">
      <alignment horizontal="center"/>
    </xf>
    <xf numFmtId="164" fontId="3" fillId="2" borderId="83" xfId="2" applyNumberFormat="1" applyFont="1" applyFill="1" applyBorder="1" applyAlignment="1">
      <alignment horizontal="center"/>
    </xf>
    <xf numFmtId="164" fontId="3" fillId="3" borderId="84" xfId="2" applyNumberFormat="1" applyFont="1" applyFill="1" applyBorder="1" applyAlignment="1">
      <alignment horizontal="center"/>
    </xf>
    <xf numFmtId="0" fontId="15" fillId="3" borderId="0" xfId="2" applyFont="1" applyFill="1"/>
    <xf numFmtId="0" fontId="3" fillId="8" borderId="62" xfId="2" applyFont="1" applyFill="1" applyBorder="1" applyAlignment="1">
      <alignment horizontal="center"/>
    </xf>
    <xf numFmtId="0" fontId="3" fillId="8" borderId="72" xfId="2" applyFont="1" applyFill="1" applyBorder="1" applyAlignment="1">
      <alignment horizontal="center"/>
    </xf>
    <xf numFmtId="0" fontId="3" fillId="8" borderId="73" xfId="2" applyFont="1" applyFill="1" applyBorder="1" applyAlignment="1">
      <alignment horizontal="center"/>
    </xf>
    <xf numFmtId="164" fontId="10" fillId="2" borderId="44" xfId="2" applyNumberFormat="1" applyFont="1" applyFill="1" applyBorder="1" applyAlignment="1">
      <alignment horizontal="center"/>
    </xf>
    <xf numFmtId="0" fontId="3" fillId="8" borderId="67" xfId="2" applyFont="1" applyFill="1" applyBorder="1" applyAlignment="1">
      <alignment horizontal="center"/>
    </xf>
    <xf numFmtId="164" fontId="3" fillId="2" borderId="85" xfId="2" applyNumberFormat="1" applyFont="1" applyFill="1" applyBorder="1" applyAlignment="1">
      <alignment horizontal="center"/>
    </xf>
    <xf numFmtId="0" fontId="3" fillId="3" borderId="0" xfId="2" applyFont="1" applyFill="1" applyBorder="1"/>
    <xf numFmtId="0" fontId="2" fillId="3" borderId="0" xfId="2" applyFont="1" applyFill="1" applyAlignment="1">
      <alignment horizontal="center"/>
    </xf>
    <xf numFmtId="0" fontId="4" fillId="3" borderId="0" xfId="2" applyFont="1" applyFill="1"/>
    <xf numFmtId="0" fontId="16" fillId="3" borderId="0" xfId="2" applyFont="1" applyFill="1" applyAlignment="1">
      <alignment horizontal="center"/>
    </xf>
    <xf numFmtId="0" fontId="17" fillId="3" borderId="0" xfId="2" applyFont="1" applyFill="1" applyAlignment="1">
      <alignment horizontal="left"/>
    </xf>
    <xf numFmtId="164" fontId="1" fillId="0" borderId="0" xfId="2" applyNumberFormat="1"/>
    <xf numFmtId="9" fontId="0" fillId="0" borderId="0" xfId="1" applyFont="1"/>
  </cellXfs>
  <cellStyles count="3">
    <cellStyle name="Normal" xfId="0" builtinId="0"/>
    <cellStyle name="Normal_01f1998a" xfId="2"/>
    <cellStyle name="Porcentagem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Solar/so2020b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eiro"/>
      <sheetName val="fevereiro"/>
      <sheetName val="marc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irradiação solar - ano"/>
      <sheetName val="transmissão global - ano"/>
      <sheetName val="duração do brilho - ano"/>
      <sheetName val="insolação relativa - ano"/>
      <sheetName val="cálculos teóricos"/>
      <sheetName val="figura 1"/>
      <sheetName val="figura 2"/>
      <sheetName val="figura 3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I3">
            <v>13.432646455605028</v>
          </cell>
          <cell r="K3">
            <v>1.0433095476903587</v>
          </cell>
          <cell r="T3">
            <v>42.972554729067994</v>
          </cell>
        </row>
        <row r="4">
          <cell r="I4">
            <v>13.427083464038553</v>
          </cell>
          <cell r="K4">
            <v>1.0432689705391567</v>
          </cell>
          <cell r="T4">
            <v>42.957348831388643</v>
          </cell>
        </row>
        <row r="5">
          <cell r="I5">
            <v>13.420993894192648</v>
          </cell>
          <cell r="K5">
            <v>1.0432240147113081</v>
          </cell>
          <cell r="T5">
            <v>42.94007223550922</v>
          </cell>
        </row>
        <row r="6">
          <cell r="I6">
            <v>13.414382772748056</v>
          </cell>
          <cell r="K6">
            <v>1.0431745699304664</v>
          </cell>
          <cell r="T6">
            <v>42.920712814194886</v>
          </cell>
        </row>
        <row r="7">
          <cell r="I7">
            <v>13.40725552892793</v>
          </cell>
          <cell r="K7">
            <v>1.0431205173832472</v>
          </cell>
          <cell r="T7">
            <v>42.899257802114548</v>
          </cell>
        </row>
        <row r="8">
          <cell r="I8">
            <v>13.399617979654318</v>
          </cell>
          <cell r="K8">
            <v>1.0430617300197544</v>
          </cell>
          <cell r="T8">
            <v>42.875693838404729</v>
          </cell>
        </row>
        <row r="9">
          <cell r="I9">
            <v>13.391476313835456</v>
          </cell>
          <cell r="K9">
            <v>1.0429980728749551</v>
          </cell>
          <cell r="T9">
            <v>42.850007012169783</v>
          </cell>
        </row>
        <row r="10">
          <cell r="I10">
            <v>13.382837075865469</v>
          </cell>
          <cell r="K10">
            <v>1.0429294034098502</v>
          </cell>
          <cell r="T10">
            <v>42.822182910782871</v>
          </cell>
        </row>
        <row r="11">
          <cell r="I11">
            <v>13.373707148420571</v>
          </cell>
          <cell r="K11">
            <v>1.0428555718713279</v>
          </cell>
          <cell r="T11">
            <v>42.792206670842504</v>
          </cell>
        </row>
        <row r="12">
          <cell r="I12">
            <v>13.364093734637674</v>
          </cell>
          <cell r="K12">
            <v>1.0427764216695341</v>
          </cell>
          <cell r="T12">
            <v>42.760063031628945</v>
          </cell>
        </row>
        <row r="13">
          <cell r="I13">
            <v>13.354004339762858</v>
          </cell>
          <cell r="K13">
            <v>1.0426917897715424</v>
          </cell>
          <cell r="T13">
            <v>42.72573639089709</v>
          </cell>
        </row>
        <row r="14">
          <cell r="I14">
            <v>13.343446752357368</v>
          </cell>
          <cell r="K14">
            <v>1.0426015071100707</v>
          </cell>
          <cell r="T14">
            <v>42.689210862833292</v>
          </cell>
        </row>
        <row r="15">
          <cell r="I15">
            <v>13.332429025149247</v>
          </cell>
          <cell r="K15">
            <v>1.0425053990059436</v>
          </cell>
          <cell r="T15">
            <v>42.6504703379955</v>
          </cell>
        </row>
        <row r="16">
          <cell r="I16">
            <v>13.32095945561748</v>
          </cell>
          <cell r="K16">
            <v>1.0424032856029817</v>
          </cell>
          <cell r="T16">
            <v>42.609498545049341</v>
          </cell>
        </row>
        <row r="17">
          <cell r="I17">
            <v>13.309046566394962</v>
          </cell>
          <cell r="K17">
            <v>1.0422949823139649</v>
          </cell>
          <cell r="T17">
            <v>42.566279114105868</v>
          </cell>
        </row>
        <row r="18">
          <cell r="I18">
            <v>13.296699085574138</v>
          </cell>
          <cell r="K18">
            <v>1.0421803002763004</v>
          </cell>
          <cell r="T18">
            <v>42.520795641460737</v>
          </cell>
        </row>
        <row r="19">
          <cell r="I19">
            <v>13.283925926997437</v>
          </cell>
          <cell r="K19">
            <v>1.0420590468160129</v>
          </cell>
          <cell r="T19">
            <v>42.473031755529334</v>
          </cell>
        </row>
        <row r="20">
          <cell r="I20">
            <v>13.270736170611478</v>
          </cell>
          <cell r="K20">
            <v>1.0419310259186705</v>
          </cell>
          <cell r="T20">
            <v>42.422971183768496</v>
          </cell>
        </row>
        <row r="21">
          <cell r="I21">
            <v>13.257139042960983</v>
          </cell>
          <cell r="K21">
            <v>1.0417960387058549</v>
          </cell>
          <cell r="T21">
            <v>42.370597820371522</v>
          </cell>
        </row>
        <row r="22">
          <cell r="I22">
            <v>13.243143897894775</v>
          </cell>
          <cell r="K22">
            <v>1.0416538839157914</v>
          </cell>
          <cell r="T22">
            <v>42.315895794520593</v>
          </cell>
        </row>
        <row r="23">
          <cell r="I23">
            <v>13.228760197552258</v>
          </cell>
          <cell r="K23">
            <v>1.0415043583867623</v>
          </cell>
          <cell r="T23">
            <v>42.258849538979433</v>
          </cell>
        </row>
        <row r="24">
          <cell r="I24">
            <v>13.213997493694729</v>
          </cell>
          <cell r="K24">
            <v>1.0413472575419567</v>
          </cell>
          <cell r="T24">
            <v>42.199443858808038</v>
          </cell>
        </row>
        <row r="25">
          <cell r="I25">
            <v>13.198865409441321</v>
          </cell>
          <cell r="K25">
            <v>1.041182375874407</v>
          </cell>
          <cell r="T25">
            <v>42.137663999981427</v>
          </cell>
        </row>
        <row r="26">
          <cell r="I26">
            <v>13.183373621464895</v>
          </cell>
          <cell r="K26">
            <v>1.0410095074307182</v>
          </cell>
          <cell r="T26">
            <v>42.073495717695977</v>
          </cell>
        </row>
        <row r="27">
          <cell r="I27">
            <v>13.16753184269853</v>
          </cell>
          <cell r="K27">
            <v>1.0408284462923059</v>
          </cell>
          <cell r="T27">
            <v>42.006925344148755</v>
          </cell>
        </row>
        <row r="28">
          <cell r="I28">
            <v>13.151349805598334</v>
          </cell>
          <cell r="K28">
            <v>1.0406389870529105</v>
          </cell>
          <cell r="T28">
            <v>41.937939855578989</v>
          </cell>
        </row>
        <row r="29">
          <cell r="I29">
            <v>13.134837246003574</v>
          </cell>
          <cell r="K29">
            <v>1.040440925291195</v>
          </cell>
          <cell r="T29">
            <v>41.866526938364217</v>
          </cell>
        </row>
        <row r="30">
          <cell r="I30">
            <v>13.118003887630318</v>
          </cell>
          <cell r="K30">
            <v>1.0402340580372698</v>
          </cell>
          <cell r="T30">
            <v>41.792675053969653</v>
          </cell>
        </row>
        <row r="31">
          <cell r="I31">
            <v>13.100859427229913</v>
          </cell>
          <cell r="K31">
            <v>1.0400181842320544</v>
          </cell>
          <cell r="T31">
            <v>41.716373502555001</v>
          </cell>
        </row>
        <row r="32">
          <cell r="I32">
            <v>13.083413520438963</v>
          </cell>
          <cell r="K32">
            <v>1.0397931051784299</v>
          </cell>
          <cell r="T32">
            <v>41.637612485050042</v>
          </cell>
        </row>
        <row r="33">
          <cell r="I33">
            <v>13.065675768342954</v>
          </cell>
          <cell r="K33">
            <v>1.0395586249831952</v>
          </cell>
          <cell r="T33">
            <v>41.556383163518021</v>
          </cell>
        </row>
        <row r="34">
          <cell r="I34">
            <v>13.047655704771071</v>
          </cell>
          <cell r="K34">
            <v>1.0393145509889044</v>
          </cell>
          <cell r="T34">
            <v>41.472677719635314</v>
          </cell>
        </row>
        <row r="35">
          <cell r="I35">
            <v>13.029362784335678</v>
          </cell>
          <cell r="K35">
            <v>1.03906069419472</v>
          </cell>
          <cell r="T35">
            <v>41.386489411124131</v>
          </cell>
        </row>
        <row r="36">
          <cell r="I36">
            <v>13.010806371225611</v>
          </cell>
          <cell r="K36">
            <v>1.038796869665491</v>
          </cell>
          <cell r="T36">
            <v>41.297812625986587</v>
          </cell>
        </row>
        <row r="37">
          <cell r="I37">
            <v>12.991995728758745</v>
          </cell>
          <cell r="K37">
            <v>1.0385228969283236</v>
          </cell>
          <cell r="T37">
            <v>41.206642934398403</v>
          </cell>
        </row>
        <row r="38">
          <cell r="I38">
            <v>12.972940009695547</v>
          </cell>
          <cell r="K38">
            <v>1.0382386003559865</v>
          </cell>
          <cell r="T38">
            <v>41.112977138132415</v>
          </cell>
        </row>
        <row r="39">
          <cell r="I39">
            <v>12.953648247311923</v>
          </cell>
          <cell r="K39">
            <v>1.0379438095365645</v>
          </cell>
          <cell r="T39">
            <v>41.016813317393655</v>
          </cell>
        </row>
        <row r="40">
          <cell r="I40">
            <v>12.934129347226488</v>
          </cell>
          <cell r="K40">
            <v>1.037638359628839</v>
          </cell>
          <cell r="T40">
            <v>40.9181508749611</v>
          </cell>
        </row>
        <row r="41">
          <cell r="I41">
            <v>12.914392079974427</v>
          </cell>
          <cell r="K41">
            <v>1.0373220917029544</v>
          </cell>
          <cell r="T41">
            <v>40.816990577542512</v>
          </cell>
        </row>
        <row r="42">
          <cell r="I42">
            <v>12.894445074317558</v>
          </cell>
          <cell r="K42">
            <v>1.0369948530659916</v>
          </cell>
          <cell r="T42">
            <v>40.713334594263301</v>
          </cell>
        </row>
        <row r="43">
          <cell r="I43">
            <v>12.874296811277606</v>
          </cell>
          <cell r="K43">
            <v>1.0366564975721508</v>
          </cell>
          <cell r="T43">
            <v>40.607186532222627</v>
          </cell>
        </row>
        <row r="44">
          <cell r="I44">
            <v>12.853955618877693</v>
          </cell>
          <cell r="K44">
            <v>1.0363068859173084</v>
          </cell>
          <cell r="T44">
            <v>40.49855146906372</v>
          </cell>
        </row>
        <row r="45">
          <cell r="I45">
            <v>12.833429667575025</v>
          </cell>
          <cell r="K45">
            <v>1.0359458859177855</v>
          </cell>
          <cell r="T45">
            <v>40.387435982518646</v>
          </cell>
        </row>
        <row r="46">
          <cell r="I46">
            <v>12.812726966366139</v>
          </cell>
          <cell r="K46">
            <v>1.0355733727732386</v>
          </cell>
          <cell r="T46">
            <v>40.273848176901005</v>
          </cell>
        </row>
        <row r="47">
          <cell r="I47">
            <v>12.791855359544524</v>
          </cell>
          <cell r="K47">
            <v>1.0351892293136391</v>
          </cell>
          <cell r="T47">
            <v>40.157797706533401</v>
          </cell>
        </row>
        <row r="48">
          <cell r="I48">
            <v>12.770822524089397</v>
          </cell>
          <cell r="K48">
            <v>1.0347933462303829</v>
          </cell>
          <cell r="T48">
            <v>40.03929579610913</v>
          </cell>
        </row>
        <row r="49">
          <cell r="I49">
            <v>12.749635967663192</v>
          </cell>
          <cell r="K49">
            <v>1.0343856222916303</v>
          </cell>
          <cell r="T49">
            <v>39.918355258000474</v>
          </cell>
        </row>
        <row r="50">
          <cell r="I50">
            <v>12.728303027194645</v>
          </cell>
          <cell r="K50">
            <v>1.0339659645420316</v>
          </cell>
          <cell r="T50">
            <v>39.794990506538213</v>
          </cell>
        </row>
        <row r="51">
          <cell r="I51">
            <v>12.706830868023706</v>
          </cell>
          <cell r="K51">
            <v>1.0335342884870602</v>
          </cell>
          <cell r="T51">
            <v>39.669217569298148</v>
          </cell>
        </row>
        <row r="52">
          <cell r="I52">
            <v>12.685226483584112</v>
          </cell>
          <cell r="K52">
            <v>1.033090518262219</v>
          </cell>
          <cell r="T52">
            <v>39.54105409544276</v>
          </cell>
        </row>
        <row r="53">
          <cell r="I53">
            <v>12.663496695599086</v>
          </cell>
          <cell r="K53">
            <v>1.0326345867874447</v>
          </cell>
          <cell r="T53">
            <v>39.410519361176185</v>
          </cell>
        </row>
        <row r="54">
          <cell r="I54">
            <v>12.641648154765646</v>
          </cell>
          <cell r="K54">
            <v>1.032166435907075</v>
          </cell>
          <cell r="T54">
            <v>39.277634272380226</v>
          </cell>
        </row>
        <row r="55">
          <cell r="I55">
            <v>12.619687341902916</v>
          </cell>
          <cell r="K55">
            <v>1.0316860165157933</v>
          </cell>
          <cell r="T55">
            <v>39.142421364509971</v>
          </cell>
        </row>
        <row r="56">
          <cell r="I56">
            <v>12.597620569540034</v>
          </cell>
          <cell r="K56">
            <v>1.0311932886709996</v>
          </cell>
          <cell r="T56">
            <v>39.004904799834748</v>
          </cell>
        </row>
        <row r="57">
          <cell r="I57">
            <v>12.575453983919491</v>
          </cell>
          <cell r="K57">
            <v>1.0306882216920989</v>
          </cell>
          <cell r="T57">
            <v>38.865110362118791</v>
          </cell>
        </row>
        <row r="58">
          <cell r="I58">
            <v>12.553193567392162</v>
          </cell>
          <cell r="K58">
            <v>1.0301707942472205</v>
          </cell>
          <cell r="T58">
            <v>38.723065448843045</v>
          </cell>
        </row>
        <row r="59">
          <cell r="I59">
            <v>12.530845141180563</v>
          </cell>
          <cell r="K59">
            <v>1.0296409944279203</v>
          </cell>
          <cell r="T59">
            <v>38.578799061075529</v>
          </cell>
        </row>
        <row r="60">
          <cell r="I60">
            <v>12.508414368487685</v>
          </cell>
          <cell r="K60">
            <v>1.0290988198124356</v>
          </cell>
          <cell r="T60">
            <v>38.432341791103383</v>
          </cell>
        </row>
        <row r="61">
          <cell r="I61">
            <v>12.485906757928969</v>
          </cell>
          <cell r="K61">
            <v>1.0285442775180771</v>
          </cell>
          <cell r="T61">
            <v>38.283725807943732</v>
          </cell>
        </row>
        <row r="62">
          <cell r="I62">
            <v>12.485906757928969</v>
          </cell>
          <cell r="K62">
            <v>1.0285442775180771</v>
          </cell>
          <cell r="T62">
            <v>38.283725807943732</v>
          </cell>
        </row>
        <row r="63">
          <cell r="I63">
            <v>12.463327667266025</v>
          </cell>
          <cell r="K63">
            <v>1.0279773842433713</v>
          </cell>
          <cell r="T63">
            <v>38.132984840855237</v>
          </cell>
        </row>
        <row r="64">
          <cell r="I64">
            <v>12.440682307421085</v>
          </cell>
          <cell r="K64">
            <v>1.027398166300562</v>
          </cell>
          <cell r="T64">
            <v>37.980154160973754</v>
          </cell>
        </row>
        <row r="65">
          <cell r="I65">
            <v>12.417975746751987</v>
          </cell>
          <cell r="K65">
            <v>1.0268066596390977</v>
          </cell>
          <cell r="T65">
            <v>37.825270561198415</v>
          </cell>
        </row>
        <row r="66">
          <cell r="I66">
            <v>12.395212915568337</v>
          </cell>
          <cell r="K66">
            <v>1.0262029098607273</v>
          </cell>
          <cell r="T66">
            <v>37.668372334455164</v>
          </cell>
        </row>
        <row r="67">
          <cell r="I67">
            <v>12.372398610870075</v>
          </cell>
          <cell r="K67">
            <v>1.0255869722268318</v>
          </cell>
          <cell r="T67">
            <v>37.509499250465367</v>
          </cell>
        </row>
        <row r="68">
          <cell r="I68">
            <v>12.349537501290623</v>
          </cell>
          <cell r="K68">
            <v>1.0249589116586053</v>
          </cell>
          <cell r="T68">
            <v>37.348692531146071</v>
          </cell>
        </row>
        <row r="69">
          <cell r="I69">
            <v>12.326634132227381</v>
          </cell>
          <cell r="K69">
            <v>1.0243188027306998</v>
          </cell>
          <cell r="T69">
            <v>37.185994824767818</v>
          </cell>
        </row>
        <row r="70">
          <cell r="I70">
            <v>12.303692931143221</v>
          </cell>
          <cell r="K70">
            <v>1.023666729658925</v>
          </cell>
          <cell r="T70">
            <v>37.021450178993661</v>
          </cell>
        </row>
        <row r="71">
          <cell r="I71">
            <v>12.280718213023388</v>
          </cell>
          <cell r="K71">
            <v>1.0230027862825883</v>
          </cell>
          <cell r="T71">
            <v>36.855104012919824</v>
          </cell>
        </row>
        <row r="72">
          <cell r="I72">
            <v>12.25771418597288</v>
          </cell>
          <cell r="K72">
            <v>1.0223270760420269</v>
          </cell>
          <cell r="T72">
            <v>36.687003088236096</v>
          </cell>
        </row>
        <row r="73">
          <cell r="I73">
            <v>12.234684956940034</v>
          </cell>
          <cell r="K73">
            <v>1.0216397119518779</v>
          </cell>
          <cell r="T73">
            <v>36.517195479618834</v>
          </cell>
        </row>
        <row r="74">
          <cell r="I74">
            <v>12.211634537553067</v>
          </cell>
          <cell r="K74">
            <v>1.0209408165705878</v>
          </cell>
          <cell r="T74">
            <v>36.345730544465582</v>
          </cell>
        </row>
        <row r="75">
          <cell r="I75">
            <v>12.1885668500564</v>
          </cell>
          <cell r="K75">
            <v>1.0202305219666468</v>
          </cell>
          <cell r="T75">
            <v>36.172658892075304</v>
          </cell>
        </row>
        <row r="76">
          <cell r="I76">
            <v>12.165485733334812</v>
          </cell>
          <cell r="K76">
            <v>1.0195089696819948</v>
          </cell>
          <cell r="T76">
            <v>35.998032352371688</v>
          </cell>
        </row>
        <row r="77">
          <cell r="I77">
            <v>12.142394949013712</v>
          </cell>
          <cell r="K77">
            <v>1.0187763106930137</v>
          </cell>
          <cell r="T77">
            <v>35.82190394426226</v>
          </cell>
        </row>
        <row r="78">
          <cell r="I78">
            <v>12.119298187624363</v>
          </cell>
          <cell r="K78">
            <v>1.018032705369482</v>
          </cell>
          <cell r="T78">
            <v>35.644327843718507</v>
          </cell>
        </row>
        <row r="79">
          <cell r="I79">
            <v>12.096199074823641</v>
          </cell>
          <cell r="K79">
            <v>1.0172783234318352</v>
          </cell>
          <cell r="T79">
            <v>35.465359351656311</v>
          </cell>
        </row>
        <row r="80">
          <cell r="I80">
            <v>12.073101177658092</v>
          </cell>
          <cell r="K80">
            <v>1.016513343907022</v>
          </cell>
          <cell r="T80">
            <v>35.285054861688451</v>
          </cell>
        </row>
        <row r="81">
          <cell r="I81">
            <v>12.050008010862662</v>
          </cell>
          <cell r="K81">
            <v>1.0157379550832217</v>
          </cell>
          <cell r="T81">
            <v>35.103471827814516</v>
          </cell>
        </row>
        <row r="82">
          <cell r="I82">
            <v>12.026923043184821</v>
          </cell>
          <cell r="K82">
            <v>1.0149523544636272</v>
          </cell>
          <cell r="T82">
            <v>34.920668732105412</v>
          </cell>
        </row>
        <row r="83">
          <cell r="I83">
            <v>12.003849703725068</v>
          </cell>
          <cell r="K83">
            <v>1.0141567487194687</v>
          </cell>
          <cell r="T83">
            <v>34.736705052432924</v>
          </cell>
        </row>
        <row r="84">
          <cell r="I84">
            <v>11.980791388285134</v>
          </cell>
          <cell r="K84">
            <v>1.0133513536423984</v>
          </cell>
          <cell r="T84">
            <v>34.551641230287451</v>
          </cell>
        </row>
        <row r="85">
          <cell r="I85">
            <v>11.957751465715512</v>
          </cell>
          <cell r="K85">
            <v>1.0125363940963121</v>
          </cell>
          <cell r="T85">
            <v>34.36553863871918</v>
          </cell>
        </row>
        <row r="86">
          <cell r="I86">
            <v>11.934733284254012</v>
          </cell>
          <cell r="K86">
            <v>1.011712103968645</v>
          </cell>
          <cell r="T86">
            <v>34.1784595504311</v>
          </cell>
        </row>
        <row r="87">
          <cell r="I87">
            <v>11.911740177847248</v>
          </cell>
          <cell r="K87">
            <v>1.0108787261211196</v>
          </cell>
          <cell r="T87">
            <v>33.990467106044939</v>
          </cell>
        </row>
        <row r="88">
          <cell r="I88">
            <v>11.888775472447131</v>
          </cell>
          <cell r="K88">
            <v>1.010036512339894</v>
          </cell>
          <cell r="T88">
            <v>33.801625282554461</v>
          </cell>
        </row>
        <row r="89">
          <cell r="I89">
            <v>11.865842492274421</v>
          </cell>
          <cell r="K89">
            <v>1.0091857232849979</v>
          </cell>
          <cell r="T89">
            <v>33.61199886197312</v>
          </cell>
        </row>
        <row r="90">
          <cell r="I90">
            <v>11.842944566041432</v>
          </cell>
          <cell r="K90">
            <v>1.0083266284389116</v>
          </cell>
          <cell r="T90">
            <v>33.421653400177576</v>
          </cell>
        </row>
        <row r="91">
          <cell r="I91">
            <v>11.820085033125993</v>
          </cell>
          <cell r="K91">
            <v>1.0074595060540923</v>
          </cell>
          <cell r="T91">
            <v>33.230655195941289</v>
          </cell>
        </row>
        <row r="92">
          <cell r="I92">
            <v>11.797267249688634</v>
          </cell>
          <cell r="K92">
            <v>1.0065846430992109</v>
          </cell>
          <cell r="T92">
            <v>33.03907126014785</v>
          </cell>
        </row>
        <row r="93">
          <cell r="I93">
            <v>11.774494594725017</v>
          </cell>
          <cell r="K93">
            <v>1.0057023352038255</v>
          </cell>
          <cell r="T93">
            <v>32.846969285166935</v>
          </cell>
        </row>
        <row r="94">
          <cell r="I94">
            <v>11.751770476045246</v>
          </cell>
          <cell r="K94">
            <v>1.0048128866011701</v>
          </cell>
          <cell r="T94">
            <v>32.65441761437198</v>
          </cell>
        </row>
        <row r="95">
          <cell r="I95">
            <v>11.729098336171763</v>
          </cell>
          <cell r="K95">
            <v>1.0039166100687127</v>
          </cell>
          <cell r="T95">
            <v>32.461485211773081</v>
          </cell>
        </row>
        <row r="96">
          <cell r="I96">
            <v>11.706481658147139</v>
          </cell>
          <cell r="K96">
            <v>1.003013826866084</v>
          </cell>
          <cell r="T96">
            <v>32.268241631734995</v>
          </cell>
        </row>
        <row r="97">
          <cell r="I97">
            <v>11.683923971242983</v>
          </cell>
          <cell r="K97">
            <v>1.0021048666699626</v>
          </cell>
          <cell r="T97">
            <v>32.074756988746543</v>
          </cell>
        </row>
        <row r="98">
          <cell r="I98">
            <v>11.661428856560702</v>
          </cell>
          <cell r="K98">
            <v>1.0011900675054584</v>
          </cell>
          <cell r="T98">
            <v>31.881101927204124</v>
          </cell>
        </row>
        <row r="99">
          <cell r="I99">
            <v>11.638999952514853</v>
          </cell>
          <cell r="K99">
            <v>1.0002697756735133</v>
          </cell>
          <cell r="T99">
            <v>31.687347591169619</v>
          </cell>
        </row>
        <row r="100">
          <cell r="I100">
            <v>11.616640960189132</v>
          </cell>
          <cell r="K100">
            <v>0.99934434567381758</v>
          </cell>
          <cell r="T100">
            <v>31.493565594061103</v>
          </cell>
        </row>
        <row r="101">
          <cell r="I101">
            <v>11.594355648555021</v>
          </cell>
          <cell r="K101">
            <v>0.99841414012270413</v>
          </cell>
          <cell r="T101">
            <v>31.299827988232465</v>
          </cell>
        </row>
        <row r="102">
          <cell r="I102">
            <v>11.5721478595426</v>
          </cell>
          <cell r="K102">
            <v>0.99747952966548015</v>
          </cell>
          <cell r="T102">
            <v>31.106207234397623</v>
          </cell>
        </row>
        <row r="103">
          <cell r="I103">
            <v>11.55002151295256</v>
          </cell>
          <cell r="K103">
            <v>0.99654089288262615</v>
          </cell>
          <cell r="T103">
            <v>30.912776170854091</v>
          </cell>
        </row>
        <row r="104">
          <cell r="I104">
            <v>11.527980611198263</v>
          </cell>
          <cell r="K104">
            <v>0.99559861618928736</v>
          </cell>
          <cell r="T104">
            <v>30.719607982460538</v>
          </cell>
        </row>
        <row r="105">
          <cell r="I105">
            <v>11.506029243866161</v>
          </cell>
          <cell r="K105">
            <v>0.99465309372746913</v>
          </cell>
          <cell r="T105">
            <v>30.526776169323703</v>
          </cell>
        </row>
        <row r="106">
          <cell r="I106">
            <v>11.484171592082447</v>
          </cell>
          <cell r="K106">
            <v>0.9937047272503452</v>
          </cell>
          <cell r="T106">
            <v>30.334354515150523</v>
          </cell>
        </row>
        <row r="107">
          <cell r="I107">
            <v>11.462411932673533</v>
          </cell>
          <cell r="K107">
            <v>0.99275392599807921</v>
          </cell>
          <cell r="T107">
            <v>30.142417055223362</v>
          </cell>
        </row>
        <row r="108">
          <cell r="I108">
            <v>11.440754642107416</v>
          </cell>
          <cell r="K108">
            <v>0.99180110656457066</v>
          </cell>
          <cell r="T108">
            <v>29.951038043957332</v>
          </cell>
        </row>
        <row r="109">
          <cell r="I109">
            <v>11.419204200202659</v>
          </cell>
          <cell r="K109">
            <v>0.99084669275453241</v>
          </cell>
          <cell r="T109">
            <v>29.760291922001649</v>
          </cell>
        </row>
        <row r="110">
          <cell r="I110">
            <v>11.397765193591368</v>
          </cell>
          <cell r="K110">
            <v>0.9898911154303186</v>
          </cell>
          <cell r="T110">
            <v>29.570253282849443</v>
          </cell>
        </row>
        <row r="111">
          <cell r="I111">
            <v>11.376442318922143</v>
          </cell>
          <cell r="K111">
            <v>0.98893481234793812</v>
          </cell>
          <cell r="T111">
            <v>29.380996838923444</v>
          </cell>
        </row>
        <row r="112">
          <cell r="I112">
            <v>11.355240385788584</v>
          </cell>
          <cell r="K112">
            <v>0.9879782279816971</v>
          </cell>
          <cell r="T112">
            <v>29.192597387108517</v>
          </cell>
        </row>
        <row r="113">
          <cell r="I113">
            <v>11.334164319368824</v>
          </cell>
          <cell r="K113">
            <v>0.98702181333694017</v>
          </cell>
          <cell r="T113">
            <v>29.005129773706106</v>
          </cell>
        </row>
        <row r="114">
          <cell r="I114">
            <v>11.313219162761063</v>
          </cell>
          <cell r="K114">
            <v>0.98606602575038249</v>
          </cell>
          <cell r="T114">
            <v>28.818668858789103</v>
          </cell>
        </row>
        <row r="115">
          <cell r="I115">
            <v>11.292410079000071</v>
          </cell>
          <cell r="K115">
            <v>0.98511132867754536</v>
          </cell>
          <cell r="T115">
            <v>28.633289479940686</v>
          </cell>
        </row>
        <row r="116">
          <cell r="I116">
            <v>11.27174235273929</v>
          </cell>
          <cell r="K116">
            <v>0.98415819146685024</v>
          </cell>
          <cell r="T116">
            <v>28.449066415364875</v>
          </cell>
        </row>
        <row r="117">
          <cell r="I117">
            <v>11.251221391583176</v>
          </cell>
          <cell r="K117">
            <v>0.98320708911994803</v>
          </cell>
          <cell r="T117">
            <v>28.266074346361314</v>
          </cell>
        </row>
        <row r="118">
          <cell r="I118">
            <v>11.230852727054316</v>
          </cell>
          <cell r="K118">
            <v>0.98225850203790688</v>
          </cell>
          <cell r="T118">
            <v>28.08438781916194</v>
          </cell>
        </row>
        <row r="119">
          <cell r="I119">
            <v>11.210642015179907</v>
          </cell>
          <cell r="K119">
            <v>0.98131291575291579</v>
          </cell>
          <cell r="T119">
            <v>27.904081206131991</v>
          </cell>
        </row>
        <row r="120">
          <cell r="I120">
            <v>11.190595036682291</v>
          </cell>
          <cell r="K120">
            <v>0.98037082064520997</v>
          </cell>
          <cell r="T120">
            <v>27.725228666343192</v>
          </cell>
        </row>
        <row r="121">
          <cell r="I121">
            <v>11.170717696758381</v>
          </cell>
          <cell r="K121">
            <v>0.97943271164497014</v>
          </cell>
          <cell r="T121">
            <v>27.547904105531607</v>
          </cell>
        </row>
        <row r="122">
          <cell r="I122">
            <v>11.15101602443325</v>
          </cell>
          <cell r="K122">
            <v>0.97849908791898976</v>
          </cell>
          <cell r="T122">
            <v>27.372181135458487</v>
          </cell>
        </row>
        <row r="123">
          <cell r="I123">
            <v>11.131496171473273</v>
          </cell>
          <cell r="K123">
            <v>0.97757045254197084</v>
          </cell>
          <cell r="T123">
            <v>27.198133032696809</v>
          </cell>
        </row>
        <row r="124">
          <cell r="I124">
            <v>11.112164410845079</v>
          </cell>
          <cell r="K124">
            <v>0.97664731215234668</v>
          </cell>
          <cell r="T124">
            <v>27.025832696871763</v>
          </cell>
        </row>
        <row r="125">
          <cell r="I125">
            <v>11.093027134706757</v>
          </cell>
          <cell r="K125">
            <v>0.97573017659260319</v>
          </cell>
          <cell r="T125">
            <v>26.855352608387982</v>
          </cell>
        </row>
        <row r="126">
          <cell r="I126">
            <v>11.074090851918852</v>
          </cell>
          <cell r="K126">
            <v>0.97481955853411284</v>
          </cell>
          <cell r="T126">
            <v>26.686764785681291</v>
          </cell>
        </row>
        <row r="127">
          <cell r="I127">
            <v>11.055362185063325</v>
          </cell>
          <cell r="K127">
            <v>0.97391597308657185</v>
          </cell>
          <cell r="T127">
            <v>26.520140742037025</v>
          </cell>
        </row>
        <row r="128">
          <cell r="I128">
            <v>11.036847866959667</v>
          </cell>
          <cell r="K128">
            <v>0.97301993739218018</v>
          </cell>
          <cell r="T128">
            <v>26.355551442021564</v>
          </cell>
        </row>
        <row r="129">
          <cell r="I129">
            <v>11.018554736668527</v>
          </cell>
          <cell r="K129">
            <v>0.97213197020477449</v>
          </cell>
          <cell r="T129">
            <v>26.193067257577663</v>
          </cell>
        </row>
        <row r="130">
          <cell r="I130">
            <v>11.000489734974462</v>
          </cell>
          <cell r="K130">
            <v>0.97125259145418985</v>
          </cell>
          <cell r="T130">
            <v>26.032757923837824</v>
          </cell>
        </row>
        <row r="131">
          <cell r="I131">
            <v>10.982659899340732</v>
          </cell>
          <cell r="K131">
            <v>0.97038232179618111</v>
          </cell>
          <cell r="T131">
            <v>25.874692494713734</v>
          </cell>
        </row>
        <row r="132">
          <cell r="I132">
            <v>10.965072358330648</v>
          </cell>
          <cell r="K132">
            <v>0.96952168214831635</v>
          </cell>
          <cell r="T132">
            <v>25.718939298322645</v>
          </cell>
        </row>
        <row r="133">
          <cell r="I133">
            <v>10.947734325491757</v>
          </cell>
          <cell r="K133">
            <v>0.96867119321230488</v>
          </cell>
          <cell r="T133">
            <v>25.565565892314495</v>
          </cell>
        </row>
        <row r="134">
          <cell r="I134">
            <v>10.930653092700721</v>
          </cell>
          <cell r="K134">
            <v>0.9678313749832993</v>
          </cell>
          <cell r="T134">
            <v>25.414639019166131</v>
          </cell>
        </row>
        <row r="135">
          <cell r="I135">
            <v>10.913836022969011</v>
          </cell>
          <cell r="K135">
            <v>0.96700274624676985</v>
          </cell>
          <cell r="T135">
            <v>25.26622456151059</v>
          </cell>
        </row>
        <row r="136">
          <cell r="I136">
            <v>10.897290542711382</v>
          </cell>
          <cell r="K136">
            <v>0.96618582406361775</v>
          </cell>
          <cell r="T136">
            <v>25.120387497571706</v>
          </cell>
        </row>
        <row r="137">
          <cell r="I137">
            <v>10.881024133481446</v>
          </cell>
          <cell r="K137">
            <v>0.96538112324425585</v>
          </cell>
          <cell r="T137">
            <v>24.977191856775008</v>
          </cell>
        </row>
        <row r="138">
          <cell r="I138">
            <v>10.865044323181046</v>
          </cell>
          <cell r="K138">
            <v>0.96458915581244764</v>
          </cell>
          <cell r="T138">
            <v>24.836700675606831</v>
          </cell>
        </row>
        <row r="139">
          <cell r="I139">
            <v>10.849358676752436</v>
          </cell>
          <cell r="K139">
            <v>0.96381043045975534</v>
          </cell>
          <cell r="T139">
            <v>24.698975953794339</v>
          </cell>
        </row>
        <row r="140">
          <cell r="I140">
            <v>10.833974786365069</v>
          </cell>
          <cell r="K140">
            <v>0.96304545199151148</v>
          </cell>
          <cell r="T140">
            <v>24.564078610878632</v>
          </cell>
        </row>
        <row r="141">
          <cell r="I141">
            <v>10.818900261111278</v>
          </cell>
          <cell r="K141">
            <v>0.96229472076527511</v>
          </cell>
          <cell r="T141">
            <v>24.432068443253335</v>
          </cell>
        </row>
        <row r="142">
          <cell r="I142">
            <v>10.804142716228</v>
          </cell>
          <cell r="K142">
            <v>0.96155873212279996</v>
          </cell>
          <cell r="T142">
            <v>24.3030040817398</v>
          </cell>
        </row>
        <row r="143">
          <cell r="I143">
            <v>10.78970976186449</v>
          </cell>
          <cell r="K143">
            <v>0.9608379758165817</v>
          </cell>
          <cell r="T143">
            <v>24.176942949769266</v>
          </cell>
        </row>
        <row r="144">
          <cell r="I144">
            <v>10.775608991418745</v>
          </cell>
          <cell r="K144">
            <v>0.96013293543210909</v>
          </cell>
          <cell r="T144">
            <v>24.053941222240866</v>
          </cell>
        </row>
        <row r="145">
          <cell r="I145">
            <v>10.761847969468413</v>
          </cell>
          <cell r="K145">
            <v>0.95944408780698176</v>
          </cell>
          <cell r="T145">
            <v>23.934053785122181</v>
          </cell>
        </row>
        <row r="146">
          <cell r="I146">
            <v>10.748434219324782</v>
          </cell>
          <cell r="K146">
            <v>0.95877190244810251</v>
          </cell>
          <cell r="T146">
            <v>23.81733419585737</v>
          </cell>
        </row>
        <row r="147">
          <cell r="I147">
            <v>10.735375210241287</v>
          </cell>
          <cell r="K147">
            <v>0.95811684094818839</v>
          </cell>
          <cell r="T147">
            <v>23.703834644645326</v>
          </cell>
        </row>
        <row r="148">
          <cell r="I148">
            <v>10.722678344310896</v>
          </cell>
          <cell r="K148">
            <v>0.95747935640287785</v>
          </cell>
          <cell r="T148">
            <v>23.593605916647533</v>
          </cell>
        </row>
        <row r="149">
          <cell r="I149">
            <v>10.710350943089647</v>
          </cell>
          <cell r="K149">
            <v>0.95685989282974016</v>
          </cell>
          <cell r="T149">
            <v>23.486697355182486</v>
          </cell>
        </row>
        <row r="150">
          <cell r="I150">
            <v>10.698400233986028</v>
          </cell>
          <cell r="K150">
            <v>0.95625888459052066</v>
          </cell>
          <cell r="T150">
            <v>23.38315682596054</v>
          </cell>
        </row>
        <row r="151">
          <cell r="I151">
            <v>10.686833336458804</v>
          </cell>
          <cell r="K151">
            <v>0.95567675581796974</v>
          </cell>
          <cell r="T151">
            <v>23.283030682409645</v>
          </cell>
        </row>
        <row r="152">
          <cell r="I152">
            <v>10.675657248068191</v>
          </cell>
          <cell r="K152">
            <v>0.95511391984862659</v>
          </cell>
          <cell r="T152">
            <v>23.186363732139114</v>
          </cell>
        </row>
        <row r="153">
          <cell r="I153">
            <v>10.66487883042762</v>
          </cell>
          <cell r="K153">
            <v>0.95457077866293116</v>
          </cell>
          <cell r="T153">
            <v>23.093199204585154</v>
          </cell>
        </row>
        <row r="154">
          <cell r="I154">
            <v>10.654504795105451</v>
          </cell>
          <cell r="K154">
            <v>0.95404772233404822</v>
          </cell>
          <cell r="T154">
            <v>23.003578719878121</v>
          </cell>
        </row>
        <row r="155">
          <cell r="I155">
            <v>10.64454168952793</v>
          </cell>
          <cell r="K155">
            <v>0.95354512848678641</v>
          </cell>
          <cell r="T155">
            <v>22.917542258968254</v>
          </cell>
        </row>
        <row r="156">
          <cell r="I156">
            <v>10.634995882936208</v>
          </cell>
          <cell r="K156">
            <v>0.95306336176798911</v>
          </cell>
          <cell r="T156">
            <v>22.835128135042794</v>
          </cell>
        </row>
        <row r="157">
          <cell r="I157">
            <v>10.625873552451839</v>
          </cell>
          <cell r="K157">
            <v>0.95260277332976384</v>
          </cell>
          <cell r="T157">
            <v>22.756372966264053</v>
          </cell>
        </row>
        <row r="158">
          <cell r="I158">
            <v>10.617180669306048</v>
          </cell>
          <cell r="K158">
            <v>0.95216370032690345</v>
          </cell>
          <cell r="T158">
            <v>22.681311649854528</v>
          </cell>
        </row>
        <row r="159">
          <cell r="I159">
            <v>10.608922985289027</v>
          </cell>
          <cell r="K159">
            <v>0.95174646542982722</v>
          </cell>
          <cell r="T159">
            <v>22.609977337551737</v>
          </cell>
        </row>
        <row r="160">
          <cell r="I160">
            <v>10.601106019475857</v>
          </cell>
          <cell r="K160">
            <v>0.95135137635435019</v>
          </cell>
          <cell r="T160">
            <v>22.542401412452758</v>
          </cell>
        </row>
        <row r="161">
          <cell r="I161">
            <v>10.593735045285838</v>
          </cell>
          <cell r="K161">
            <v>0.9509787254095502</v>
          </cell>
          <cell r="T161">
            <v>22.478613467264381</v>
          </cell>
        </row>
        <row r="162">
          <cell r="I162">
            <v>10.586815077931689</v>
          </cell>
          <cell r="K162">
            <v>0.95062878906497217</v>
          </cell>
          <cell r="T162">
            <v>22.418641283973457</v>
          </cell>
        </row>
        <row r="163">
          <cell r="I163">
            <v>10.580350862314617</v>
          </cell>
          <cell r="K163">
            <v>0.95030182753836612</v>
          </cell>
          <cell r="T163">
            <v>22.362510814947974</v>
          </cell>
        </row>
        <row r="164">
          <cell r="I164">
            <v>10.57434686142002</v>
          </cell>
          <cell r="K164">
            <v>0.94999808440510503</v>
          </cell>
          <cell r="T164">
            <v>22.310246165477785</v>
          </cell>
        </row>
        <row r="165">
          <cell r="I165">
            <v>10.568807245267474</v>
          </cell>
          <cell r="K165">
            <v>0.94971778623038505</v>
          </cell>
          <cell r="T165">
            <v>22.261869577761775</v>
          </cell>
        </row>
        <row r="166">
          <cell r="I166">
            <v>10.563735880466673</v>
          </cell>
          <cell r="K166">
            <v>0.94946114222524891</v>
          </cell>
          <cell r="T166">
            <v>22.217401416345737</v>
          </cell>
        </row>
        <row r="167">
          <cell r="I167">
            <v>10.559136320429129</v>
          </cell>
          <cell r="K167">
            <v>0.9492283439274154</v>
          </cell>
          <cell r="T167">
            <v>22.176860155014239</v>
          </cell>
        </row>
        <row r="168">
          <cell r="I168">
            <v>10.555011796282567</v>
          </cell>
          <cell r="K168">
            <v>0.94901956490783757</v>
          </cell>
          <cell r="T168">
            <v>22.140262365137801</v>
          </cell>
        </row>
        <row r="169">
          <cell r="I169">
            <v>10.551365208532534</v>
          </cell>
          <cell r="K169">
            <v>0.94883496050383698</v>
          </cell>
          <cell r="T169">
            <v>22.107622705475894</v>
          </cell>
        </row>
        <row r="170">
          <cell r="I170">
            <v>10.54819911951218</v>
          </cell>
          <cell r="K170">
            <v>0.9486746675795964</v>
          </cell>
          <cell r="T170">
            <v>22.078953913434933</v>
          </cell>
        </row>
        <row r="171">
          <cell r="I171">
            <v>10.545515746657909</v>
          </cell>
          <cell r="K171">
            <v>0.94853880431471793</v>
          </cell>
          <cell r="T171">
            <v>22.054266797780116</v>
          </cell>
        </row>
        <row r="172">
          <cell r="I172">
            <v>10.543316956644638</v>
          </cell>
          <cell r="K172">
            <v>0.94842747002147099</v>
          </cell>
          <cell r="T172">
            <v>22.033570232799129</v>
          </cell>
        </row>
        <row r="173">
          <cell r="I173">
            <v>10.541604260410397</v>
          </cell>
          <cell r="K173">
            <v>0.94834074499127929</v>
          </cell>
          <cell r="T173">
            <v>22.016871153915464</v>
          </cell>
        </row>
        <row r="174">
          <cell r="I174">
            <v>10.540378809095687</v>
          </cell>
          <cell r="K174">
            <v>0.94827869037091239</v>
          </cell>
          <cell r="T174">
            <v>22.004174554749007</v>
          </cell>
        </row>
        <row r="175">
          <cell r="I175">
            <v>10.539641390918483</v>
          </cell>
          <cell r="K175">
            <v>0.94824134806875726</v>
          </cell>
          <cell r="T175">
            <v>21.995483485621605</v>
          </cell>
        </row>
        <row r="176">
          <cell r="I176">
            <v>10.539392429001008</v>
          </cell>
          <cell r="K176">
            <v>0.94822874069146967</v>
          </cell>
          <cell r="T176">
            <v>21.990799053505</v>
          </cell>
        </row>
        <row r="177">
          <cell r="I177">
            <v>10.539631980159754</v>
          </cell>
          <cell r="K177">
            <v>0.9482408715112014</v>
          </cell>
          <cell r="T177">
            <v>21.990120423409326</v>
          </cell>
        </row>
        <row r="178">
          <cell r="I178">
            <v>10.540359734665067</v>
          </cell>
          <cell r="K178">
            <v>0.94827772446352887</v>
          </cell>
          <cell r="T178">
            <v>21.993444821210002</v>
          </cell>
        </row>
        <row r="179">
          <cell r="I179">
            <v>10.541575016971914</v>
          </cell>
          <cell r="K179">
            <v>0.94833926417610326</v>
          </cell>
          <cell r="T179">
            <v>22.000767537911535</v>
          </cell>
        </row>
        <row r="180">
          <cell r="I180">
            <v>10.543276787418177</v>
          </cell>
          <cell r="K180">
            <v>0.94842543602796126</v>
          </cell>
          <cell r="T180">
            <v>22.012081935346771</v>
          </cell>
        </row>
        <row r="181">
          <cell r="I181">
            <v>10.545463644882119</v>
          </cell>
          <cell r="K181">
            <v>0.94853616623934689</v>
          </cell>
          <cell r="T181">
            <v>22.027379453310431</v>
          </cell>
        </row>
        <row r="182">
          <cell r="I182">
            <v>10.548133830385645</v>
          </cell>
          <cell r="K182">
            <v>0.94867136199179813</v>
          </cell>
          <cell r="T182">
            <v>22.046649618125883</v>
          </cell>
        </row>
        <row r="183">
          <cell r="I183">
            <v>10.551285231625181</v>
          </cell>
          <cell r="K183">
            <v>0.94883091157817412</v>
          </cell>
          <cell r="T183">
            <v>22.069880052644166</v>
          </cell>
        </row>
        <row r="184">
          <cell r="I184">
            <v>10.554915388407521</v>
          </cell>
          <cell r="K184">
            <v>0.94901468458220362</v>
          </cell>
          <cell r="T184">
            <v>22.097056487674202</v>
          </cell>
        </row>
        <row r="185">
          <cell r="I185">
            <v>10.559021498963354</v>
          </cell>
          <cell r="K185">
            <v>0.94922253208705598</v>
          </cell>
          <cell r="T185">
            <v>22.12816277484286</v>
          </cell>
        </row>
        <row r="186">
          <cell r="I186">
            <v>10.563600427107158</v>
          </cell>
          <cell r="K186">
            <v>0.94945428691235023</v>
          </cell>
          <cell r="T186">
            <v>22.16318090088307</v>
          </cell>
        </row>
        <row r="187">
          <cell r="I187">
            <v>10.568648710207977</v>
          </cell>
          <cell r="K187">
            <v>0.94970976387893824</v>
          </cell>
          <cell r="T187">
            <v>22.20209100334764</v>
          </cell>
        </row>
        <row r="188">
          <cell r="I188">
            <v>10.57416256793211</v>
          </cell>
          <cell r="K188">
            <v>0.9499887601007182</v>
          </cell>
          <cell r="T188">
            <v>22.244871387745548</v>
          </cell>
        </row>
        <row r="189">
          <cell r="I189">
            <v>10.580137911715219</v>
          </cell>
          <cell r="K189">
            <v>0.95029105530266378</v>
          </cell>
          <cell r="T189">
            <v>22.291498546096314</v>
          </cell>
        </row>
        <row r="190">
          <cell r="I190">
            <v>10.586570354918337</v>
          </cell>
          <cell r="K190">
            <v>0.95061641216417903</v>
          </cell>
          <cell r="T190">
            <v>22.341947176896817</v>
          </cell>
        </row>
        <row r="191">
          <cell r="I191">
            <v>10.593455223619625</v>
          </cell>
          <cell r="K191">
            <v>0.95096457668682222</v>
          </cell>
          <cell r="T191">
            <v>22.396190206493252</v>
          </cell>
        </row>
        <row r="192">
          <cell r="I192">
            <v>10.600787567991276</v>
          </cell>
          <cell r="K192">
            <v>0.95133527858537681</v>
          </cell>
          <cell r="T192">
            <v>22.454198811849096</v>
          </cell>
        </row>
        <row r="193">
          <cell r="I193">
            <v>10.608562174209084</v>
          </cell>
          <cell r="K193">
            <v>0.95172823170119347</v>
          </cell>
          <cell r="T193">
            <v>22.515942444697764</v>
          </cell>
        </row>
        <row r="194">
          <cell r="I194">
            <v>10.616773576840487</v>
          </cell>
          <cell r="K194">
            <v>0.95214313443666077</v>
          </cell>
          <cell r="T194">
            <v>22.581388857066401</v>
          </cell>
        </row>
        <row r="195">
          <cell r="I195">
            <v>10.625416071655851</v>
          </cell>
          <cell r="K195">
            <v>0.95257967020962231</v>
          </cell>
          <cell r="T195">
            <v>22.650504128154459</v>
          </cell>
        </row>
        <row r="196">
          <cell r="I196">
            <v>10.634483728806718</v>
          </cell>
          <cell r="K196">
            <v>0.95303750792650499</v>
          </cell>
          <cell r="T196">
            <v>22.723252692547995</v>
          </cell>
        </row>
        <row r="197">
          <cell r="I197">
            <v>10.643970406314452</v>
          </cell>
          <cell r="K197">
            <v>0.95351630247288299</v>
          </cell>
          <cell r="T197">
            <v>22.79959736974741</v>
          </cell>
        </row>
        <row r="198">
          <cell r="I198">
            <v>10.653869763812521</v>
          </cell>
          <cell r="K198">
            <v>0.95401569522016727</v>
          </cell>
          <cell r="T198">
            <v>22.879499394983263</v>
          </cell>
        </row>
        <row r="199">
          <cell r="I199">
            <v>10.664175276485974</v>
          </cell>
          <cell r="K199">
            <v>0.95453531454708007</v>
          </cell>
          <cell r="T199">
            <v>22.962918451291131</v>
          </cell>
        </row>
        <row r="200">
          <cell r="I200">
            <v>10.674880249152137</v>
          </cell>
          <cell r="K200">
            <v>0.95507477637454152</v>
          </cell>
          <cell r="T200">
            <v>23.049812702813032</v>
          </cell>
        </row>
        <row r="201">
          <cell r="I201">
            <v>10.685977830427753</v>
          </cell>
          <cell r="K201">
            <v>0.9556336847125847</v>
          </cell>
          <cell r="T201">
            <v>23.140138829289349</v>
          </cell>
        </row>
        <row r="202">
          <cell r="I202">
            <v>10.69746102692859</v>
          </cell>
          <cell r="K202">
            <v>0.95621163221789329</v>
          </cell>
          <cell r="T202">
            <v>23.233852061700922</v>
          </cell>
        </row>
        <row r="203">
          <cell r="I203">
            <v>10.709322717449501</v>
          </cell>
          <cell r="K203">
            <v>0.95680820076054496</v>
          </cell>
          <cell r="T203">
            <v>23.330906219017812</v>
          </cell>
        </row>
        <row r="204">
          <cell r="I204">
            <v>10.721555667074277</v>
          </cell>
          <cell r="K204">
            <v>0.95742296199854815</v>
          </cell>
          <cell r="T204">
            <v>23.431253746006767</v>
          </cell>
        </row>
        <row r="205">
          <cell r="I205">
            <v>10.734152541166916</v>
          </cell>
          <cell r="K205">
            <v>0.95805547795874668</v>
          </cell>
          <cell r="T205">
            <v>23.534845752045989</v>
          </cell>
        </row>
        <row r="206">
          <cell r="I206">
            <v>10.747105919197939</v>
          </cell>
          <cell r="K206">
            <v>0.9587053016226873</v>
          </cell>
          <cell r="T206">
            <v>23.641632050891843</v>
          </cell>
        </row>
        <row r="207">
          <cell r="I207">
            <v>10.760408308361818</v>
          </cell>
          <cell r="K207">
            <v>0.95937197751604364</v>
          </cell>
          <cell r="T207">
            <v>23.751561201338504</v>
          </cell>
        </row>
        <row r="208">
          <cell r="I208">
            <v>10.774052156944194</v>
          </cell>
          <cell r="K208">
            <v>0.96005504230021532</v>
          </cell>
          <cell r="T208">
            <v>23.864580548707934</v>
          </cell>
        </row>
        <row r="209">
          <cell r="I209">
            <v>10.788029867400006</v>
          </cell>
          <cell r="K209">
            <v>0.96075402536473475</v>
          </cell>
          <cell r="T209">
            <v>23.980636267104472</v>
          </cell>
        </row>
        <row r="210">
          <cell r="I210">
            <v>10.802333809106663</v>
          </cell>
          <cell r="K210">
            <v>0.96146844941914744</v>
          </cell>
          <cell r="T210">
            <v>24.099673402364708</v>
          </cell>
        </row>
        <row r="211">
          <cell r="I211">
            <v>10.81695633075898</v>
          </cell>
          <cell r="K211">
            <v>0.96219783108305346</v>
          </cell>
          <cell r="T211">
            <v>24.221635915630831</v>
          </cell>
        </row>
        <row r="212">
          <cell r="I212">
            <v>10.831889772375648</v>
          </cell>
          <cell r="K212">
            <v>0.96294168147303771</v>
          </cell>
          <cell r="T212">
            <v>24.346466727472635</v>
          </cell>
        </row>
        <row r="213">
          <cell r="I213">
            <v>10.84712647688978</v>
          </cell>
          <cell r="K213">
            <v>0.96369950678525729</v>
          </cell>
          <cell r="T213">
            <v>24.474107762481303</v>
          </cell>
        </row>
        <row r="214">
          <cell r="I214">
            <v>10.86265880129913</v>
          </cell>
          <cell r="K214">
            <v>0.96447080887248837</v>
          </cell>
          <cell r="T214">
            <v>24.60449999425596</v>
          </cell>
        </row>
        <row r="215">
          <cell r="I215">
            <v>10.87847912735425</v>
          </cell>
          <cell r="K215">
            <v>0.96525508581449126</v>
          </cell>
          <cell r="T215">
            <v>24.7375834907022</v>
          </cell>
        </row>
        <row r="216">
          <cell r="I216">
            <v>10.894579871765924</v>
          </cell>
          <cell r="K216">
            <v>0.96605183248059556</v>
          </cell>
          <cell r="T216">
            <v>24.873297459560863</v>
          </cell>
        </row>
        <row r="217">
          <cell r="I217">
            <v>10.910953495915864</v>
          </cell>
          <cell r="K217">
            <v>0.96686054108346287</v>
          </cell>
          <cell r="T217">
            <v>25.01158029408397</v>
          </cell>
        </row>
        <row r="218">
          <cell r="I218">
            <v>10.927592515057382</v>
          </cell>
          <cell r="K218">
            <v>0.96768070172304144</v>
          </cell>
          <cell r="T218">
            <v>25.152369618774994</v>
          </cell>
        </row>
        <row r="219">
          <cell r="I219">
            <v>10.944489506995499</v>
          </cell>
          <cell r="K219">
            <v>0.96851180291978101</v>
          </cell>
          <cell r="T219">
            <v>25.295602335109727</v>
          </cell>
        </row>
        <row r="220">
          <cell r="I220">
            <v>10.961637120238258</v>
          </cell>
          <cell r="K220">
            <v>0.96935333213624431</v>
          </cell>
          <cell r="T220">
            <v>25.441214667155272</v>
          </cell>
        </row>
        <row r="221">
          <cell r="I221">
            <v>10.979028081613723</v>
          </cell>
          <cell r="K221">
            <v>0.9702047762863053</v>
          </cell>
          <cell r="T221">
            <v>25.589142207004898</v>
          </cell>
        </row>
        <row r="222">
          <cell r="I222">
            <v>10.996655203349142</v>
          </cell>
          <cell r="K222">
            <v>0.97106562223120196</v>
          </cell>
          <cell r="T222">
            <v>25.7393199599484</v>
          </cell>
        </row>
        <row r="223">
          <cell r="I223">
            <v>11.014511389611176</v>
          </cell>
          <cell r="K223">
            <v>0.97193535726175861</v>
          </cell>
          <cell r="T223">
            <v>25.891682389298744</v>
          </cell>
        </row>
        <row r="224">
          <cell r="I224">
            <v>11.032589642507965</v>
          </cell>
          <cell r="K224">
            <v>0.97281346956618042</v>
          </cell>
          <cell r="T224">
            <v>26.046163460798493</v>
          </cell>
        </row>
        <row r="225">
          <cell r="I225">
            <v>11.050883067555807</v>
          </cell>
          <cell r="K225">
            <v>0.97369944868287672</v>
          </cell>
          <cell r="T225">
            <v>26.202696686531851</v>
          </cell>
        </row>
        <row r="226">
          <cell r="I226">
            <v>11.069384878614876</v>
          </cell>
          <cell r="K226">
            <v>0.97459278593784082</v>
          </cell>
          <cell r="T226">
            <v>26.361215168271393</v>
          </cell>
        </row>
        <row r="227">
          <cell r="I227">
            <v>11.088088402300205</v>
          </cell>
          <cell r="K227">
            <v>0.97549297486618836</v>
          </cell>
          <cell r="T227">
            <v>26.521651640191784</v>
          </cell>
        </row>
        <row r="228">
          <cell r="I228">
            <v>11.106987081875399</v>
          </cell>
          <cell r="K228">
            <v>0.97639951161751659</v>
          </cell>
          <cell r="T228">
            <v>26.683938510886904</v>
          </cell>
        </row>
        <row r="229">
          <cell r="I229">
            <v>11.126074480638078</v>
          </cell>
          <cell r="K229">
            <v>0.97731189534482377</v>
          </cell>
          <cell r="T229">
            <v>26.848007904630741</v>
          </cell>
        </row>
        <row r="230">
          <cell r="I230">
            <v>11.145344284807122</v>
          </cell>
          <cell r="K230">
            <v>0.97822962857678464</v>
          </cell>
          <cell r="T230">
            <v>27.01379170182711</v>
          </cell>
        </row>
        <row r="231">
          <cell r="I231">
            <v>11.16479030592296</v>
          </cell>
          <cell r="K231">
            <v>0.97915221757325832</v>
          </cell>
          <cell r="T231">
            <v>27.181221578598191</v>
          </cell>
        </row>
        <row r="232">
          <cell r="I232">
            <v>11.184406482772879</v>
          </cell>
          <cell r="K232">
            <v>0.98007917266395439</v>
          </cell>
          <cell r="T232">
            <v>27.350229045466691</v>
          </cell>
        </row>
        <row r="233">
          <cell r="I233">
            <v>11.204186882854412</v>
          </cell>
          <cell r="K233">
            <v>0.98101000857026255</v>
          </cell>
          <cell r="T233">
            <v>27.520745485092121</v>
          </cell>
        </row>
        <row r="234">
          <cell r="I234">
            <v>11.224125703390222</v>
          </cell>
          <cell r="K234">
            <v>0.98194424471029895</v>
          </cell>
          <cell r="T234">
            <v>27.692702189027393</v>
          </cell>
        </row>
        <row r="235">
          <cell r="I235">
            <v>11.244217271908742</v>
          </cell>
          <cell r="K235">
            <v>0.98288140548729619</v>
          </cell>
          <cell r="T235">
            <v>27.866030393466986</v>
          </cell>
        </row>
        <row r="236">
          <cell r="I236">
            <v>11.264456046405073</v>
          </cell>
          <cell r="K236">
            <v>0.98382102056150911</v>
          </cell>
          <cell r="T236">
            <v>28.040661313965174</v>
          </cell>
        </row>
        <row r="237">
          <cell r="I237">
            <v>11.284836615097095</v>
          </cell>
          <cell r="K237">
            <v>0.98476262510587231</v>
          </cell>
          <cell r="T237">
            <v>28.216526179107174</v>
          </cell>
        </row>
        <row r="238">
          <cell r="I238">
            <v>11.30535369579199</v>
          </cell>
          <cell r="K238">
            <v>0.98570576004569876</v>
          </cell>
          <cell r="T238">
            <v>28.393556263123799</v>
          </cell>
        </row>
        <row r="239">
          <cell r="I239">
            <v>11.326002134878424</v>
          </cell>
          <cell r="K239">
            <v>0.98664997228275131</v>
          </cell>
          <cell r="T239">
            <v>28.571682917445187</v>
          </cell>
        </row>
        <row r="240">
          <cell r="I240">
            <v>11.346776905959914</v>
          </cell>
          <cell r="K240">
            <v>0.98759481490407497</v>
          </cell>
          <cell r="T240">
            <v>28.750837601195709</v>
          </cell>
        </row>
        <row r="241">
          <cell r="I241">
            <v>11.367673108144633</v>
          </cell>
          <cell r="K241">
            <v>0.98853984737601885</v>
          </cell>
          <cell r="T241">
            <v>28.930951910638235</v>
          </cell>
        </row>
        <row r="242">
          <cell r="I242">
            <v>11.388685964007152</v>
          </cell>
          <cell r="K242">
            <v>0.98948463572391299</v>
          </cell>
          <cell r="T242">
            <v>29.111957607581996</v>
          </cell>
        </row>
        <row r="243">
          <cell r="I243">
            <v>11.409810817237096</v>
          </cell>
          <cell r="K243">
            <v>0.99042875269791231</v>
          </cell>
          <cell r="T243">
            <v>29.29378664677364</v>
          </cell>
        </row>
        <row r="244">
          <cell r="I244">
            <v>11.431043129989952</v>
          </cell>
          <cell r="K244">
            <v>0.99137177792554487</v>
          </cell>
          <cell r="T244">
            <v>29.476371202297315</v>
          </cell>
        </row>
        <row r="245">
          <cell r="I245">
            <v>11.452378479954556</v>
          </cell>
          <cell r="K245">
            <v>0.9923132980515369</v>
          </cell>
          <cell r="T245">
            <v>29.659643693014726</v>
          </cell>
        </row>
        <row r="246">
          <cell r="I246">
            <v>11.473812557151932</v>
          </cell>
          <cell r="K246">
            <v>0.99325290686551726</v>
          </cell>
          <cell r="T246">
            <v>29.843536807081268</v>
          </cell>
        </row>
        <row r="247">
          <cell r="I247">
            <v>11.495341160479503</v>
          </cell>
          <cell r="K247">
            <v>0.99419020541821523</v>
          </cell>
          <cell r="T247">
            <v>30.02798352557965</v>
          </cell>
        </row>
        <row r="248">
          <cell r="I248">
            <v>11.516960194014535</v>
          </cell>
          <cell r="K248">
            <v>0.99512480212680143</v>
          </cell>
          <cell r="T248">
            <v>30.21291714531624</v>
          </cell>
        </row>
        <row r="249">
          <cell r="I249">
            <v>11.538665663090258</v>
          </cell>
          <cell r="K249">
            <v>0.99605631287002294</v>
          </cell>
          <cell r="T249">
            <v>30.398271300830679</v>
          </cell>
        </row>
        <row r="250">
          <cell r="I250">
            <v>11.560453670157653</v>
          </cell>
          <cell r="K250">
            <v>0.99698436107380495</v>
          </cell>
          <cell r="T250">
            <v>30.583979985672055</v>
          </cell>
        </row>
        <row r="251">
          <cell r="I251">
            <v>11.582320410445583</v>
          </cell>
          <cell r="K251">
            <v>0.99790857778799535</v>
          </cell>
          <cell r="T251">
            <v>30.769977572999139</v>
          </cell>
        </row>
        <row r="252">
          <cell r="I252">
            <v>11.604262167431463</v>
          </cell>
          <cell r="K252">
            <v>0.99882860175493227</v>
          </cell>
          <cell r="T252">
            <v>30.956198835564976</v>
          </cell>
        </row>
        <row r="253">
          <cell r="I253">
            <v>11.626275308134208</v>
          </cell>
          <cell r="K253">
            <v>0.99974407947051991</v>
          </cell>
          <cell r="T253">
            <v>31.142578965148473</v>
          </cell>
        </row>
        <row r="254">
          <cell r="I254">
            <v>11.648356278240907</v>
          </cell>
          <cell r="K254">
            <v>1.0006546652384873</v>
          </cell>
          <cell r="T254">
            <v>31.329053591497956</v>
          </cell>
        </row>
        <row r="255">
          <cell r="I255">
            <v>11.670501597078111</v>
          </cell>
          <cell r="K255">
            <v>1.0015600212185085</v>
          </cell>
          <cell r="T255">
            <v>31.515558800853107</v>
          </cell>
        </row>
        <row r="256">
          <cell r="I256">
            <v>11.692707852438252</v>
          </cell>
          <cell r="K256">
            <v>1.0024598174688395</v>
          </cell>
          <cell r="T256">
            <v>31.702031154112685</v>
          </cell>
        </row>
        <row r="257">
          <cell r="I257">
            <v>11.714971695271378</v>
          </cell>
          <cell r="K257">
            <v>1.0033537319841259</v>
          </cell>
          <cell r="T257">
            <v>31.888407704716052</v>
          </cell>
        </row>
        <row r="258">
          <cell r="I258">
            <v>11.737289834251907</v>
          </cell>
          <cell r="K258">
            <v>1.0042414507290078</v>
          </cell>
          <cell r="T258">
            <v>32.074626016306389</v>
          </cell>
        </row>
        <row r="259">
          <cell r="I259">
            <v>11.759659030229781</v>
          </cell>
          <cell r="K259">
            <v>1.0051226676681373</v>
          </cell>
          <cell r="T259">
            <v>32.260624180242964</v>
          </cell>
        </row>
        <row r="260">
          <cell r="I260">
            <v>11.782076090575021</v>
          </cell>
          <cell r="K260">
            <v>1.0059970847931912</v>
          </cell>
          <cell r="T260">
            <v>32.446340833028621</v>
          </cell>
        </row>
        <row r="261">
          <cell r="I261">
            <v>11.804537863424434</v>
          </cell>
          <cell r="K261">
            <v>1.0068644121474433</v>
          </cell>
          <cell r="T261">
            <v>32.63171517371709</v>
          </cell>
        </row>
        <row r="262">
          <cell r="I262">
            <v>11.827041231838793</v>
          </cell>
          <cell r="K262">
            <v>1.0077243678484233</v>
          </cell>
          <cell r="T262">
            <v>32.816686981362338</v>
          </cell>
        </row>
        <row r="263">
          <cell r="I263">
            <v>11.849583107878678</v>
          </cell>
          <cell r="K263">
            <v>1.0085766781091658</v>
          </cell>
          <cell r="T263">
            <v>33.001196632569247</v>
          </cell>
        </row>
        <row r="264">
          <cell r="I264">
            <v>11.872160426606762</v>
          </cell>
          <cell r="K264">
            <v>1.0094210772585084</v>
          </cell>
          <cell r="T264">
            <v>33.185185119202401</v>
          </cell>
        </row>
        <row r="265">
          <cell r="I265">
            <v>11.894770140024326</v>
          </cell>
          <cell r="K265">
            <v>1.0102573077608699</v>
          </cell>
          <cell r="T265">
            <v>33.368594066304397</v>
          </cell>
        </row>
        <row r="266">
          <cell r="I266">
            <v>11.917409210949348</v>
          </cell>
          <cell r="K266">
            <v>1.0110851202358924</v>
          </cell>
          <cell r="T266">
            <v>33.551365750272652</v>
          </cell>
        </row>
        <row r="267">
          <cell r="I267">
            <v>11.940074606843586</v>
          </cell>
          <cell r="K267">
            <v>1.0119042734782999</v>
          </cell>
          <cell r="T267">
            <v>33.733443117336968</v>
          </cell>
        </row>
        <row r="268">
          <cell r="I268">
            <v>11.962763293595893</v>
          </cell>
          <cell r="K268">
            <v>1.0127145344782673</v>
          </cell>
          <cell r="T268">
            <v>33.914769802376469</v>
          </cell>
        </row>
        <row r="269">
          <cell r="I269">
            <v>11.985472229268808</v>
          </cell>
          <cell r="K269">
            <v>1.0135156784425661</v>
          </cell>
          <cell r="T269">
            <v>34.095290148107495</v>
          </cell>
        </row>
        <row r="270">
          <cell r="I270">
            <v>12.008198357815731</v>
          </cell>
          <cell r="K270">
            <v>1.0143074888166961</v>
          </cell>
          <cell r="T270">
            <v>34.274949224668816</v>
          </cell>
        </row>
        <row r="271">
          <cell r="I271">
            <v>12.030938602775587</v>
          </cell>
          <cell r="K271">
            <v>1.0150897573081683</v>
          </cell>
          <cell r="T271">
            <v>34.453692849623536</v>
          </cell>
        </row>
        <row r="272">
          <cell r="I272">
            <v>12.053689860952399</v>
          </cell>
          <cell r="K272">
            <v>1.0158622839110589</v>
          </cell>
          <cell r="T272">
            <v>34.631467608390317</v>
          </cell>
        </row>
        <row r="273">
          <cell r="I273">
            <v>12.076448996086873</v>
          </cell>
          <cell r="K273">
            <v>1.0166248769318984</v>
          </cell>
          <cell r="T273">
            <v>34.808220875109512</v>
          </cell>
        </row>
        <row r="274">
          <cell r="I274">
            <v>12.099212832527423</v>
          </cell>
          <cell r="K274">
            <v>1.0173773530169188</v>
          </cell>
          <cell r="T274">
            <v>34.983900833942378</v>
          </cell>
        </row>
        <row r="275">
          <cell r="I275">
            <v>12.121978148908402</v>
          </cell>
          <cell r="K275">
            <v>1.0181195371806306</v>
          </cell>
          <cell r="T275">
            <v>35.158456500793754</v>
          </cell>
        </row>
        <row r="276">
          <cell r="I276">
            <v>12.144741671843036</v>
          </cell>
          <cell r="K276">
            <v>1.018851262835645</v>
          </cell>
          <cell r="T276">
            <v>35.331837745441064</v>
          </cell>
        </row>
        <row r="277">
          <cell r="I277">
            <v>12.167500069639472</v>
          </cell>
          <cell r="K277">
            <v>1.01957237182362</v>
          </cell>
          <cell r="T277">
            <v>35.503995314044545</v>
          </cell>
        </row>
        <row r="278">
          <cell r="I278">
            <v>12.190249946048064</v>
          </cell>
          <cell r="K278">
            <v>1.020282714447148</v>
          </cell>
          <cell r="T278">
            <v>35.67488085200516</v>
          </cell>
        </row>
        <row r="279">
          <cell r="I279">
            <v>12.212987834048798</v>
          </cell>
          <cell r="K279">
            <v>1.0209821495023679</v>
          </cell>
          <cell r="T279">
            <v>35.84444692712988</v>
          </cell>
        </row>
        <row r="280">
          <cell r="I280">
            <v>12.235710189687937</v>
          </cell>
          <cell r="K280">
            <v>1.0216705443120255</v>
          </cell>
          <cell r="T280">
            <v>36.012647053054536</v>
          </cell>
        </row>
        <row r="281">
          <cell r="I281">
            <v>12.25841338597343</v>
          </cell>
          <cell r="K281">
            <v>1.0223477747586711</v>
          </cell>
          <cell r="T281">
            <v>36.179435712867594</v>
          </cell>
        </row>
        <row r="282">
          <cell r="I282">
            <v>12.281093706839203</v>
          </cell>
          <cell r="K282">
            <v>1.0230137253176346</v>
          </cell>
          <cell r="T282">
            <v>36.344768382870527</v>
          </cell>
        </row>
        <row r="283">
          <cell r="I283">
            <v>12.303747341188917</v>
          </cell>
          <cell r="K283">
            <v>1.0236682890893776</v>
          </cell>
          <cell r="T283">
            <v>36.508601556402283</v>
          </cell>
        </row>
        <row r="284">
          <cell r="I284">
            <v>12.326370377030226</v>
          </cell>
          <cell r="K284">
            <v>1.0243113678307814</v>
          </cell>
          <cell r="T284">
            <v>36.670892767648695</v>
          </cell>
        </row>
        <row r="285">
          <cell r="I285">
            <v>12.348958795711455</v>
          </cell>
          <cell r="K285">
            <v>1.0249428719848979</v>
          </cell>
          <cell r="T285">
            <v>36.831600615350567</v>
          </cell>
        </row>
        <row r="286">
          <cell r="I286">
            <v>12.371508466272868</v>
          </cell>
          <cell r="K286">
            <v>1.025562720708646</v>
          </cell>
          <cell r="T286">
            <v>36.990684786317473</v>
          </cell>
        </row>
        <row r="287">
          <cell r="I287">
            <v>12.394015139925731</v>
          </cell>
          <cell r="K287">
            <v>1.0261708418979132</v>
          </cell>
          <cell r="T287">
            <v>37.148106078648368</v>
          </cell>
        </row>
        <row r="288">
          <cell r="I288">
            <v>12.416474444672822</v>
          </cell>
          <cell r="K288">
            <v>1.0267671722094867</v>
          </cell>
          <cell r="T288">
            <v>37.303826424554515</v>
          </cell>
        </row>
        <row r="289">
          <cell r="I289">
            <v>12.438881880084809</v>
          </cell>
          <cell r="K289">
            <v>1.0273516570792156</v>
          </cell>
          <cell r="T289">
            <v>37.457808912674437</v>
          </cell>
        </row>
        <row r="290">
          <cell r="I290">
            <v>12.461232812247786</v>
          </cell>
          <cell r="K290">
            <v>1.0279242507357855</v>
          </cell>
          <cell r="T290">
            <v>37.610017809767371</v>
          </cell>
        </row>
        <row r="291">
          <cell r="I291">
            <v>12.483522468897803</v>
          </cell>
          <cell r="K291">
            <v>1.0284849162094551</v>
          </cell>
          <cell r="T291">
            <v>37.760418581666087</v>
          </cell>
        </row>
        <row r="292">
          <cell r="I292">
            <v>12.505745934759188</v>
          </cell>
          <cell r="K292">
            <v>1.0290336253351089</v>
          </cell>
          <cell r="T292">
            <v>37.908977913368176</v>
          </cell>
        </row>
        <row r="293">
          <cell r="I293">
            <v>12.527898147104127</v>
          </cell>
          <cell r="K293">
            <v>1.0295703587489491</v>
          </cell>
          <cell r="T293">
            <v>38.055663728141198</v>
          </cell>
        </row>
        <row r="294">
          <cell r="I294">
            <v>12.549973891551732</v>
          </cell>
          <cell r="K294">
            <v>1.0300951058781556</v>
          </cell>
          <cell r="T294">
            <v>38.200445205516317</v>
          </cell>
        </row>
        <row r="295">
          <cell r="I295">
            <v>12.571967798125707</v>
          </cell>
          <cell r="K295">
            <v>1.0306078649228301</v>
          </cell>
          <cell r="T295">
            <v>38.34329279804254</v>
          </cell>
        </row>
        <row r="296">
          <cell r="I296">
            <v>12.593874337590313</v>
          </cell>
          <cell r="K296">
            <v>1.0311086428295455</v>
          </cell>
          <cell r="T296">
            <v>38.484178246675384</v>
          </cell>
        </row>
        <row r="297">
          <cell r="I297">
            <v>12.615687818085217</v>
          </cell>
          <cell r="K297">
            <v>1.0315974552558274</v>
          </cell>
          <cell r="T297">
            <v>38.623074594672374</v>
          </cell>
        </row>
        <row r="298">
          <cell r="I298">
            <v>12.637402382080378</v>
          </cell>
          <cell r="K298">
            <v>1.0320743265248982</v>
          </cell>
          <cell r="T298">
            <v>38.759956199870359</v>
          </cell>
        </row>
        <row r="299">
          <cell r="I299">
            <v>12.65901200367289</v>
          </cell>
          <cell r="K299">
            <v>1.032539289570032</v>
          </cell>
          <cell r="T299">
            <v>38.894798745221976</v>
          </cell>
        </row>
        <row r="300">
          <cell r="I300">
            <v>12.680510486248172</v>
          </cell>
          <cell r="K300">
            <v>1.0329923858678827</v>
          </cell>
          <cell r="T300">
            <v>39.027579247470733</v>
          </cell>
        </row>
        <row r="301">
          <cell r="I301">
            <v>12.701891460528639</v>
          </cell>
          <cell r="K301">
            <v>1.0334336653601741</v>
          </cell>
          <cell r="T301">
            <v>39.158276063849144</v>
          </cell>
        </row>
        <row r="302">
          <cell r="I302">
            <v>12.723148383033188</v>
          </cell>
          <cell r="K302">
            <v>1.03386318636316</v>
          </cell>
          <cell r="T302">
            <v>39.286868896688745</v>
          </cell>
        </row>
        <row r="303">
          <cell r="I303">
            <v>12.744274534971474</v>
          </cell>
          <cell r="K303">
            <v>1.0342810154643007</v>
          </cell>
          <cell r="T303">
            <v>39.413338795836367</v>
          </cell>
        </row>
        <row r="304">
          <cell r="I304">
            <v>12.765263021597068</v>
          </cell>
          <cell r="K304">
            <v>1.034687227405628</v>
          </cell>
          <cell r="T304">
            <v>39.537668158777905</v>
          </cell>
        </row>
        <row r="305">
          <cell r="I305">
            <v>12.786106772043812</v>
          </cell>
          <cell r="K305">
            <v>1.0350819049533166</v>
          </cell>
          <cell r="T305">
            <v>39.659840728377716</v>
          </cell>
        </row>
        <row r="306">
          <cell r="I306">
            <v>12.806798539669806</v>
          </cell>
          <cell r="K306">
            <v>1.0354651387530205</v>
          </cell>
          <cell r="T306">
            <v>39.779841588149978</v>
          </cell>
        </row>
        <row r="307">
          <cell r="I307">
            <v>12.82733090293323</v>
          </cell>
          <cell r="K307">
            <v>1.0358370271705748</v>
          </cell>
          <cell r="T307">
            <v>39.897657154987527</v>
          </cell>
        </row>
        <row r="308">
          <cell r="I308">
            <v>12.847696266824101</v>
          </cell>
          <cell r="K308">
            <v>1.0361976761177196</v>
          </cell>
          <cell r="T308">
            <v>40.013275169282224</v>
          </cell>
        </row>
        <row r="309">
          <cell r="I309">
            <v>12.867886864875677</v>
          </cell>
          <cell r="K309">
            <v>1.0365471988625521</v>
          </cell>
          <cell r="T309">
            <v>40.126684682382106</v>
          </cell>
        </row>
        <row r="310">
          <cell r="I310">
            <v>12.887894761778501</v>
          </cell>
          <cell r="K310">
            <v>1.0368857158244706</v>
          </cell>
          <cell r="T310">
            <v>40.237876041340378</v>
          </cell>
        </row>
        <row r="311">
          <cell r="I311">
            <v>12.907711856619468</v>
          </cell>
          <cell r="K311">
            <v>1.0372133543534348</v>
          </cell>
          <cell r="T311">
            <v>40.346840870923295</v>
          </cell>
        </row>
        <row r="312">
          <cell r="I312">
            <v>12.927329886767305</v>
          </cell>
          <cell r="K312">
            <v>1.0375302484934286</v>
          </cell>
          <cell r="T312">
            <v>40.453572052854859</v>
          </cell>
        </row>
        <row r="313">
          <cell r="I313">
            <v>12.946740432424651</v>
          </cell>
          <cell r="K313">
            <v>1.0378365387300734</v>
          </cell>
          <cell r="T313">
            <v>40.558063702289274</v>
          </cell>
        </row>
        <row r="314">
          <cell r="I314">
            <v>12.965934921865541</v>
          </cell>
          <cell r="K314">
            <v>1.0381323717224153</v>
          </cell>
          <cell r="T314">
            <v>40.660311141513574</v>
          </cell>
        </row>
        <row r="315">
          <cell r="I315">
            <v>12.984904637375484</v>
          </cell>
          <cell r="K315">
            <v>1.0384179000189673</v>
          </cell>
          <cell r="T315">
            <v>40.76031087089649</v>
          </cell>
        </row>
        <row r="316">
          <cell r="I316">
            <v>13.003640721909486</v>
          </cell>
          <cell r="K316">
            <v>1.0386932817581682</v>
          </cell>
          <cell r="T316">
            <v>40.858060537111371</v>
          </cell>
        </row>
        <row r="317">
          <cell r="I317">
            <v>13.022134186481196</v>
          </cell>
          <cell r="K317">
            <v>1.0389586803534896</v>
          </cell>
          <cell r="T317">
            <v>40.95355889867507</v>
          </cell>
        </row>
        <row r="318">
          <cell r="I318">
            <v>13.040375918294128</v>
          </cell>
          <cell r="K318">
            <v>1.0392142641634872</v>
          </cell>
          <cell r="T318">
            <v>41.046805788856631</v>
          </cell>
        </row>
        <row r="319">
          <cell r="I319">
            <v>13.058356689623087</v>
          </cell>
          <cell r="K319">
            <v>1.0394602061471769</v>
          </cell>
          <cell r="T319">
            <v>41.137802076023092</v>
          </cell>
        </row>
        <row r="320">
          <cell r="I320">
            <v>13.076067167451267</v>
          </cell>
          <cell r="K320">
            <v>1.0396966835051891</v>
          </cell>
          <cell r="T320">
            <v>41.226549621502578</v>
          </cell>
        </row>
        <row r="321">
          <cell r="I321">
            <v>13.093497923865337</v>
          </cell>
          <cell r="K321">
            <v>1.0399238773072104</v>
          </cell>
          <cell r="T321">
            <v>41.31305123505652</v>
          </cell>
        </row>
        <row r="322">
          <cell r="I322">
            <v>13.110639447207307</v>
          </cell>
          <cell r="K322">
            <v>1.0401419721063272</v>
          </cell>
          <cell r="T322">
            <v>41.397310628066037</v>
          </cell>
        </row>
        <row r="323">
          <cell r="I323">
            <v>13.127482153978651</v>
          </cell>
          <cell r="K323">
            <v>1.0403511555409204</v>
          </cell>
          <cell r="T323">
            <v>41.479332364548611</v>
          </cell>
        </row>
        <row r="324">
          <cell r="I324">
            <v>13.144016401488095</v>
          </cell>
          <cell r="K324">
            <v>1.0405516179248628</v>
          </cell>
          <cell r="T324">
            <v>41.559121810132794</v>
          </cell>
        </row>
        <row r="325">
          <cell r="I325">
            <v>13.160232501230519</v>
          </cell>
          <cell r="K325">
            <v>1.0407435518268184</v>
          </cell>
          <cell r="T325">
            <v>41.636685079129691</v>
          </cell>
        </row>
        <row r="326">
          <cell r="I326">
            <v>13.176120732980356</v>
          </cell>
          <cell r="K326">
            <v>1.0409271516395178</v>
          </cell>
          <cell r="T326">
            <v>41.712028979849315</v>
          </cell>
        </row>
        <row r="327">
          <cell r="I327">
            <v>13.191671359578162</v>
          </cell>
          <cell r="K327">
            <v>1.0411026131399503</v>
          </cell>
          <cell r="T327">
            <v>41.785160958320809</v>
          </cell>
        </row>
        <row r="328">
          <cell r="I328">
            <v>13.206874642384781</v>
          </cell>
          <cell r="K328">
            <v>1.0412701330414673</v>
          </cell>
          <cell r="T328">
            <v>41.856089040582916</v>
          </cell>
        </row>
        <row r="329">
          <cell r="I329">
            <v>13.221720857372709</v>
          </cell>
          <cell r="K329">
            <v>1.0414299085388574</v>
          </cell>
          <cell r="T329">
            <v>41.924821773720296</v>
          </cell>
        </row>
        <row r="330">
          <cell r="I330">
            <v>13.236200311819495</v>
          </cell>
          <cell r="K330">
            <v>1.0415821368474991</v>
          </cell>
          <cell r="T330">
            <v>41.991368165827453</v>
          </cell>
        </row>
        <row r="331">
          <cell r="I331">
            <v>13.250303361563352</v>
          </cell>
          <cell r="K331">
            <v>1.0417270147377604</v>
          </cell>
          <cell r="T331">
            <v>42.055737625089591</v>
          </cell>
        </row>
        <row r="332">
          <cell r="I332">
            <v>13.264020428776165</v>
          </cell>
          <cell r="K332">
            <v>1.0418647380658455</v>
          </cell>
          <cell r="T332">
            <v>42.117939898174072</v>
          </cell>
        </row>
        <row r="333">
          <cell r="I333">
            <v>13.277342020204403</v>
          </cell>
          <cell r="K333">
            <v>1.0419955013023439</v>
          </cell>
          <cell r="T333">
            <v>42.17798500813155</v>
          </cell>
        </row>
        <row r="334">
          <cell r="I334">
            <v>13.290258745823692</v>
          </cell>
          <cell r="K334">
            <v>1.0421194970597658</v>
          </cell>
          <cell r="T334">
            <v>42.235883192008956</v>
          </cell>
        </row>
        <row r="335">
          <cell r="I335">
            <v>13.302761337848288</v>
          </cell>
          <cell r="K335">
            <v>1.0422369156203868</v>
          </cell>
          <cell r="T335">
            <v>42.291644838379867</v>
          </cell>
        </row>
        <row r="336">
          <cell r="I336">
            <v>13.314840670031995</v>
          </cell>
          <cell r="K336">
            <v>1.0423479444657391</v>
          </cell>
          <cell r="T336">
            <v>42.345280424998855</v>
          </cell>
        </row>
        <row r="337">
          <cell r="I337">
            <v>13.326487777193289</v>
          </cell>
          <cell r="K337">
            <v>1.0424527678091269</v>
          </cell>
          <cell r="T337">
            <v>42.396800456787844</v>
          </cell>
        </row>
        <row r="338">
          <cell r="I338">
            <v>13.33769387489302</v>
          </cell>
          <cell r="K338">
            <v>1.0425515661325413</v>
          </cell>
          <cell r="T338">
            <v>42.446215404362263</v>
          </cell>
        </row>
        <row r="339">
          <cell r="I339">
            <v>13.348450379189718</v>
          </cell>
          <cell r="K339">
            <v>1.0426445157293678</v>
          </cell>
          <cell r="T339">
            <v>42.493535643303574</v>
          </cell>
        </row>
        <row r="340">
          <cell r="I340">
            <v>13.358748926394169</v>
          </cell>
          <cell r="K340">
            <v>1.0427317882542817</v>
          </cell>
          <cell r="T340">
            <v>42.538771394383659</v>
          </cell>
        </row>
        <row r="341">
          <cell r="I341">
            <v>13.368581392741991</v>
          </cell>
          <cell r="K341">
            <v>1.0428135502817324</v>
          </cell>
          <cell r="T341">
            <v>42.581932664942727</v>
          </cell>
        </row>
        <row r="342">
          <cell r="I342">
            <v>13.37793991390074</v>
          </cell>
          <cell r="K342">
            <v>1.042889962874388</v>
          </cell>
          <cell r="T342">
            <v>42.623029191619999</v>
          </cell>
        </row>
        <row r="343">
          <cell r="I343">
            <v>13.386816904225913</v>
          </cell>
          <cell r="K343">
            <v>1.042961181162926</v>
          </cell>
          <cell r="T343">
            <v>42.66207038463164</v>
          </cell>
        </row>
        <row r="344">
          <cell r="I344">
            <v>13.395205075679121</v>
          </cell>
          <cell r="K344">
            <v>1.0430273539385098</v>
          </cell>
          <cell r="T344">
            <v>42.699065273785024</v>
          </cell>
        </row>
        <row r="345">
          <cell r="I345">
            <v>13.40309745632074</v>
          </cell>
          <cell r="K345">
            <v>1.0430886232592806</v>
          </cell>
          <cell r="T345">
            <v>42.734022456413641</v>
          </cell>
        </row>
        <row r="346">
          <cell r="I346">
            <v>13.410487408289292</v>
          </cell>
          <cell r="K346">
            <v>1.0431451240721528</v>
          </cell>
          <cell r="T346">
            <v>42.766950047409651</v>
          </cell>
        </row>
        <row r="347">
          <cell r="I347">
            <v>13.417368645180208</v>
          </cell>
          <cell r="K347">
            <v>1.0431969838511672</v>
          </cell>
          <cell r="T347">
            <v>42.797855631524406</v>
          </cell>
        </row>
        <row r="348">
          <cell r="I348">
            <v>13.423735248737781</v>
          </cell>
          <cell r="K348">
            <v>1.0432443222536116</v>
          </cell>
          <cell r="T348">
            <v>42.826746218100261</v>
          </cell>
        </row>
        <row r="349">
          <cell r="I349">
            <v>13.429581684775858</v>
          </cell>
          <cell r="K349">
            <v>1.043287250795065</v>
          </cell>
          <cell r="T349">
            <v>42.853628198387739</v>
          </cell>
        </row>
        <row r="350">
          <cell r="I350">
            <v>13.434902818245344</v>
          </cell>
          <cell r="K350">
            <v>1.043325872544469</v>
          </cell>
          <cell r="T350">
            <v>42.878507305594937</v>
          </cell>
        </row>
        <row r="351">
          <cell r="I351">
            <v>13.439693927369586</v>
          </cell>
          <cell r="K351">
            <v>1.0433602818402716</v>
          </cell>
          <cell r="T351">
            <v>42.901388577805832</v>
          </cell>
        </row>
        <row r="352">
          <cell r="I352">
            <v>13.443950716772623</v>
          </cell>
          <cell r="K352">
            <v>1.043390564028623</v>
          </cell>
          <cell r="T352">
            <v>42.922276323896114</v>
          </cell>
        </row>
        <row r="353">
          <cell r="I353">
            <v>13.447669329529568</v>
          </cell>
          <cell r="K353">
            <v>1.0434167952245224</v>
          </cell>
          <cell r="T353">
            <v>42.941174092563962</v>
          </cell>
        </row>
        <row r="354">
          <cell r="I354">
            <v>13.450846358073472</v>
          </cell>
          <cell r="K354">
            <v>1.0434390420967636</v>
          </cell>
          <cell r="T354">
            <v>42.958084644584673</v>
          </cell>
        </row>
        <row r="355">
          <cell r="I355">
            <v>13.453478853898625</v>
          </cell>
          <cell r="K355">
            <v>1.0434573616774252</v>
          </cell>
          <cell r="T355">
            <v>42.973009928386787</v>
          </cell>
        </row>
        <row r="356">
          <cell r="I356">
            <v>13.455564336006312</v>
          </cell>
          <cell r="K356">
            <v>1.0434718011965771</v>
          </cell>
          <cell r="T356">
            <v>42.985951059037113</v>
          </cell>
        </row>
        <row r="357">
          <cell r="I357">
            <v>13.457100798045776</v>
          </cell>
          <cell r="K357">
            <v>1.0434823979428147</v>
          </cell>
          <cell r="T357">
            <v>42.996908300711738</v>
          </cell>
        </row>
        <row r="358">
          <cell r="I358">
            <v>13.458086714110046</v>
          </cell>
          <cell r="K358">
            <v>1.0434891791500842</v>
          </cell>
          <cell r="T358">
            <v>43.005881052718408</v>
          </cell>
        </row>
        <row r="359">
          <cell r="I359">
            <v>13.458521043153825</v>
          </cell>
          <cell r="K359">
            <v>1.0434921619112543</v>
          </cell>
          <cell r="T359">
            <v>43.012867839125683</v>
          </cell>
        </row>
        <row r="360">
          <cell r="I360">
            <v>13.458403232008276</v>
          </cell>
          <cell r="K360">
            <v>1.0434913531187173</v>
          </cell>
          <cell r="T360">
            <v>43.017866302041909</v>
          </cell>
        </row>
        <row r="361">
          <cell r="I361">
            <v>13.457733216975646</v>
          </cell>
          <cell r="K361">
            <v>1.0434867494322762</v>
          </cell>
          <cell r="T361">
            <v>43.020873198576822</v>
          </cell>
        </row>
        <row r="362">
          <cell r="I362">
            <v>13.456511423994518</v>
          </cell>
          <cell r="K362">
            <v>1.0434783372744176</v>
          </cell>
          <cell r="T362">
            <v>43.021884401506568</v>
          </cell>
        </row>
        <row r="363">
          <cell r="I363">
            <v>13.454738767374977</v>
          </cell>
          <cell r="K363">
            <v>1.0434660928530486</v>
          </cell>
          <cell r="T363">
            <v>43.020894903651737</v>
          </cell>
        </row>
        <row r="364">
          <cell r="I364">
            <v>13.45241664711107</v>
          </cell>
          <cell r="K364">
            <v>1.0434499822115912</v>
          </cell>
          <cell r="T364">
            <v>43.017898825966327</v>
          </cell>
        </row>
        <row r="365">
          <cell r="I365">
            <v>13.449546944786</v>
          </cell>
          <cell r="K365">
            <v>1.0434299613063189</v>
          </cell>
          <cell r="T365">
            <v>43.012889429324311</v>
          </cell>
        </row>
        <row r="366">
          <cell r="I366">
            <v>13.446132018093639</v>
          </cell>
          <cell r="K366">
            <v>1.0434059761106758</v>
          </cell>
          <cell r="T366">
            <v>43.005859129978646</v>
          </cell>
        </row>
        <row r="367">
          <cell r="I367">
            <v>13.44217469400769</v>
          </cell>
          <cell r="K367">
            <v>1.0433779627462227</v>
          </cell>
          <cell r="T367">
            <v>42.996799518656061</v>
          </cell>
        </row>
        <row r="368">
          <cell r="I368">
            <v>13.437678260637247</v>
          </cell>
          <cell r="K368">
            <v>1.0433458476398019</v>
          </cell>
          <cell r="T368">
            <v>42.985701383239665</v>
          </cell>
        </row>
      </sheetData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60"/>
  <sheetViews>
    <sheetView tabSelected="1" topLeftCell="A4" zoomScale="75" zoomScaleNormal="75" workbookViewId="0">
      <selection activeCell="A31" sqref="A31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0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8" t="s">
        <v>3</v>
      </c>
      <c r="V2" s="3"/>
      <c r="W2" s="3"/>
      <c r="X2" s="3"/>
      <c r="Y2" s="3"/>
      <c r="Z2" s="3"/>
      <c r="AA2" s="3"/>
      <c r="AB2" s="3"/>
    </row>
    <row r="3" spans="1:28" ht="18" customHeight="1">
      <c r="A3" s="3"/>
      <c r="B3" s="8" t="s">
        <v>4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8" t="s">
        <v>6</v>
      </c>
      <c r="V3" s="9"/>
      <c r="W3" s="6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44" t="s">
        <v>28</v>
      </c>
      <c r="C8" s="39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53" t="s">
        <v>49</v>
      </c>
      <c r="Z8" s="51" t="s">
        <v>49</v>
      </c>
      <c r="AA8" s="54" t="s">
        <v>49</v>
      </c>
      <c r="AB8" s="3"/>
    </row>
    <row r="9" spans="1:28" ht="18" customHeight="1" thickBot="1">
      <c r="A9" s="55">
        <v>1</v>
      </c>
      <c r="B9" s="56">
        <v>32.200000000000003</v>
      </c>
      <c r="C9" s="57">
        <f>'[1]cálculos teóricos'!K3</f>
        <v>1.0433095476903587</v>
      </c>
      <c r="D9" s="58">
        <f>IF(B9&gt;0,B9*C9*14.25*1.022,-999)</f>
        <v>489.25448284879099</v>
      </c>
      <c r="E9" s="59">
        <f>IF(B9&gt;0,D9*4.1868/100,-999)</f>
        <v>20.484106687913183</v>
      </c>
      <c r="F9" s="60">
        <f>IF(B9&gt;0,(7.86+1.25*D9)*4.1868/100,-999)</f>
        <v>25.934215839891472</v>
      </c>
      <c r="G9" s="61">
        <f>'[1]cálculos teóricos'!T3</f>
        <v>42.972554729067994</v>
      </c>
      <c r="H9" s="62">
        <f>IF(B9&gt;0,100*F9/G9,-999)</f>
        <v>60.350649393317887</v>
      </c>
      <c r="I9" s="63"/>
      <c r="J9" s="63">
        <v>0.9</v>
      </c>
      <c r="K9" s="63">
        <v>1</v>
      </c>
      <c r="L9" s="63">
        <v>1</v>
      </c>
      <c r="M9" s="63">
        <v>1</v>
      </c>
      <c r="N9" s="63">
        <v>1</v>
      </c>
      <c r="O9" s="64">
        <v>1</v>
      </c>
      <c r="P9" s="65">
        <v>1</v>
      </c>
      <c r="Q9" s="66">
        <v>1</v>
      </c>
      <c r="R9" s="66">
        <v>0.6</v>
      </c>
      <c r="S9" s="66"/>
      <c r="T9" s="66"/>
      <c r="U9" s="66"/>
      <c r="V9" s="64"/>
      <c r="W9" s="67">
        <f>SUM(I9:O9)</f>
        <v>5.9</v>
      </c>
      <c r="X9" s="68">
        <f>SUM(P9:V9)</f>
        <v>2.6</v>
      </c>
      <c r="Y9" s="69">
        <f>W9+X9</f>
        <v>8.5</v>
      </c>
      <c r="Z9" s="70">
        <f>'[1]cálculos teóricos'!I3</f>
        <v>13.432646455605028</v>
      </c>
      <c r="AA9" s="71">
        <f>100*Y9/Z9</f>
        <v>63.278669829452802</v>
      </c>
      <c r="AB9" s="3"/>
    </row>
    <row r="10" spans="1:28" ht="18" customHeight="1" thickBot="1">
      <c r="A10" s="72">
        <v>2</v>
      </c>
      <c r="B10" s="56">
        <v>19.600000000000001</v>
      </c>
      <c r="C10" s="73">
        <f>'[1]cálculos teóricos'!K4</f>
        <v>1.0432689705391567</v>
      </c>
      <c r="D10" s="58">
        <f>IF(B10&gt;0,B10*C10*14.25*1.022,-999)</f>
        <v>297.79549398796138</v>
      </c>
      <c r="E10" s="59">
        <f>IF(B10&gt;0,D10*4.1868/100,-999)</f>
        <v>12.468101742287967</v>
      </c>
      <c r="F10" s="60">
        <f>IF(B10&gt;0,(7.86+1.25*D10)*4.1868/100,-999)</f>
        <v>15.91420965785996</v>
      </c>
      <c r="G10" s="61">
        <f>'[1]cálculos teóricos'!T4</f>
        <v>42.957348831388643</v>
      </c>
      <c r="H10" s="74">
        <f>IF(B10&gt;0,100*F10/G10,-999)</f>
        <v>37.04653590314576</v>
      </c>
      <c r="I10" s="56"/>
      <c r="J10" s="75"/>
      <c r="K10" s="75"/>
      <c r="L10" s="75"/>
      <c r="M10" s="75"/>
      <c r="N10" s="75">
        <v>0.4</v>
      </c>
      <c r="O10" s="76">
        <v>0.7</v>
      </c>
      <c r="P10" s="65">
        <v>0.7</v>
      </c>
      <c r="Q10" s="66"/>
      <c r="R10" s="66">
        <v>0.3</v>
      </c>
      <c r="S10" s="66"/>
      <c r="T10" s="66"/>
      <c r="U10" s="66"/>
      <c r="V10" s="77"/>
      <c r="W10" s="67">
        <f t="shared" ref="W10:W39" si="0">SUM(I10:O10)</f>
        <v>1.1000000000000001</v>
      </c>
      <c r="X10" s="68">
        <f t="shared" ref="X10:X39" si="1">SUM(P10:V10)</f>
        <v>1</v>
      </c>
      <c r="Y10" s="69">
        <f t="shared" ref="Y10:Y39" si="2">W10+X10</f>
        <v>2.1</v>
      </c>
      <c r="Z10" s="70">
        <f>'[1]cálculos teóricos'!I4</f>
        <v>13.427083464038553</v>
      </c>
      <c r="AA10" s="71">
        <f t="shared" ref="AA10:AA39" si="3">100*Y10/Z10</f>
        <v>15.640030879560564</v>
      </c>
      <c r="AB10" s="3"/>
    </row>
    <row r="11" spans="1:28" ht="18" customHeight="1" thickBot="1">
      <c r="A11" s="72">
        <v>3</v>
      </c>
      <c r="B11" s="56">
        <v>21.7</v>
      </c>
      <c r="C11" s="73">
        <f>'[1]cálculos teóricos'!K5</f>
        <v>1.0432240147113081</v>
      </c>
      <c r="D11" s="58">
        <f t="shared" ref="D11:D39" si="4">IF(B11&gt;0,B11*C11*14.25*1.022,-999)</f>
        <v>329.68794675998453</v>
      </c>
      <c r="E11" s="59">
        <f t="shared" ref="E11:E39" si="5">IF(B11&gt;0,D11*4.1868/100,-999)</f>
        <v>13.803374954947033</v>
      </c>
      <c r="F11" s="60">
        <f t="shared" ref="F11:F39" si="6">IF(B11&gt;0,(7.86+1.25*D11)*4.1868/100,-999)</f>
        <v>17.58330117368379</v>
      </c>
      <c r="G11" s="61">
        <f>'[1]cálculos teóricos'!T5</f>
        <v>42.94007223550922</v>
      </c>
      <c r="H11" s="74">
        <f t="shared" ref="H11:H39" si="7">IF(B11&gt;0,100*F11/G11,-999)</f>
        <v>40.948466684560692</v>
      </c>
      <c r="I11" s="56"/>
      <c r="J11" s="75"/>
      <c r="K11" s="75">
        <v>0.1</v>
      </c>
      <c r="L11" s="75"/>
      <c r="M11" s="75"/>
      <c r="N11" s="75">
        <v>0.1</v>
      </c>
      <c r="O11" s="76">
        <v>0.2</v>
      </c>
      <c r="P11" s="65">
        <v>0.5</v>
      </c>
      <c r="Q11" s="66">
        <v>0.1</v>
      </c>
      <c r="R11" s="66">
        <v>0.3</v>
      </c>
      <c r="S11" s="66"/>
      <c r="T11" s="66"/>
      <c r="U11" s="66"/>
      <c r="V11" s="77"/>
      <c r="W11" s="67">
        <f t="shared" si="0"/>
        <v>0.4</v>
      </c>
      <c r="X11" s="68">
        <f t="shared" si="1"/>
        <v>0.89999999999999991</v>
      </c>
      <c r="Y11" s="69">
        <f t="shared" si="2"/>
        <v>1.2999999999999998</v>
      </c>
      <c r="Z11" s="70">
        <f>'[1]cálculos teóricos'!I5</f>
        <v>13.420993894192648</v>
      </c>
      <c r="AA11" s="71">
        <f t="shared" si="3"/>
        <v>9.6863169020777082</v>
      </c>
      <c r="AB11" s="3"/>
    </row>
    <row r="12" spans="1:28" ht="18" customHeight="1" thickBot="1">
      <c r="A12" s="72">
        <v>4</v>
      </c>
      <c r="B12" s="56">
        <v>19</v>
      </c>
      <c r="C12" s="73">
        <f>'[1]cálculos teóricos'!K6</f>
        <v>1.0431745699304664</v>
      </c>
      <c r="D12" s="58">
        <f t="shared" si="4"/>
        <v>288.6531841344646</v>
      </c>
      <c r="E12" s="59">
        <f t="shared" si="5"/>
        <v>12.085331513341764</v>
      </c>
      <c r="F12" s="60">
        <f t="shared" si="6"/>
        <v>15.435746871677203</v>
      </c>
      <c r="G12" s="61">
        <f>'[1]cálculos teóricos'!T6</f>
        <v>42.920712814194886</v>
      </c>
      <c r="H12" s="74">
        <f t="shared" si="7"/>
        <v>35.963398228028126</v>
      </c>
      <c r="I12" s="56"/>
      <c r="J12" s="75">
        <v>0.1</v>
      </c>
      <c r="K12" s="75">
        <v>0.6</v>
      </c>
      <c r="L12" s="75">
        <v>0.1</v>
      </c>
      <c r="M12" s="75"/>
      <c r="N12" s="75"/>
      <c r="O12" s="76"/>
      <c r="P12" s="78">
        <v>0.7</v>
      </c>
      <c r="Q12" s="75">
        <v>0.8</v>
      </c>
      <c r="R12" s="75">
        <v>0.1</v>
      </c>
      <c r="S12" s="75"/>
      <c r="T12" s="75"/>
      <c r="U12" s="66"/>
      <c r="V12" s="77"/>
      <c r="W12" s="67">
        <f t="shared" si="0"/>
        <v>0.79999999999999993</v>
      </c>
      <c r="X12" s="68">
        <f t="shared" si="1"/>
        <v>1.6</v>
      </c>
      <c r="Y12" s="69">
        <f t="shared" si="2"/>
        <v>2.4</v>
      </c>
      <c r="Z12" s="70">
        <f>'[1]cálculos teóricos'!I6</f>
        <v>13.414382772748056</v>
      </c>
      <c r="AA12" s="71">
        <f t="shared" si="3"/>
        <v>17.891244350621275</v>
      </c>
      <c r="AB12" s="3"/>
    </row>
    <row r="13" spans="1:28" ht="18" customHeight="1" thickBot="1">
      <c r="A13" s="72">
        <v>5</v>
      </c>
      <c r="B13" s="56">
        <v>14.7</v>
      </c>
      <c r="C13" s="73">
        <f>'[1]cálculos teóricos'!K7</f>
        <v>1.0431205173832472</v>
      </c>
      <c r="D13" s="58">
        <f t="shared" si="4"/>
        <v>223.31483912719051</v>
      </c>
      <c r="E13" s="59">
        <f t="shared" si="5"/>
        <v>9.3497456845772113</v>
      </c>
      <c r="F13" s="60">
        <f t="shared" si="6"/>
        <v>12.016264585721515</v>
      </c>
      <c r="G13" s="61">
        <f>'[1]cálculos teóricos'!T7</f>
        <v>42.899257802114548</v>
      </c>
      <c r="H13" s="74">
        <f t="shared" si="7"/>
        <v>28.010425357823372</v>
      </c>
      <c r="I13" s="56"/>
      <c r="J13" s="75"/>
      <c r="K13" s="75"/>
      <c r="L13" s="75"/>
      <c r="M13" s="75"/>
      <c r="N13" s="75"/>
      <c r="O13" s="76"/>
      <c r="P13" s="65"/>
      <c r="Q13" s="65">
        <v>0.3</v>
      </c>
      <c r="R13" s="66">
        <v>0.5</v>
      </c>
      <c r="S13" s="66">
        <v>0.5</v>
      </c>
      <c r="T13" s="66"/>
      <c r="U13" s="66"/>
      <c r="V13" s="77"/>
      <c r="W13" s="67">
        <f t="shared" si="0"/>
        <v>0</v>
      </c>
      <c r="X13" s="68">
        <f t="shared" si="1"/>
        <v>1.3</v>
      </c>
      <c r="Y13" s="69">
        <f t="shared" si="2"/>
        <v>1.3</v>
      </c>
      <c r="Z13" s="70">
        <f>'[1]cálculos teóricos'!I7</f>
        <v>13.40725552892793</v>
      </c>
      <c r="AA13" s="71">
        <f t="shared" si="3"/>
        <v>9.696242435262592</v>
      </c>
      <c r="AB13" s="3"/>
    </row>
    <row r="14" spans="1:28" ht="18" customHeight="1" thickBot="1">
      <c r="A14" s="72">
        <v>6</v>
      </c>
      <c r="B14" s="56">
        <v>33.700000000000003</v>
      </c>
      <c r="C14" s="73">
        <f>'[1]cálculos teóricos'!K8</f>
        <v>1.0430617300197544</v>
      </c>
      <c r="D14" s="58">
        <f t="shared" si="4"/>
        <v>511.92421432330883</v>
      </c>
      <c r="E14" s="59">
        <f t="shared" si="5"/>
        <v>21.433243005288297</v>
      </c>
      <c r="F14" s="60">
        <f t="shared" si="6"/>
        <v>27.120636236610366</v>
      </c>
      <c r="G14" s="61">
        <f>'[1]cálculos teóricos'!T8</f>
        <v>42.875693838404729</v>
      </c>
      <c r="H14" s="74">
        <f t="shared" si="7"/>
        <v>63.254104618868695</v>
      </c>
      <c r="I14" s="56"/>
      <c r="J14" s="75">
        <v>0.9</v>
      </c>
      <c r="K14" s="75">
        <v>1</v>
      </c>
      <c r="L14" s="75">
        <v>1</v>
      </c>
      <c r="M14" s="75">
        <v>1</v>
      </c>
      <c r="N14" s="75">
        <v>1</v>
      </c>
      <c r="O14" s="76">
        <v>1</v>
      </c>
      <c r="P14" s="65">
        <v>1</v>
      </c>
      <c r="Q14" s="65">
        <v>1</v>
      </c>
      <c r="R14" s="66">
        <v>1</v>
      </c>
      <c r="S14" s="66">
        <v>1</v>
      </c>
      <c r="T14" s="66">
        <v>1</v>
      </c>
      <c r="U14" s="66">
        <v>0.9</v>
      </c>
      <c r="V14" s="77"/>
      <c r="W14" s="67">
        <f t="shared" si="0"/>
        <v>5.9</v>
      </c>
      <c r="X14" s="68">
        <f t="shared" si="1"/>
        <v>5.9</v>
      </c>
      <c r="Y14" s="69">
        <f t="shared" si="2"/>
        <v>11.8</v>
      </c>
      <c r="Z14" s="70">
        <f>'[1]cálculos teóricos'!I8</f>
        <v>13.399617979654318</v>
      </c>
      <c r="AA14" s="71">
        <f t="shared" si="3"/>
        <v>88.062212056469505</v>
      </c>
      <c r="AB14" s="3"/>
    </row>
    <row r="15" spans="1:28" ht="18" customHeight="1" thickBot="1">
      <c r="A15" s="72">
        <v>7</v>
      </c>
      <c r="B15" s="56">
        <v>33.299999999999997</v>
      </c>
      <c r="C15" s="73">
        <f>'[1]cálculos teóricos'!K9</f>
        <v>1.0429980728749551</v>
      </c>
      <c r="D15" s="58">
        <f t="shared" si="4"/>
        <v>505.81709106266982</v>
      </c>
      <c r="E15" s="59">
        <f t="shared" si="5"/>
        <v>21.17754996861186</v>
      </c>
      <c r="F15" s="60">
        <f t="shared" si="6"/>
        <v>26.801019940764821</v>
      </c>
      <c r="G15" s="61">
        <f>'[1]cálculos teóricos'!T9</f>
        <v>42.850007012169783</v>
      </c>
      <c r="H15" s="74">
        <f t="shared" si="7"/>
        <v>62.54612731604243</v>
      </c>
      <c r="I15" s="56">
        <v>0.3</v>
      </c>
      <c r="J15" s="56">
        <v>1</v>
      </c>
      <c r="K15" s="75">
        <v>1</v>
      </c>
      <c r="L15" s="75">
        <v>1</v>
      </c>
      <c r="M15" s="75">
        <v>1</v>
      </c>
      <c r="N15" s="75">
        <v>1</v>
      </c>
      <c r="O15" s="76">
        <v>1</v>
      </c>
      <c r="P15" s="78">
        <v>1</v>
      </c>
      <c r="Q15" s="75">
        <v>1</v>
      </c>
      <c r="R15" s="75">
        <v>1</v>
      </c>
      <c r="S15" s="75">
        <v>1</v>
      </c>
      <c r="T15" s="66">
        <v>0.1</v>
      </c>
      <c r="U15" s="66"/>
      <c r="V15" s="77"/>
      <c r="W15" s="67">
        <f t="shared" si="0"/>
        <v>6.3</v>
      </c>
      <c r="X15" s="68">
        <f t="shared" si="1"/>
        <v>4.0999999999999996</v>
      </c>
      <c r="Y15" s="69">
        <f t="shared" si="2"/>
        <v>10.399999999999999</v>
      </c>
      <c r="Z15" s="70">
        <f>'[1]cálculos teóricos'!I9</f>
        <v>13.391476313835456</v>
      </c>
      <c r="AA15" s="71">
        <f t="shared" si="3"/>
        <v>77.661340365103712</v>
      </c>
      <c r="AB15" s="3"/>
    </row>
    <row r="16" spans="1:28" ht="18" customHeight="1" thickBot="1">
      <c r="A16" s="79">
        <v>8</v>
      </c>
      <c r="B16" s="75">
        <v>25</v>
      </c>
      <c r="C16" s="73">
        <f>'[1]cálculos teóricos'!K10</f>
        <v>1.0429294034098502</v>
      </c>
      <c r="D16" s="58">
        <f t="shared" si="4"/>
        <v>379.71755916398382</v>
      </c>
      <c r="E16" s="59">
        <f t="shared" si="5"/>
        <v>15.898014767077676</v>
      </c>
      <c r="F16" s="60">
        <f t="shared" si="6"/>
        <v>20.201600938847093</v>
      </c>
      <c r="G16" s="61">
        <f>'[1]cálculos teóricos'!T10</f>
        <v>42.822182910782871</v>
      </c>
      <c r="H16" s="74">
        <f t="shared" si="7"/>
        <v>47.17555146811587</v>
      </c>
      <c r="I16" s="78"/>
      <c r="J16" s="56">
        <v>0.1</v>
      </c>
      <c r="K16" s="75">
        <v>0.8</v>
      </c>
      <c r="L16" s="75">
        <v>0.6</v>
      </c>
      <c r="M16" s="75">
        <v>0.1</v>
      </c>
      <c r="N16" s="75">
        <v>0.2</v>
      </c>
      <c r="O16" s="76">
        <v>0.7</v>
      </c>
      <c r="P16" s="78">
        <v>0.6</v>
      </c>
      <c r="Q16" s="65">
        <v>1</v>
      </c>
      <c r="R16" s="66">
        <v>1</v>
      </c>
      <c r="S16" s="66">
        <v>0.4</v>
      </c>
      <c r="T16" s="66"/>
      <c r="U16" s="66"/>
      <c r="V16" s="77"/>
      <c r="W16" s="67">
        <f t="shared" si="0"/>
        <v>2.5</v>
      </c>
      <c r="X16" s="68">
        <f t="shared" si="1"/>
        <v>3</v>
      </c>
      <c r="Y16" s="69">
        <f t="shared" si="2"/>
        <v>5.5</v>
      </c>
      <c r="Z16" s="70">
        <f>'[1]cálculos teóricos'!I10</f>
        <v>13.382837075865469</v>
      </c>
      <c r="AA16" s="71">
        <f t="shared" si="3"/>
        <v>41.097414313730745</v>
      </c>
      <c r="AB16" s="3"/>
    </row>
    <row r="17" spans="1:28" ht="18" customHeight="1" thickBot="1">
      <c r="A17" s="79">
        <v>9</v>
      </c>
      <c r="B17" s="75">
        <v>23.7</v>
      </c>
      <c r="C17" s="73">
        <f>'[1]cálculos teóricos'!K11</f>
        <v>1.0428555718713279</v>
      </c>
      <c r="D17" s="58">
        <f t="shared" si="4"/>
        <v>359.94676276646959</v>
      </c>
      <c r="E17" s="59">
        <f t="shared" si="5"/>
        <v>15.070251063506548</v>
      </c>
      <c r="F17" s="60">
        <f t="shared" si="6"/>
        <v>19.166896309383187</v>
      </c>
      <c r="G17" s="61">
        <f>'[1]cálculos teóricos'!T11</f>
        <v>42.792206670842504</v>
      </c>
      <c r="H17" s="74">
        <f t="shared" si="7"/>
        <v>44.790623808710968</v>
      </c>
      <c r="I17" s="78"/>
      <c r="J17" s="80"/>
      <c r="K17" s="80">
        <v>0.3</v>
      </c>
      <c r="L17" s="80">
        <v>0.7</v>
      </c>
      <c r="M17" s="80">
        <v>0.7</v>
      </c>
      <c r="N17" s="80">
        <v>0.3</v>
      </c>
      <c r="O17" s="77">
        <v>0.7</v>
      </c>
      <c r="P17" s="81"/>
      <c r="Q17" s="80">
        <v>0.4</v>
      </c>
      <c r="R17" s="80"/>
      <c r="S17" s="80">
        <v>0.1</v>
      </c>
      <c r="T17" s="80">
        <v>0.1</v>
      </c>
      <c r="U17" s="66"/>
      <c r="V17" s="77"/>
      <c r="W17" s="67">
        <f t="shared" si="0"/>
        <v>2.7</v>
      </c>
      <c r="X17" s="68">
        <f t="shared" si="1"/>
        <v>0.6</v>
      </c>
      <c r="Y17" s="69">
        <f t="shared" si="2"/>
        <v>3.3000000000000003</v>
      </c>
      <c r="Z17" s="70">
        <f>'[1]cálculos teóricos'!I11</f>
        <v>13.373707148420571</v>
      </c>
      <c r="AA17" s="71">
        <f t="shared" si="3"/>
        <v>24.675282353477648</v>
      </c>
      <c r="AB17" s="3"/>
    </row>
    <row r="18" spans="1:28" ht="18" customHeight="1" thickBot="1">
      <c r="A18" s="82">
        <v>10</v>
      </c>
      <c r="B18" s="75">
        <v>28.9</v>
      </c>
      <c r="C18" s="73">
        <f>'[1]cálculos teóricos'!K12</f>
        <v>1.0427764216695341</v>
      </c>
      <c r="D18" s="58">
        <f t="shared" si="4"/>
        <v>438.88911065084505</v>
      </c>
      <c r="E18" s="59">
        <f t="shared" si="5"/>
        <v>18.375409284729582</v>
      </c>
      <c r="F18" s="60">
        <f t="shared" si="6"/>
        <v>23.298344085911978</v>
      </c>
      <c r="G18" s="61">
        <f>'[1]cálculos teóricos'!T12</f>
        <v>42.760063031628945</v>
      </c>
      <c r="H18" s="74">
        <f t="shared" si="7"/>
        <v>54.486224841807548</v>
      </c>
      <c r="I18" s="78"/>
      <c r="J18" s="80"/>
      <c r="K18" s="80">
        <v>0.6</v>
      </c>
      <c r="L18" s="80">
        <v>1</v>
      </c>
      <c r="M18" s="80">
        <v>1</v>
      </c>
      <c r="N18" s="80">
        <v>0.1</v>
      </c>
      <c r="O18" s="77"/>
      <c r="P18" s="81">
        <v>0.4</v>
      </c>
      <c r="Q18" s="80">
        <v>1</v>
      </c>
      <c r="R18" s="80">
        <v>1</v>
      </c>
      <c r="S18" s="80">
        <v>0.7</v>
      </c>
      <c r="T18" s="66">
        <v>0.7</v>
      </c>
      <c r="U18" s="66">
        <v>0.7</v>
      </c>
      <c r="V18" s="77"/>
      <c r="W18" s="67">
        <f t="shared" si="0"/>
        <v>2.7</v>
      </c>
      <c r="X18" s="68">
        <f t="shared" si="1"/>
        <v>4.5</v>
      </c>
      <c r="Y18" s="69">
        <f t="shared" si="2"/>
        <v>7.2</v>
      </c>
      <c r="Z18" s="70">
        <f>'[1]cálculos teóricos'!I12</f>
        <v>13.364093734637674</v>
      </c>
      <c r="AA18" s="71">
        <f t="shared" si="3"/>
        <v>53.875707122127615</v>
      </c>
      <c r="AB18" s="3"/>
    </row>
    <row r="19" spans="1:28" ht="18" customHeight="1" thickBot="1">
      <c r="A19" s="83">
        <v>11</v>
      </c>
      <c r="B19" s="75">
        <v>30</v>
      </c>
      <c r="C19" s="73">
        <f>'[1]cálculos teóricos'!K13</f>
        <v>1.0426917897715424</v>
      </c>
      <c r="D19" s="58">
        <f t="shared" si="4"/>
        <v>455.55725641013572</v>
      </c>
      <c r="E19" s="59">
        <f t="shared" si="5"/>
        <v>19.073271211379563</v>
      </c>
      <c r="F19" s="60">
        <f t="shared" si="6"/>
        <v>24.170671494224454</v>
      </c>
      <c r="G19" s="61">
        <f>'[1]cálculos teóricos'!T13</f>
        <v>42.72573639089709</v>
      </c>
      <c r="H19" s="74">
        <f t="shared" si="7"/>
        <v>56.571690826080463</v>
      </c>
      <c r="I19" s="78"/>
      <c r="J19" s="80">
        <v>0.2</v>
      </c>
      <c r="K19" s="80">
        <v>1</v>
      </c>
      <c r="L19" s="80">
        <v>1</v>
      </c>
      <c r="M19" s="80">
        <v>1</v>
      </c>
      <c r="N19" s="80">
        <v>1</v>
      </c>
      <c r="O19" s="76">
        <v>0.9</v>
      </c>
      <c r="P19" s="65">
        <v>1</v>
      </c>
      <c r="Q19" s="66">
        <v>0.8</v>
      </c>
      <c r="R19" s="66">
        <v>1</v>
      </c>
      <c r="S19" s="66">
        <v>0.5</v>
      </c>
      <c r="T19" s="66"/>
      <c r="U19" s="66"/>
      <c r="V19" s="77"/>
      <c r="W19" s="67">
        <f t="shared" si="0"/>
        <v>5.1000000000000005</v>
      </c>
      <c r="X19" s="68">
        <f t="shared" si="1"/>
        <v>3.3</v>
      </c>
      <c r="Y19" s="69">
        <f t="shared" si="2"/>
        <v>8.4</v>
      </c>
      <c r="Z19" s="70">
        <f>'[1]cálculos teóricos'!I13</f>
        <v>13.354004339762858</v>
      </c>
      <c r="AA19" s="71">
        <f t="shared" si="3"/>
        <v>62.902480681305278</v>
      </c>
      <c r="AB19" s="3"/>
    </row>
    <row r="20" spans="1:28" ht="18" customHeight="1" thickBot="1">
      <c r="A20" s="84">
        <v>12</v>
      </c>
      <c r="B20" s="75">
        <v>19.899999999999999</v>
      </c>
      <c r="C20" s="73">
        <f>'[1]cálculos teóricos'!K14</f>
        <v>1.0426015071100707</v>
      </c>
      <c r="D20" s="58">
        <f t="shared" si="4"/>
        <v>302.16014827107051</v>
      </c>
      <c r="E20" s="59">
        <f t="shared" si="5"/>
        <v>12.650841087813181</v>
      </c>
      <c r="F20" s="60">
        <f t="shared" si="6"/>
        <v>16.142633839766475</v>
      </c>
      <c r="G20" s="61">
        <f>'[1]cálculos teóricos'!T14</f>
        <v>42.689210862833292</v>
      </c>
      <c r="H20" s="74">
        <f t="shared" si="7"/>
        <v>37.8143177479554</v>
      </c>
      <c r="I20" s="78"/>
      <c r="J20" s="80"/>
      <c r="K20" s="80"/>
      <c r="L20" s="80"/>
      <c r="M20" s="80"/>
      <c r="N20" s="80"/>
      <c r="O20" s="77">
        <v>0.8</v>
      </c>
      <c r="P20" s="65">
        <v>0.9</v>
      </c>
      <c r="Q20" s="66">
        <v>0.2</v>
      </c>
      <c r="R20" s="66">
        <v>0.1</v>
      </c>
      <c r="S20" s="66">
        <v>0.5</v>
      </c>
      <c r="T20" s="66"/>
      <c r="U20" s="66"/>
      <c r="V20" s="77"/>
      <c r="W20" s="67">
        <f t="shared" si="0"/>
        <v>0.8</v>
      </c>
      <c r="X20" s="68">
        <f t="shared" si="1"/>
        <v>1.7000000000000002</v>
      </c>
      <c r="Y20" s="69">
        <f t="shared" si="2"/>
        <v>2.5</v>
      </c>
      <c r="Z20" s="70">
        <f>'[1]cálculos teóricos'!I14</f>
        <v>13.343446752357368</v>
      </c>
      <c r="AA20" s="71">
        <f t="shared" si="3"/>
        <v>18.735788783796274</v>
      </c>
      <c r="AB20" s="3"/>
    </row>
    <row r="21" spans="1:28" ht="18" customHeight="1" thickBot="1">
      <c r="A21" s="84">
        <v>13</v>
      </c>
      <c r="B21" s="75">
        <v>14.9</v>
      </c>
      <c r="C21" s="73">
        <f>'[1]cálculos teóricos'!K15</f>
        <v>1.0425053990059436</v>
      </c>
      <c r="D21" s="58">
        <f t="shared" si="4"/>
        <v>226.21965793850362</v>
      </c>
      <c r="E21" s="59">
        <f t="shared" si="5"/>
        <v>9.471364638569268</v>
      </c>
      <c r="F21" s="60">
        <f t="shared" si="6"/>
        <v>12.168288278211588</v>
      </c>
      <c r="G21" s="61">
        <f>'[1]cálculos teóricos'!T15</f>
        <v>42.6504703379955</v>
      </c>
      <c r="H21" s="74">
        <f t="shared" si="7"/>
        <v>28.530255778613004</v>
      </c>
      <c r="I21" s="78"/>
      <c r="J21" s="80"/>
      <c r="K21" s="80">
        <v>0.1</v>
      </c>
      <c r="L21" s="80"/>
      <c r="M21" s="80">
        <v>0.1</v>
      </c>
      <c r="N21" s="80">
        <v>0.1</v>
      </c>
      <c r="O21" s="77"/>
      <c r="P21" s="65">
        <v>0.3</v>
      </c>
      <c r="Q21" s="66"/>
      <c r="R21" s="66"/>
      <c r="S21" s="66"/>
      <c r="T21" s="66"/>
      <c r="U21" s="66"/>
      <c r="V21" s="77"/>
      <c r="W21" s="67">
        <f t="shared" si="0"/>
        <v>0.30000000000000004</v>
      </c>
      <c r="X21" s="68">
        <f t="shared" si="1"/>
        <v>0.3</v>
      </c>
      <c r="Y21" s="69">
        <f t="shared" si="2"/>
        <v>0.60000000000000009</v>
      </c>
      <c r="Z21" s="70">
        <f>'[1]cálculos teóricos'!I15</f>
        <v>13.332429025149247</v>
      </c>
      <c r="AA21" s="71">
        <f t="shared" si="3"/>
        <v>4.5003052247134203</v>
      </c>
      <c r="AB21" s="3"/>
    </row>
    <row r="22" spans="1:28" ht="18" customHeight="1" thickBot="1">
      <c r="A22" s="84">
        <v>14</v>
      </c>
      <c r="B22" s="75">
        <v>22.5</v>
      </c>
      <c r="C22" s="73">
        <f>'[1]cálculos teóricos'!K16</f>
        <v>1.0424032856029817</v>
      </c>
      <c r="D22" s="58">
        <f t="shared" si="4"/>
        <v>341.57340562227802</v>
      </c>
      <c r="E22" s="59">
        <f t="shared" si="5"/>
        <v>14.300995346593536</v>
      </c>
      <c r="F22" s="60">
        <f t="shared" si="6"/>
        <v>18.20532666324192</v>
      </c>
      <c r="G22" s="61">
        <f>'[1]cálculos teóricos'!T16</f>
        <v>42.609498545049341</v>
      </c>
      <c r="H22" s="74">
        <f t="shared" si="7"/>
        <v>42.725981963843452</v>
      </c>
      <c r="I22" s="78"/>
      <c r="J22" s="80"/>
      <c r="K22" s="80"/>
      <c r="L22" s="80"/>
      <c r="M22" s="80"/>
      <c r="N22" s="80">
        <v>0.5</v>
      </c>
      <c r="O22" s="77">
        <v>0.1</v>
      </c>
      <c r="P22" s="65"/>
      <c r="Q22" s="66">
        <v>0.1</v>
      </c>
      <c r="R22" s="66">
        <v>0.5</v>
      </c>
      <c r="S22" s="66">
        <v>0.8</v>
      </c>
      <c r="T22" s="66">
        <v>0.1</v>
      </c>
      <c r="U22" s="66"/>
      <c r="V22" s="77"/>
      <c r="W22" s="67">
        <f t="shared" si="0"/>
        <v>0.6</v>
      </c>
      <c r="X22" s="68">
        <f t="shared" si="1"/>
        <v>1.5</v>
      </c>
      <c r="Y22" s="69">
        <f t="shared" si="2"/>
        <v>2.1</v>
      </c>
      <c r="Z22" s="70">
        <f>'[1]cálculos teóricos'!I16</f>
        <v>13.32095945561748</v>
      </c>
      <c r="AA22" s="71">
        <f t="shared" si="3"/>
        <v>15.764630220493803</v>
      </c>
      <c r="AB22" s="3"/>
    </row>
    <row r="23" spans="1:28" ht="18" customHeight="1" thickBot="1">
      <c r="A23" s="84">
        <v>15</v>
      </c>
      <c r="B23" s="75">
        <v>33</v>
      </c>
      <c r="C23" s="73">
        <f>'[1]cálculos teóricos'!K17</f>
        <v>1.0422949823139649</v>
      </c>
      <c r="D23" s="58">
        <f t="shared" si="4"/>
        <v>500.9222781726711</v>
      </c>
      <c r="E23" s="59">
        <f t="shared" si="5"/>
        <v>20.972613942533393</v>
      </c>
      <c r="F23" s="60">
        <f t="shared" si="6"/>
        <v>26.544849908166743</v>
      </c>
      <c r="G23" s="61">
        <f>'[1]cálculos teóricos'!T17</f>
        <v>42.566279114105868</v>
      </c>
      <c r="H23" s="74">
        <f t="shared" si="7"/>
        <v>62.361217519175064</v>
      </c>
      <c r="I23" s="78"/>
      <c r="J23" s="80">
        <v>0.3</v>
      </c>
      <c r="K23" s="80">
        <v>1</v>
      </c>
      <c r="L23" s="80">
        <v>1</v>
      </c>
      <c r="M23" s="80">
        <v>1</v>
      </c>
      <c r="N23" s="80">
        <v>1</v>
      </c>
      <c r="O23" s="77">
        <v>1</v>
      </c>
      <c r="P23" s="65">
        <v>1</v>
      </c>
      <c r="Q23" s="66">
        <v>1</v>
      </c>
      <c r="R23" s="66">
        <v>1</v>
      </c>
      <c r="S23" s="66">
        <v>1</v>
      </c>
      <c r="T23" s="66">
        <v>1</v>
      </c>
      <c r="U23" s="66">
        <v>0.7</v>
      </c>
      <c r="V23" s="77"/>
      <c r="W23" s="67">
        <f t="shared" si="0"/>
        <v>5.3</v>
      </c>
      <c r="X23" s="68">
        <f t="shared" si="1"/>
        <v>5.7</v>
      </c>
      <c r="Y23" s="69">
        <f t="shared" si="2"/>
        <v>11</v>
      </c>
      <c r="Z23" s="70">
        <f>'[1]cálculos teóricos'!I17</f>
        <v>13.309046566394962</v>
      </c>
      <c r="AA23" s="71">
        <f t="shared" si="3"/>
        <v>82.650548595830656</v>
      </c>
      <c r="AB23" s="3"/>
    </row>
    <row r="24" spans="1:28" ht="18" customHeight="1" thickBot="1">
      <c r="A24" s="84">
        <v>16</v>
      </c>
      <c r="B24" s="75">
        <v>26.2</v>
      </c>
      <c r="C24" s="73">
        <f>'[1]cálculos teóricos'!K18</f>
        <v>1.0421803002763004</v>
      </c>
      <c r="D24" s="58">
        <f t="shared" si="4"/>
        <v>397.65817144053619</v>
      </c>
      <c r="E24" s="59">
        <f t="shared" si="5"/>
        <v>16.649152321872368</v>
      </c>
      <c r="F24" s="60">
        <f t="shared" si="6"/>
        <v>21.140522882340459</v>
      </c>
      <c r="G24" s="61">
        <f>'[1]cálculos teóricos'!T18</f>
        <v>42.520795641460737</v>
      </c>
      <c r="H24" s="74">
        <f t="shared" si="7"/>
        <v>49.718079267846484</v>
      </c>
      <c r="I24" s="78"/>
      <c r="J24" s="80">
        <v>0.2</v>
      </c>
      <c r="K24" s="80">
        <v>1</v>
      </c>
      <c r="L24" s="80">
        <v>1</v>
      </c>
      <c r="M24" s="80">
        <v>1</v>
      </c>
      <c r="N24" s="80">
        <v>1</v>
      </c>
      <c r="O24" s="77">
        <v>0.1</v>
      </c>
      <c r="P24" s="65">
        <v>0.5</v>
      </c>
      <c r="Q24" s="66">
        <v>1</v>
      </c>
      <c r="R24" s="66">
        <v>0.7</v>
      </c>
      <c r="S24" s="66"/>
      <c r="T24" s="66"/>
      <c r="U24" s="66"/>
      <c r="V24" s="77"/>
      <c r="W24" s="67">
        <f t="shared" si="0"/>
        <v>4.3</v>
      </c>
      <c r="X24" s="68">
        <f t="shared" si="1"/>
        <v>2.2000000000000002</v>
      </c>
      <c r="Y24" s="69">
        <f t="shared" si="2"/>
        <v>6.5</v>
      </c>
      <c r="Z24" s="70">
        <f>'[1]cálculos teóricos'!I18</f>
        <v>13.296699085574138</v>
      </c>
      <c r="AA24" s="71">
        <f t="shared" si="3"/>
        <v>48.884313002555523</v>
      </c>
      <c r="AB24" s="3"/>
    </row>
    <row r="25" spans="1:28" ht="18" customHeight="1" thickBot="1">
      <c r="A25" s="84">
        <v>17</v>
      </c>
      <c r="B25" s="75">
        <v>15.2</v>
      </c>
      <c r="C25" s="73">
        <f>'[1]cálculos teóricos'!K19</f>
        <v>1.0420590468160129</v>
      </c>
      <c r="D25" s="58">
        <f t="shared" si="4"/>
        <v>230.67560931023607</v>
      </c>
      <c r="E25" s="59">
        <f t="shared" si="5"/>
        <v>9.6579264106009628</v>
      </c>
      <c r="F25" s="60">
        <f t="shared" si="6"/>
        <v>12.401490493251206</v>
      </c>
      <c r="G25" s="61">
        <f>'[1]cálculos teóricos'!T19</f>
        <v>42.473031755529334</v>
      </c>
      <c r="H25" s="74">
        <f t="shared" si="7"/>
        <v>29.198505453137855</v>
      </c>
      <c r="I25" s="78"/>
      <c r="J25" s="80"/>
      <c r="K25" s="80"/>
      <c r="L25" s="80"/>
      <c r="M25" s="80"/>
      <c r="N25" s="80">
        <v>0.2</v>
      </c>
      <c r="O25" s="77"/>
      <c r="P25" s="65"/>
      <c r="Q25" s="66"/>
      <c r="R25" s="66"/>
      <c r="S25" s="66"/>
      <c r="T25" s="66"/>
      <c r="U25" s="66"/>
      <c r="V25" s="77"/>
      <c r="W25" s="67">
        <f t="shared" si="0"/>
        <v>0.2</v>
      </c>
      <c r="X25" s="68">
        <f t="shared" si="1"/>
        <v>0</v>
      </c>
      <c r="Y25" s="69">
        <f t="shared" si="2"/>
        <v>0.2</v>
      </c>
      <c r="Z25" s="70">
        <f>'[1]cálculos teóricos'!I19</f>
        <v>13.283925926997437</v>
      </c>
      <c r="AA25" s="71">
        <f t="shared" si="3"/>
        <v>1.5055790065309853</v>
      </c>
      <c r="AB25" s="3"/>
    </row>
    <row r="26" spans="1:28" ht="18" customHeight="1" thickBot="1">
      <c r="A26" s="84">
        <v>18</v>
      </c>
      <c r="B26" s="75">
        <v>15.8</v>
      </c>
      <c r="C26" s="73">
        <f>'[1]cálculos teóricos'!K20</f>
        <v>1.0419310259186705</v>
      </c>
      <c r="D26" s="58">
        <f t="shared" si="4"/>
        <v>239.75176743627162</v>
      </c>
      <c r="E26" s="59">
        <f t="shared" si="5"/>
        <v>10.037926999021821</v>
      </c>
      <c r="F26" s="60">
        <f t="shared" si="6"/>
        <v>12.876491228777274</v>
      </c>
      <c r="G26" s="61">
        <f>'[1]cálculos teóricos'!T20</f>
        <v>42.422971183768496</v>
      </c>
      <c r="H26" s="74">
        <f t="shared" si="7"/>
        <v>30.352638840402495</v>
      </c>
      <c r="I26" s="78"/>
      <c r="J26" s="80">
        <v>0.1</v>
      </c>
      <c r="K26" s="80"/>
      <c r="L26" s="80">
        <v>0.3</v>
      </c>
      <c r="M26" s="80"/>
      <c r="N26" s="80"/>
      <c r="O26" s="77"/>
      <c r="P26" s="81">
        <v>0.3</v>
      </c>
      <c r="Q26" s="66">
        <v>0.2</v>
      </c>
      <c r="R26" s="66">
        <v>0.1</v>
      </c>
      <c r="S26" s="66"/>
      <c r="T26" s="66"/>
      <c r="U26" s="66"/>
      <c r="V26" s="77"/>
      <c r="W26" s="67">
        <f t="shared" si="0"/>
        <v>0.4</v>
      </c>
      <c r="X26" s="68">
        <f t="shared" si="1"/>
        <v>0.6</v>
      </c>
      <c r="Y26" s="69">
        <f t="shared" si="2"/>
        <v>1</v>
      </c>
      <c r="Z26" s="70">
        <f>'[1]cálculos teóricos'!I20</f>
        <v>13.270736170611478</v>
      </c>
      <c r="AA26" s="71">
        <f t="shared" si="3"/>
        <v>7.5353769914779551</v>
      </c>
      <c r="AB26" s="3"/>
    </row>
    <row r="27" spans="1:28" ht="18" customHeight="1" thickBot="1">
      <c r="A27" s="84">
        <v>19</v>
      </c>
      <c r="B27" s="75">
        <v>15.6</v>
      </c>
      <c r="C27" s="73">
        <f>'[1]cálculos teóricos'!K21</f>
        <v>1.0417960387058549</v>
      </c>
      <c r="D27" s="58">
        <f t="shared" si="4"/>
        <v>236.68626711120638</v>
      </c>
      <c r="E27" s="59">
        <f t="shared" si="5"/>
        <v>9.9095806314119894</v>
      </c>
      <c r="F27" s="60">
        <f t="shared" si="6"/>
        <v>12.716058269264986</v>
      </c>
      <c r="G27" s="61">
        <f>'[1]cálculos teóricos'!T21</f>
        <v>42.370597820371522</v>
      </c>
      <c r="H27" s="74">
        <f t="shared" si="7"/>
        <v>30.01151487919574</v>
      </c>
      <c r="I27" s="78"/>
      <c r="J27" s="80"/>
      <c r="K27" s="80"/>
      <c r="L27" s="80"/>
      <c r="M27" s="80"/>
      <c r="N27" s="80"/>
      <c r="O27" s="77"/>
      <c r="P27" s="65"/>
      <c r="Q27" s="66"/>
      <c r="R27" s="66">
        <v>0.1</v>
      </c>
      <c r="S27" s="66">
        <v>0.3</v>
      </c>
      <c r="T27" s="66">
        <v>0.5</v>
      </c>
      <c r="U27" s="66"/>
      <c r="V27" s="77"/>
      <c r="W27" s="67">
        <f t="shared" si="0"/>
        <v>0</v>
      </c>
      <c r="X27" s="68">
        <f t="shared" si="1"/>
        <v>0.9</v>
      </c>
      <c r="Y27" s="69">
        <f t="shared" si="2"/>
        <v>0.9</v>
      </c>
      <c r="Z27" s="70">
        <f>'[1]cálculos teóricos'!I21</f>
        <v>13.257139042960983</v>
      </c>
      <c r="AA27" s="71">
        <f t="shared" si="3"/>
        <v>6.7887950566367818</v>
      </c>
      <c r="AB27" s="3"/>
    </row>
    <row r="28" spans="1:28" ht="18" customHeight="1" thickBot="1">
      <c r="A28" s="84">
        <v>20</v>
      </c>
      <c r="B28" s="75">
        <v>17.2</v>
      </c>
      <c r="C28" s="73">
        <f>'[1]cálculos teóricos'!K22</f>
        <v>1.0416538839157914</v>
      </c>
      <c r="D28" s="58">
        <f t="shared" si="4"/>
        <v>260.9261730206112</v>
      </c>
      <c r="E28" s="59">
        <f t="shared" si="5"/>
        <v>10.924457012026949</v>
      </c>
      <c r="F28" s="60">
        <f t="shared" si="6"/>
        <v>13.984653745033688</v>
      </c>
      <c r="G28" s="61">
        <f>'[1]cálculos teóricos'!T22</f>
        <v>42.315895794520593</v>
      </c>
      <c r="H28" s="74">
        <f t="shared" si="7"/>
        <v>33.048228053450629</v>
      </c>
      <c r="I28" s="78"/>
      <c r="J28" s="80"/>
      <c r="K28" s="80"/>
      <c r="L28" s="80">
        <v>0.1</v>
      </c>
      <c r="M28" s="80">
        <v>0.3</v>
      </c>
      <c r="N28" s="80"/>
      <c r="O28" s="76"/>
      <c r="P28" s="65">
        <v>0.2</v>
      </c>
      <c r="Q28" s="66">
        <v>0.3</v>
      </c>
      <c r="R28" s="66">
        <v>0.1</v>
      </c>
      <c r="S28" s="66"/>
      <c r="T28" s="66"/>
      <c r="U28" s="66"/>
      <c r="V28" s="77"/>
      <c r="W28" s="67">
        <f t="shared" si="0"/>
        <v>0.4</v>
      </c>
      <c r="X28" s="68">
        <f t="shared" si="1"/>
        <v>0.6</v>
      </c>
      <c r="Y28" s="69">
        <f t="shared" si="2"/>
        <v>1</v>
      </c>
      <c r="Z28" s="70">
        <f>'[1]cálculos teóricos'!I22</f>
        <v>13.243143897894775</v>
      </c>
      <c r="AA28" s="71">
        <f t="shared" si="3"/>
        <v>7.5510770532287816</v>
      </c>
      <c r="AB28" s="3"/>
    </row>
    <row r="29" spans="1:28" ht="18" customHeight="1" thickBot="1">
      <c r="A29" s="83">
        <v>21</v>
      </c>
      <c r="B29" s="75">
        <v>32.6</v>
      </c>
      <c r="C29" s="73">
        <f>'[1]cálculos teóricos'!K23</f>
        <v>1.0415043583867623</v>
      </c>
      <c r="D29" s="58">
        <f t="shared" si="4"/>
        <v>494.47512838171895</v>
      </c>
      <c r="E29" s="59">
        <f t="shared" si="5"/>
        <v>20.702684675085806</v>
      </c>
      <c r="F29" s="60">
        <f t="shared" si="6"/>
        <v>26.207438323857264</v>
      </c>
      <c r="G29" s="61">
        <f>'[1]cálculos teóricos'!T23</f>
        <v>42.258849538979433</v>
      </c>
      <c r="H29" s="74">
        <f t="shared" si="7"/>
        <v>62.016450068484716</v>
      </c>
      <c r="I29" s="78"/>
      <c r="J29" s="80">
        <v>0.6</v>
      </c>
      <c r="K29" s="80">
        <v>0.5</v>
      </c>
      <c r="L29" s="80">
        <v>1</v>
      </c>
      <c r="M29" s="80">
        <v>1</v>
      </c>
      <c r="N29" s="80">
        <v>1</v>
      </c>
      <c r="O29" s="77">
        <v>1</v>
      </c>
      <c r="P29" s="65">
        <v>1</v>
      </c>
      <c r="Q29" s="66">
        <v>1</v>
      </c>
      <c r="R29" s="66">
        <v>1</v>
      </c>
      <c r="S29" s="66">
        <v>0.7</v>
      </c>
      <c r="T29" s="66">
        <v>0.1</v>
      </c>
      <c r="U29" s="66"/>
      <c r="V29" s="77"/>
      <c r="W29" s="67">
        <f t="shared" si="0"/>
        <v>5.0999999999999996</v>
      </c>
      <c r="X29" s="68">
        <f t="shared" si="1"/>
        <v>3.8000000000000003</v>
      </c>
      <c r="Y29" s="69">
        <f t="shared" si="2"/>
        <v>8.9</v>
      </c>
      <c r="Z29" s="70">
        <f>'[1]cálculos teóricos'!I23</f>
        <v>13.228760197552258</v>
      </c>
      <c r="AA29" s="71">
        <f t="shared" si="3"/>
        <v>67.277657672309942</v>
      </c>
      <c r="AB29" s="3"/>
    </row>
    <row r="30" spans="1:28" ht="18" customHeight="1" thickBot="1">
      <c r="A30" s="84">
        <v>22</v>
      </c>
      <c r="B30" s="75">
        <v>18.8</v>
      </c>
      <c r="C30" s="73">
        <f>'[1]cálculos teóricos'!K24</f>
        <v>1.0413472575419567</v>
      </c>
      <c r="D30" s="58">
        <f t="shared" si="4"/>
        <v>285.11442276199102</v>
      </c>
      <c r="E30" s="59">
        <f t="shared" si="5"/>
        <v>11.93717065219904</v>
      </c>
      <c r="F30" s="60">
        <f t="shared" si="6"/>
        <v>15.250545795248803</v>
      </c>
      <c r="G30" s="61">
        <f>'[1]cálculos teóricos'!T24</f>
        <v>42.199443858808038</v>
      </c>
      <c r="H30" s="74">
        <f t="shared" si="7"/>
        <v>36.139210379820319</v>
      </c>
      <c r="I30" s="78"/>
      <c r="J30" s="80"/>
      <c r="K30" s="80">
        <v>0.5</v>
      </c>
      <c r="L30" s="80">
        <v>0.1</v>
      </c>
      <c r="M30" s="80"/>
      <c r="N30" s="80">
        <v>0.4</v>
      </c>
      <c r="O30" s="77">
        <v>0.1</v>
      </c>
      <c r="P30" s="65">
        <v>0.1</v>
      </c>
      <c r="Q30" s="66"/>
      <c r="R30" s="66"/>
      <c r="S30" s="66"/>
      <c r="T30" s="66"/>
      <c r="U30" s="66"/>
      <c r="V30" s="77"/>
      <c r="W30" s="67">
        <f t="shared" si="0"/>
        <v>1.1000000000000001</v>
      </c>
      <c r="X30" s="68">
        <f t="shared" si="1"/>
        <v>0.1</v>
      </c>
      <c r="Y30" s="69">
        <f t="shared" si="2"/>
        <v>1.2000000000000002</v>
      </c>
      <c r="Z30" s="70">
        <f>'[1]cálculos teóricos'!I24</f>
        <v>13.213997493694729</v>
      </c>
      <c r="AA30" s="71">
        <f t="shared" si="3"/>
        <v>9.0812791554758459</v>
      </c>
      <c r="AB30" s="3"/>
    </row>
    <row r="31" spans="1:28" ht="18" customHeight="1" thickBot="1">
      <c r="A31" s="84">
        <v>23</v>
      </c>
      <c r="B31" s="75">
        <v>7.6</v>
      </c>
      <c r="C31" s="73">
        <f>'[1]cálculos teóricos'!K25</f>
        <v>1.041182375874407</v>
      </c>
      <c r="D31" s="58">
        <f t="shared" si="4"/>
        <v>115.24077243595663</v>
      </c>
      <c r="E31" s="59">
        <f t="shared" si="5"/>
        <v>4.8249006603486322</v>
      </c>
      <c r="F31" s="60">
        <f t="shared" si="6"/>
        <v>6.3602083054357914</v>
      </c>
      <c r="G31" s="61">
        <f>'[1]cálculos teóricos'!T25</f>
        <v>42.137663999981427</v>
      </c>
      <c r="H31" s="74">
        <f t="shared" si="7"/>
        <v>15.093879683122905</v>
      </c>
      <c r="I31" s="78"/>
      <c r="J31" s="80"/>
      <c r="K31" s="80"/>
      <c r="L31" s="80"/>
      <c r="M31" s="80"/>
      <c r="N31" s="80"/>
      <c r="O31" s="77"/>
      <c r="P31" s="65"/>
      <c r="Q31" s="66"/>
      <c r="R31" s="66"/>
      <c r="S31" s="66"/>
      <c r="T31" s="66"/>
      <c r="U31" s="66"/>
      <c r="V31" s="77"/>
      <c r="W31" s="67">
        <f t="shared" si="0"/>
        <v>0</v>
      </c>
      <c r="X31" s="68">
        <f t="shared" si="1"/>
        <v>0</v>
      </c>
      <c r="Y31" s="69">
        <f t="shared" si="2"/>
        <v>0</v>
      </c>
      <c r="Z31" s="70">
        <f>'[1]cálculos teóricos'!I25</f>
        <v>13.198865409441321</v>
      </c>
      <c r="AA31" s="71">
        <f t="shared" si="3"/>
        <v>0</v>
      </c>
      <c r="AB31" s="3"/>
    </row>
    <row r="32" spans="1:28" ht="18" customHeight="1" thickBot="1">
      <c r="A32" s="84">
        <v>24</v>
      </c>
      <c r="B32" s="75">
        <v>18.8</v>
      </c>
      <c r="C32" s="73">
        <f>'[1]cálculos teóricos'!K26</f>
        <v>1.0410095074307182</v>
      </c>
      <c r="D32" s="58">
        <f t="shared" si="4"/>
        <v>285.0219488755846</v>
      </c>
      <c r="E32" s="59">
        <f t="shared" si="5"/>
        <v>11.933298955522975</v>
      </c>
      <c r="F32" s="60">
        <f t="shared" si="6"/>
        <v>15.245706174403722</v>
      </c>
      <c r="G32" s="61">
        <f>'[1]cálculos teóricos'!T26</f>
        <v>42.073495717695977</v>
      </c>
      <c r="H32" s="74">
        <f t="shared" si="7"/>
        <v>36.235891300069525</v>
      </c>
      <c r="I32" s="78"/>
      <c r="J32" s="80"/>
      <c r="K32" s="80"/>
      <c r="L32" s="80"/>
      <c r="M32" s="80"/>
      <c r="N32" s="80"/>
      <c r="O32" s="77">
        <v>0.1</v>
      </c>
      <c r="P32" s="65">
        <v>0.5</v>
      </c>
      <c r="Q32" s="66">
        <v>0.4</v>
      </c>
      <c r="R32" s="66">
        <v>0.5</v>
      </c>
      <c r="S32" s="66">
        <v>0.3</v>
      </c>
      <c r="T32" s="66">
        <v>0.8</v>
      </c>
      <c r="U32" s="66">
        <v>0.2</v>
      </c>
      <c r="V32" s="77"/>
      <c r="W32" s="67">
        <f t="shared" si="0"/>
        <v>0.1</v>
      </c>
      <c r="X32" s="68">
        <f t="shared" si="1"/>
        <v>2.7</v>
      </c>
      <c r="Y32" s="69">
        <f t="shared" si="2"/>
        <v>2.8000000000000003</v>
      </c>
      <c r="Z32" s="70">
        <f>'[1]cálculos teóricos'!I26</f>
        <v>13.183373621464895</v>
      </c>
      <c r="AA32" s="71">
        <f t="shared" si="3"/>
        <v>21.238873147318667</v>
      </c>
      <c r="AB32" s="3"/>
    </row>
    <row r="33" spans="1:28" ht="18" customHeight="1" thickBot="1">
      <c r="A33" s="84">
        <v>25</v>
      </c>
      <c r="B33" s="75">
        <v>31.8</v>
      </c>
      <c r="C33" s="73">
        <f>'[1]cálculos teóricos'!K27</f>
        <v>1.0408284462923059</v>
      </c>
      <c r="D33" s="58">
        <f t="shared" si="4"/>
        <v>482.02774146698033</v>
      </c>
      <c r="E33" s="59">
        <f t="shared" si="5"/>
        <v>20.181537479739532</v>
      </c>
      <c r="F33" s="60">
        <f t="shared" si="6"/>
        <v>25.556004329674415</v>
      </c>
      <c r="G33" s="61">
        <f>'[1]cálculos teóricos'!T27</f>
        <v>42.006925344148755</v>
      </c>
      <c r="H33" s="74">
        <f t="shared" si="7"/>
        <v>60.837597896781496</v>
      </c>
      <c r="I33" s="78"/>
      <c r="J33" s="80">
        <v>0.9</v>
      </c>
      <c r="K33" s="80">
        <v>0.4</v>
      </c>
      <c r="L33" s="80">
        <v>1</v>
      </c>
      <c r="M33" s="80">
        <v>0.9</v>
      </c>
      <c r="N33" s="80">
        <v>0.7</v>
      </c>
      <c r="O33" s="77">
        <v>0.9</v>
      </c>
      <c r="P33" s="65">
        <v>1</v>
      </c>
      <c r="Q33" s="66">
        <v>0.9</v>
      </c>
      <c r="R33" s="66">
        <v>1</v>
      </c>
      <c r="S33" s="66">
        <v>0.6</v>
      </c>
      <c r="T33" s="66">
        <v>1</v>
      </c>
      <c r="U33" s="66">
        <v>0.8</v>
      </c>
      <c r="V33" s="77"/>
      <c r="W33" s="67">
        <f t="shared" si="0"/>
        <v>4.8</v>
      </c>
      <c r="X33" s="68">
        <f t="shared" si="1"/>
        <v>5.3</v>
      </c>
      <c r="Y33" s="69">
        <f t="shared" si="2"/>
        <v>10.1</v>
      </c>
      <c r="Z33" s="70">
        <f>'[1]cálculos teóricos'!I27</f>
        <v>13.16753184269853</v>
      </c>
      <c r="AA33" s="71">
        <f t="shared" si="3"/>
        <v>76.703820584269224</v>
      </c>
      <c r="AB33" s="3"/>
    </row>
    <row r="34" spans="1:28" ht="18" customHeight="1" thickBot="1">
      <c r="A34" s="83">
        <v>26</v>
      </c>
      <c r="B34" s="75">
        <v>39.799999999999997</v>
      </c>
      <c r="C34" s="73">
        <f>'[1]cálculos teóricos'!K28</f>
        <v>1.0406389870529105</v>
      </c>
      <c r="D34" s="58">
        <f t="shared" si="4"/>
        <v>603.18276634021333</v>
      </c>
      <c r="E34" s="59">
        <f t="shared" si="5"/>
        <v>25.254056061132051</v>
      </c>
      <c r="F34" s="60">
        <f t="shared" si="6"/>
        <v>31.896652556415066</v>
      </c>
      <c r="G34" s="61">
        <f>'[1]cálculos teóricos'!T28</f>
        <v>41.937939855578989</v>
      </c>
      <c r="H34" s="74">
        <f t="shared" si="7"/>
        <v>76.056794077766</v>
      </c>
      <c r="I34" s="78"/>
      <c r="J34" s="80">
        <v>0.8</v>
      </c>
      <c r="K34" s="80">
        <v>1</v>
      </c>
      <c r="L34" s="80">
        <v>1</v>
      </c>
      <c r="M34" s="80">
        <v>1</v>
      </c>
      <c r="N34" s="80">
        <v>1</v>
      </c>
      <c r="O34" s="77">
        <v>1</v>
      </c>
      <c r="P34" s="65">
        <v>1</v>
      </c>
      <c r="Q34" s="66">
        <v>1</v>
      </c>
      <c r="R34" s="66">
        <v>1</v>
      </c>
      <c r="S34" s="66">
        <v>1</v>
      </c>
      <c r="T34" s="66">
        <v>1</v>
      </c>
      <c r="U34" s="66">
        <v>0.9</v>
      </c>
      <c r="V34" s="77"/>
      <c r="W34" s="67">
        <f t="shared" si="0"/>
        <v>5.8</v>
      </c>
      <c r="X34" s="68">
        <f t="shared" si="1"/>
        <v>5.9</v>
      </c>
      <c r="Y34" s="69">
        <f t="shared" si="2"/>
        <v>11.7</v>
      </c>
      <c r="Z34" s="70">
        <f>'[1]cálculos teóricos'!I28</f>
        <v>13.151349805598334</v>
      </c>
      <c r="AA34" s="71">
        <f t="shared" si="3"/>
        <v>88.964252133415869</v>
      </c>
      <c r="AB34" s="3"/>
    </row>
    <row r="35" spans="1:28" ht="18" customHeight="1" thickBot="1">
      <c r="A35" s="83">
        <v>27</v>
      </c>
      <c r="B35" s="75">
        <v>39</v>
      </c>
      <c r="C35" s="73">
        <f>'[1]cálculos teóricos'!K29</f>
        <v>1.040440925291195</v>
      </c>
      <c r="D35" s="58">
        <f t="shared" si="4"/>
        <v>590.94599520365455</v>
      </c>
      <c r="E35" s="59">
        <f t="shared" si="5"/>
        <v>24.741726927186608</v>
      </c>
      <c r="F35" s="60">
        <f t="shared" si="6"/>
        <v>31.25624113898326</v>
      </c>
      <c r="G35" s="61">
        <f>'[1]cálculos teóricos'!T29</f>
        <v>41.866526938364217</v>
      </c>
      <c r="H35" s="74">
        <f t="shared" si="7"/>
        <v>74.656876088619939</v>
      </c>
      <c r="I35" s="78">
        <v>0.2</v>
      </c>
      <c r="J35" s="80">
        <v>1</v>
      </c>
      <c r="K35" s="80">
        <v>1</v>
      </c>
      <c r="L35" s="80">
        <v>1</v>
      </c>
      <c r="M35" s="80">
        <v>1</v>
      </c>
      <c r="N35" s="80">
        <v>1</v>
      </c>
      <c r="O35" s="77">
        <v>1</v>
      </c>
      <c r="P35" s="65">
        <v>1</v>
      </c>
      <c r="Q35" s="66">
        <v>1</v>
      </c>
      <c r="R35" s="66">
        <v>1</v>
      </c>
      <c r="S35" s="66">
        <v>1</v>
      </c>
      <c r="T35" s="66">
        <v>1</v>
      </c>
      <c r="U35" s="66">
        <v>0.6</v>
      </c>
      <c r="V35" s="77"/>
      <c r="W35" s="67">
        <f t="shared" si="0"/>
        <v>6.2</v>
      </c>
      <c r="X35" s="68">
        <f t="shared" si="1"/>
        <v>5.6</v>
      </c>
      <c r="Y35" s="69">
        <f t="shared" si="2"/>
        <v>11.8</v>
      </c>
      <c r="Z35" s="70">
        <f>'[1]cálculos teóricos'!I29</f>
        <v>13.134837246003574</v>
      </c>
      <c r="AA35" s="71">
        <f t="shared" si="3"/>
        <v>89.837428351769532</v>
      </c>
      <c r="AB35" s="3"/>
    </row>
    <row r="36" spans="1:28" ht="18" customHeight="1" thickBot="1">
      <c r="A36" s="84">
        <v>28</v>
      </c>
      <c r="B36" s="75">
        <v>29.5</v>
      </c>
      <c r="C36" s="73">
        <f>'[1]cálculos teóricos'!K30</f>
        <v>1.0402340580372698</v>
      </c>
      <c r="D36" s="58">
        <f t="shared" si="4"/>
        <v>446.9087367746605</v>
      </c>
      <c r="E36" s="59">
        <f t="shared" si="5"/>
        <v>18.711174991281485</v>
      </c>
      <c r="F36" s="60">
        <f t="shared" si="6"/>
        <v>23.718051219101859</v>
      </c>
      <c r="G36" s="61">
        <f>'[1]cálculos teóricos'!T30</f>
        <v>41.792675053969653</v>
      </c>
      <c r="H36" s="74">
        <f t="shared" si="7"/>
        <v>56.751694378197051</v>
      </c>
      <c r="I36" s="78">
        <v>0.2</v>
      </c>
      <c r="J36" s="80">
        <v>1</v>
      </c>
      <c r="K36" s="80">
        <v>1</v>
      </c>
      <c r="L36" s="80">
        <v>1</v>
      </c>
      <c r="M36" s="80">
        <v>1</v>
      </c>
      <c r="N36" s="80">
        <v>1</v>
      </c>
      <c r="O36" s="77">
        <v>0.8</v>
      </c>
      <c r="P36" s="65">
        <v>0.8</v>
      </c>
      <c r="Q36" s="66">
        <v>0.9</v>
      </c>
      <c r="R36" s="66">
        <v>1</v>
      </c>
      <c r="S36" s="66">
        <v>0.4</v>
      </c>
      <c r="T36" s="66"/>
      <c r="U36" s="66"/>
      <c r="V36" s="77"/>
      <c r="W36" s="67">
        <f t="shared" si="0"/>
        <v>6</v>
      </c>
      <c r="X36" s="68">
        <f t="shared" si="1"/>
        <v>3.1</v>
      </c>
      <c r="Y36" s="69">
        <f t="shared" si="2"/>
        <v>9.1</v>
      </c>
      <c r="Z36" s="70">
        <f>'[1]cálculos teóricos'!I30</f>
        <v>13.118003887630318</v>
      </c>
      <c r="AA36" s="71">
        <f t="shared" si="3"/>
        <v>69.370310284637796</v>
      </c>
      <c r="AB36" s="3"/>
    </row>
    <row r="37" spans="1:28" ht="18" customHeight="1" thickBot="1">
      <c r="A37" s="84">
        <v>29</v>
      </c>
      <c r="B37" s="85">
        <v>-99</v>
      </c>
      <c r="C37" s="73">
        <f>'[1]cálculos teóricos'!K31</f>
        <v>1.0400181842320544</v>
      </c>
      <c r="D37" s="58">
        <f t="shared" si="4"/>
        <v>-999</v>
      </c>
      <c r="E37" s="59">
        <f t="shared" si="5"/>
        <v>-999</v>
      </c>
      <c r="F37" s="60">
        <f t="shared" si="6"/>
        <v>-999</v>
      </c>
      <c r="G37" s="61">
        <f>'[1]cálculos teóricos'!T31</f>
        <v>41.716373502555001</v>
      </c>
      <c r="H37" s="74">
        <f t="shared" si="7"/>
        <v>-999</v>
      </c>
      <c r="I37" s="78">
        <v>0.1</v>
      </c>
      <c r="J37" s="80">
        <v>1</v>
      </c>
      <c r="K37" s="80">
        <v>1</v>
      </c>
      <c r="L37" s="80">
        <v>1</v>
      </c>
      <c r="M37" s="80">
        <v>1</v>
      </c>
      <c r="N37" s="80">
        <v>1</v>
      </c>
      <c r="O37" s="77">
        <v>1</v>
      </c>
      <c r="P37" s="65">
        <v>1</v>
      </c>
      <c r="Q37" s="66">
        <v>1</v>
      </c>
      <c r="R37" s="66">
        <v>1</v>
      </c>
      <c r="S37" s="66">
        <v>1</v>
      </c>
      <c r="T37" s="66">
        <v>1</v>
      </c>
      <c r="U37" s="66">
        <v>0.1</v>
      </c>
      <c r="V37" s="77"/>
      <c r="W37" s="67">
        <f t="shared" si="0"/>
        <v>6.1</v>
      </c>
      <c r="X37" s="68">
        <f t="shared" si="1"/>
        <v>5.0999999999999996</v>
      </c>
      <c r="Y37" s="69">
        <f t="shared" si="2"/>
        <v>11.2</v>
      </c>
      <c r="Z37" s="70">
        <f>'[1]cálculos teóricos'!I31</f>
        <v>13.100859427229913</v>
      </c>
      <c r="AA37" s="71">
        <f t="shared" si="3"/>
        <v>85.490574585671766</v>
      </c>
      <c r="AB37" s="3"/>
    </row>
    <row r="38" spans="1:28" ht="18" customHeight="1" thickBot="1">
      <c r="A38" s="79">
        <v>30</v>
      </c>
      <c r="B38" s="75">
        <v>25</v>
      </c>
      <c r="C38" s="73">
        <f>'[1]cálculos teóricos'!K32</f>
        <v>1.0397931051784299</v>
      </c>
      <c r="D38" s="58">
        <f t="shared" si="4"/>
        <v>378.57567218165161</v>
      </c>
      <c r="E38" s="59">
        <f t="shared" si="5"/>
        <v>15.850206242901388</v>
      </c>
      <c r="F38" s="60">
        <f t="shared" si="6"/>
        <v>20.141840283626735</v>
      </c>
      <c r="G38" s="61">
        <f>'[1]cálculos teóricos'!T32</f>
        <v>41.637612485050042</v>
      </c>
      <c r="H38" s="74">
        <f t="shared" si="7"/>
        <v>48.374147991455203</v>
      </c>
      <c r="I38" s="78"/>
      <c r="J38" s="80"/>
      <c r="K38" s="80"/>
      <c r="L38" s="80">
        <v>0.1</v>
      </c>
      <c r="M38" s="80">
        <v>0.3</v>
      </c>
      <c r="N38" s="80">
        <v>1</v>
      </c>
      <c r="O38" s="77">
        <v>0.5</v>
      </c>
      <c r="P38" s="65">
        <v>1</v>
      </c>
      <c r="Q38" s="66">
        <v>0.7</v>
      </c>
      <c r="R38" s="66">
        <v>0.4</v>
      </c>
      <c r="S38" s="66">
        <v>0.6</v>
      </c>
      <c r="T38" s="66"/>
      <c r="U38" s="66"/>
      <c r="V38" s="77"/>
      <c r="W38" s="67">
        <f t="shared" si="0"/>
        <v>1.9</v>
      </c>
      <c r="X38" s="68">
        <f t="shared" si="1"/>
        <v>2.7</v>
      </c>
      <c r="Y38" s="69">
        <f t="shared" si="2"/>
        <v>4.5999999999999996</v>
      </c>
      <c r="Z38" s="70">
        <f>'[1]cálculos teóricos'!I32</f>
        <v>13.083413520438963</v>
      </c>
      <c r="AA38" s="71">
        <f t="shared" si="3"/>
        <v>35.159020180886742</v>
      </c>
      <c r="AB38" s="3"/>
    </row>
    <row r="39" spans="1:28" ht="18" customHeight="1" thickBot="1">
      <c r="A39" s="86">
        <v>31</v>
      </c>
      <c r="B39" s="87">
        <v>23.7</v>
      </c>
      <c r="C39" s="88">
        <f>'[1]cálculos teóricos'!K33</f>
        <v>1.0395586249831952</v>
      </c>
      <c r="D39" s="89">
        <f t="shared" si="4"/>
        <v>358.80880522814346</v>
      </c>
      <c r="E39" s="90">
        <f t="shared" si="5"/>
        <v>15.022607057291909</v>
      </c>
      <c r="F39" s="91">
        <f t="shared" si="6"/>
        <v>19.107341301614888</v>
      </c>
      <c r="G39" s="92">
        <f>'[1]cálculos teóricos'!T33</f>
        <v>41.556383163518021</v>
      </c>
      <c r="H39" s="93">
        <f t="shared" si="7"/>
        <v>45.979317368478434</v>
      </c>
      <c r="I39" s="94"/>
      <c r="J39" s="87"/>
      <c r="K39" s="87"/>
      <c r="L39" s="87">
        <v>0.1</v>
      </c>
      <c r="M39" s="87">
        <v>0.3</v>
      </c>
      <c r="N39" s="87">
        <v>0.7</v>
      </c>
      <c r="O39" s="95">
        <v>0.4</v>
      </c>
      <c r="P39" s="96">
        <v>0.1</v>
      </c>
      <c r="Q39" s="97"/>
      <c r="R39" s="97">
        <v>0.1</v>
      </c>
      <c r="S39" s="97"/>
      <c r="T39" s="97">
        <v>0.1</v>
      </c>
      <c r="U39" s="97"/>
      <c r="V39" s="77"/>
      <c r="W39" s="67">
        <f t="shared" si="0"/>
        <v>1.5</v>
      </c>
      <c r="X39" s="68">
        <f t="shared" si="1"/>
        <v>0.30000000000000004</v>
      </c>
      <c r="Y39" s="69">
        <f t="shared" si="2"/>
        <v>1.8</v>
      </c>
      <c r="Z39" s="98">
        <f>'[1]cálculos teóricos'!I33</f>
        <v>13.065675768342954</v>
      </c>
      <c r="AA39" s="99">
        <f t="shared" si="3"/>
        <v>13.776554936111689</v>
      </c>
      <c r="AB39" s="3"/>
    </row>
    <row r="40" spans="1:28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5">
        <f>SUM(I9:I39)</f>
        <v>0.79999999999999993</v>
      </c>
      <c r="J40" s="5">
        <f t="shared" ref="J40:V40" si="8">SUM(J9:J39)</f>
        <v>9.1000000000000014</v>
      </c>
      <c r="K40" s="5">
        <f t="shared" si="8"/>
        <v>13.9</v>
      </c>
      <c r="L40" s="5">
        <f t="shared" si="8"/>
        <v>15.1</v>
      </c>
      <c r="M40" s="5">
        <f t="shared" si="8"/>
        <v>14.700000000000001</v>
      </c>
      <c r="N40" s="5">
        <f t="shared" si="8"/>
        <v>15.699999999999998</v>
      </c>
      <c r="O40" s="5">
        <f t="shared" si="8"/>
        <v>15</v>
      </c>
      <c r="P40" s="5">
        <f t="shared" si="8"/>
        <v>17.600000000000001</v>
      </c>
      <c r="Q40" s="5">
        <f t="shared" si="8"/>
        <v>17.099999999999998</v>
      </c>
      <c r="R40" s="5">
        <f t="shared" si="8"/>
        <v>16.399999999999999</v>
      </c>
      <c r="S40" s="5">
        <f t="shared" si="8"/>
        <v>12.4</v>
      </c>
      <c r="T40" s="5">
        <f t="shared" si="8"/>
        <v>8.5</v>
      </c>
      <c r="U40" s="5">
        <f t="shared" si="8"/>
        <v>4.8999999999999995</v>
      </c>
      <c r="V40" s="101">
        <f t="shared" si="8"/>
        <v>0</v>
      </c>
      <c r="W40" s="102">
        <f>SUM(I40:O40)</f>
        <v>84.300000000000011</v>
      </c>
      <c r="X40" s="103">
        <f>SUM(P40:V40)</f>
        <v>76.900000000000006</v>
      </c>
      <c r="Y40" s="103">
        <f>W40+X40</f>
        <v>161.20000000000002</v>
      </c>
      <c r="Z40" s="104"/>
      <c r="AA40" s="104"/>
      <c r="AB40" s="100"/>
    </row>
    <row r="41" spans="1:28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8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  <row r="58" spans="1:28" ht="15.75">
      <c r="A58" s="106"/>
      <c r="B58" s="106"/>
      <c r="C58" s="106"/>
      <c r="D58" s="106"/>
      <c r="E58" s="106"/>
      <c r="F58" s="106"/>
      <c r="G58" s="106"/>
      <c r="H58" s="106"/>
      <c r="I58" s="106"/>
      <c r="J58" s="105"/>
      <c r="K58" s="105"/>
    </row>
    <row r="59" spans="1:28" ht="15.75">
      <c r="A59" s="106"/>
      <c r="B59" s="106"/>
      <c r="C59" s="106"/>
      <c r="D59" s="106"/>
      <c r="E59" s="106"/>
      <c r="F59" s="106"/>
      <c r="G59" s="106"/>
      <c r="H59" s="106"/>
      <c r="I59" s="106"/>
      <c r="J59" s="105"/>
      <c r="K59" s="105"/>
    </row>
    <row r="60" spans="1:28" ht="15.75">
      <c r="A60" s="106"/>
      <c r="B60" s="106"/>
      <c r="C60" s="106"/>
      <c r="D60" s="106"/>
      <c r="E60" s="106"/>
      <c r="F60" s="106"/>
      <c r="G60" s="106"/>
      <c r="H60" s="106"/>
      <c r="I60" s="106"/>
      <c r="J60" s="105"/>
      <c r="K60" s="105"/>
    </row>
  </sheetData>
  <sheetProtection selectLockedCells="1" selectUnlockedCells="1"/>
  <mergeCells count="2">
    <mergeCell ref="I5:W5"/>
    <mergeCell ref="I7:U7"/>
  </mergeCells>
  <pageMargins left="0" right="0" top="0.39374999999999999" bottom="0.98402777777777772" header="0.51180555555555551" footer="0.51180555555555551"/>
  <pageSetup paperSize="39" scale="50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54"/>
  <sheetViews>
    <sheetView zoomScale="75" zoomScaleNormal="75" workbookViewId="0">
      <selection activeCell="A31" sqref="A31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58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59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60</v>
      </c>
      <c r="C3" s="3"/>
      <c r="D3" s="107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61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108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34" t="s">
        <v>28</v>
      </c>
      <c r="C8" s="39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53" t="s">
        <v>49</v>
      </c>
      <c r="Z8" s="51" t="s">
        <v>49</v>
      </c>
      <c r="AA8" s="54" t="s">
        <v>49</v>
      </c>
      <c r="AB8" s="3"/>
    </row>
    <row r="9" spans="1:28" ht="18" customHeight="1">
      <c r="A9" s="109">
        <v>1</v>
      </c>
      <c r="B9" s="110">
        <v>17</v>
      </c>
      <c r="C9" s="57">
        <f>'[1]cálculos teóricos'!K34</f>
        <v>1.0393145509889044</v>
      </c>
      <c r="D9" s="58">
        <f>IF(B9&gt;0,B9*C9*14.25*1.022,-999)</f>
        <v>257.31297687655746</v>
      </c>
      <c r="E9" s="59">
        <f>IF(B9&gt;0,D9*4.1868/100,-999)</f>
        <v>10.773179715867707</v>
      </c>
      <c r="F9" s="60">
        <f>IF(B9&gt;0,(7.86+1.25*D9)*4.1868/100,-999)</f>
        <v>13.795557124834636</v>
      </c>
      <c r="G9" s="61">
        <f>'[1]cálculos teóricos'!T34</f>
        <v>41.472677719635314</v>
      </c>
      <c r="H9" s="62">
        <f>IF(B9&gt;0,100*F9/G9,-999)</f>
        <v>33.264206420660187</v>
      </c>
      <c r="I9" s="111"/>
      <c r="J9" s="111"/>
      <c r="K9" s="111"/>
      <c r="L9" s="111"/>
      <c r="M9" s="111"/>
      <c r="N9" s="111">
        <v>0.5</v>
      </c>
      <c r="O9" s="112">
        <v>0.2</v>
      </c>
      <c r="P9" s="113">
        <v>0.5</v>
      </c>
      <c r="Q9" s="111">
        <v>0.6</v>
      </c>
      <c r="R9" s="111"/>
      <c r="S9" s="111"/>
      <c r="T9" s="111"/>
      <c r="U9" s="111"/>
      <c r="V9" s="112"/>
      <c r="W9" s="67">
        <f t="shared" ref="W9:W39" si="0">SUM(I9:O9)</f>
        <v>0.7</v>
      </c>
      <c r="X9" s="68">
        <f>SUM(P9:V9)</f>
        <v>1.1000000000000001</v>
      </c>
      <c r="Y9" s="114">
        <f>W9+X9</f>
        <v>1.8</v>
      </c>
      <c r="Z9" s="70">
        <f>'[1]cálculos teóricos'!I34</f>
        <v>13.047655704771071</v>
      </c>
      <c r="AA9" s="71">
        <f t="shared" ref="AA9:AA37" si="1">100*Y9/Z9</f>
        <v>13.795581679410832</v>
      </c>
      <c r="AB9" s="3"/>
    </row>
    <row r="10" spans="1:28" ht="18" customHeight="1">
      <c r="A10" s="109">
        <v>2</v>
      </c>
      <c r="B10" s="56">
        <v>13.6</v>
      </c>
      <c r="C10" s="115">
        <f>'[1]cálculos teóricos'!K35</f>
        <v>1.03906069419472</v>
      </c>
      <c r="D10" s="58">
        <f>IF(B10&gt;0,B10*C10*14.25*1.022,-999)</f>
        <v>205.80010171070535</v>
      </c>
      <c r="E10" s="59">
        <f>IF(B10&gt;0,D10*4.1868/100,-999)</f>
        <v>8.616438658423812</v>
      </c>
      <c r="F10" s="60">
        <f>IF(B10&gt;0,(7.86+1.25*D10)*4.1868/100,-999)</f>
        <v>11.099630803029765</v>
      </c>
      <c r="G10" s="61">
        <f>'[1]cálculos teóricos'!T35</f>
        <v>41.386489411124131</v>
      </c>
      <c r="H10" s="74">
        <f>IF(B10&gt;0,100*F10/G10,-999)</f>
        <v>26.81945475676498</v>
      </c>
      <c r="I10" s="111"/>
      <c r="J10" s="111"/>
      <c r="K10" s="111"/>
      <c r="L10" s="111"/>
      <c r="M10" s="111"/>
      <c r="N10" s="111">
        <v>0.1</v>
      </c>
      <c r="O10" s="116"/>
      <c r="P10" s="113"/>
      <c r="Q10" s="111"/>
      <c r="R10" s="111"/>
      <c r="S10" s="111"/>
      <c r="T10" s="111"/>
      <c r="U10" s="111"/>
      <c r="V10" s="116"/>
      <c r="W10" s="67">
        <f t="shared" si="0"/>
        <v>0.1</v>
      </c>
      <c r="X10" s="68">
        <f t="shared" ref="X10:X39" si="2">SUM(P10:V10)</f>
        <v>0</v>
      </c>
      <c r="Y10" s="117">
        <f t="shared" ref="Y10:Y39" si="3">W10+X10</f>
        <v>0.1</v>
      </c>
      <c r="Z10" s="70">
        <f>'[1]cálculos teóricos'!I35</f>
        <v>13.029362784335678</v>
      </c>
      <c r="AA10" s="71">
        <f t="shared" si="1"/>
        <v>0.76749724184687862</v>
      </c>
      <c r="AB10" s="3"/>
    </row>
    <row r="11" spans="1:28" ht="18" customHeight="1">
      <c r="A11" s="72">
        <v>3</v>
      </c>
      <c r="B11" s="56">
        <v>12.7</v>
      </c>
      <c r="C11" s="115">
        <f>'[1]cálculos teóricos'!K36</f>
        <v>1.038796869665491</v>
      </c>
      <c r="D11" s="58">
        <f t="shared" ref="D11:D37" si="4">IF(B11&gt;0,B11*C11*14.25*1.022,-999)</f>
        <v>192.13218128444188</v>
      </c>
      <c r="E11" s="59">
        <f t="shared" ref="E11:E37" si="5">IF(B11&gt;0,D11*4.1868/100,-999)</f>
        <v>8.0441901660170121</v>
      </c>
      <c r="F11" s="60">
        <f t="shared" ref="F11:F37" si="6">IF(B11&gt;0,(7.86+1.25*D11)*4.1868/100,-999)</f>
        <v>10.384320187521267</v>
      </c>
      <c r="G11" s="61">
        <f>'[1]cálculos teóricos'!T36</f>
        <v>41.297812625986587</v>
      </c>
      <c r="H11" s="74">
        <f t="shared" ref="H11:H37" si="7">IF(B11&gt;0,100*F11/G11,-999)</f>
        <v>25.144964169329754</v>
      </c>
      <c r="I11" s="111"/>
      <c r="J11" s="111"/>
      <c r="K11" s="111"/>
      <c r="L11" s="111"/>
      <c r="M11" s="111"/>
      <c r="N11" s="111"/>
      <c r="O11" s="116"/>
      <c r="P11" s="113">
        <v>0.4</v>
      </c>
      <c r="Q11" s="111"/>
      <c r="R11" s="111"/>
      <c r="S11" s="111"/>
      <c r="T11" s="111"/>
      <c r="U11" s="111"/>
      <c r="V11" s="116"/>
      <c r="W11" s="67">
        <f t="shared" si="0"/>
        <v>0</v>
      </c>
      <c r="X11" s="68">
        <f t="shared" si="2"/>
        <v>0.4</v>
      </c>
      <c r="Y11" s="117">
        <f t="shared" si="3"/>
        <v>0.4</v>
      </c>
      <c r="Z11" s="70">
        <f>'[1]cálculos teóricos'!I36</f>
        <v>13.010806371225611</v>
      </c>
      <c r="AA11" s="71">
        <f t="shared" si="1"/>
        <v>3.0743674802864676</v>
      </c>
      <c r="AB11" s="3"/>
    </row>
    <row r="12" spans="1:28" ht="18" customHeight="1">
      <c r="A12" s="72">
        <v>4</v>
      </c>
      <c r="B12" s="56">
        <v>17.8</v>
      </c>
      <c r="C12" s="115">
        <f>'[1]cálculos teóricos'!K37</f>
        <v>1.0385228969283236</v>
      </c>
      <c r="D12" s="58">
        <f t="shared" si="4"/>
        <v>269.21660212759838</v>
      </c>
      <c r="E12" s="59">
        <f t="shared" si="5"/>
        <v>11.271560697878288</v>
      </c>
      <c r="F12" s="60">
        <f t="shared" si="6"/>
        <v>14.418533352347861</v>
      </c>
      <c r="G12" s="61">
        <f>'[1]cálculos teóricos'!T37</f>
        <v>41.206642934398403</v>
      </c>
      <c r="H12" s="74">
        <f t="shared" si="7"/>
        <v>34.990798389721732</v>
      </c>
      <c r="I12" s="111"/>
      <c r="J12" s="111"/>
      <c r="K12" s="111"/>
      <c r="L12" s="111"/>
      <c r="M12" s="111">
        <v>0.3</v>
      </c>
      <c r="N12" s="111">
        <v>0.2</v>
      </c>
      <c r="O12" s="116">
        <v>0.3</v>
      </c>
      <c r="P12" s="113">
        <v>0.1</v>
      </c>
      <c r="Q12" s="111">
        <v>0.5</v>
      </c>
      <c r="R12" s="111">
        <v>0.5</v>
      </c>
      <c r="S12" s="111"/>
      <c r="T12" s="111">
        <v>0.1</v>
      </c>
      <c r="U12" s="111"/>
      <c r="V12" s="116"/>
      <c r="W12" s="67">
        <f t="shared" si="0"/>
        <v>0.8</v>
      </c>
      <c r="X12" s="68">
        <f t="shared" si="2"/>
        <v>1.2000000000000002</v>
      </c>
      <c r="Y12" s="117">
        <f t="shared" si="3"/>
        <v>2</v>
      </c>
      <c r="Z12" s="70">
        <f>'[1]cálculos teóricos'!I37</f>
        <v>12.991995728758745</v>
      </c>
      <c r="AA12" s="71">
        <f t="shared" si="1"/>
        <v>15.394093730902727</v>
      </c>
      <c r="AB12" s="3"/>
    </row>
    <row r="13" spans="1:28" ht="18" customHeight="1">
      <c r="A13" s="72">
        <v>5</v>
      </c>
      <c r="B13" s="56">
        <v>16.2</v>
      </c>
      <c r="C13" s="115">
        <f>'[1]cálculos teóricos'!K38</f>
        <v>1.0382386003559865</v>
      </c>
      <c r="D13" s="58">
        <f t="shared" si="4"/>
        <v>244.95028327180745</v>
      </c>
      <c r="E13" s="59">
        <f t="shared" si="5"/>
        <v>10.255578460024035</v>
      </c>
      <c r="F13" s="60">
        <f t="shared" si="6"/>
        <v>13.148555555030043</v>
      </c>
      <c r="G13" s="61">
        <f>'[1]cálculos teóricos'!T38</f>
        <v>41.112977138132415</v>
      </c>
      <c r="H13" s="74">
        <f t="shared" si="7"/>
        <v>31.981521335351598</v>
      </c>
      <c r="I13" s="111"/>
      <c r="J13" s="111"/>
      <c r="K13" s="111"/>
      <c r="L13" s="111">
        <v>0.4</v>
      </c>
      <c r="M13" s="111">
        <v>0.2</v>
      </c>
      <c r="N13" s="111">
        <v>0.5</v>
      </c>
      <c r="O13" s="116">
        <v>0.2</v>
      </c>
      <c r="P13" s="113">
        <v>0.5</v>
      </c>
      <c r="Q13" s="111">
        <v>0.4</v>
      </c>
      <c r="R13" s="111"/>
      <c r="S13" s="111"/>
      <c r="T13" s="111"/>
      <c r="U13" s="111"/>
      <c r="V13" s="116"/>
      <c r="W13" s="67">
        <f t="shared" si="0"/>
        <v>1.3</v>
      </c>
      <c r="X13" s="68">
        <f t="shared" si="2"/>
        <v>0.9</v>
      </c>
      <c r="Y13" s="117">
        <f t="shared" si="3"/>
        <v>2.2000000000000002</v>
      </c>
      <c r="Z13" s="70">
        <f>'[1]cálculos teóricos'!I38</f>
        <v>12.972940009695547</v>
      </c>
      <c r="AA13" s="71">
        <f t="shared" si="1"/>
        <v>16.958376423199311</v>
      </c>
      <c r="AB13" s="3"/>
    </row>
    <row r="14" spans="1:28" ht="18" customHeight="1">
      <c r="A14" s="72">
        <v>6</v>
      </c>
      <c r="B14" s="56">
        <v>16.399999999999999</v>
      </c>
      <c r="C14" s="115">
        <f>'[1]cálculos teóricos'!K39</f>
        <v>1.0379438095365645</v>
      </c>
      <c r="D14" s="58">
        <f t="shared" si="4"/>
        <v>247.90395259104639</v>
      </c>
      <c r="E14" s="59">
        <f t="shared" si="5"/>
        <v>10.379242687081931</v>
      </c>
      <c r="F14" s="60">
        <f t="shared" si="6"/>
        <v>13.303135838852413</v>
      </c>
      <c r="G14" s="61">
        <f>'[1]cálculos teóricos'!T39</f>
        <v>41.016813317393655</v>
      </c>
      <c r="H14" s="74">
        <f t="shared" si="7"/>
        <v>32.433372470725473</v>
      </c>
      <c r="I14" s="111"/>
      <c r="J14" s="111"/>
      <c r="K14" s="111"/>
      <c r="L14" s="111"/>
      <c r="M14" s="111">
        <v>0.1</v>
      </c>
      <c r="N14" s="111">
        <v>0.1</v>
      </c>
      <c r="O14" s="116">
        <v>0.3</v>
      </c>
      <c r="P14" s="113">
        <v>0.6</v>
      </c>
      <c r="Q14" s="113">
        <v>0.3</v>
      </c>
      <c r="R14" s="111"/>
      <c r="S14" s="111"/>
      <c r="T14" s="111"/>
      <c r="U14" s="111"/>
      <c r="V14" s="116"/>
      <c r="W14" s="67">
        <f t="shared" si="0"/>
        <v>0.5</v>
      </c>
      <c r="X14" s="68">
        <f t="shared" si="2"/>
        <v>0.89999999999999991</v>
      </c>
      <c r="Y14" s="117">
        <f t="shared" si="3"/>
        <v>1.4</v>
      </c>
      <c r="Z14" s="70">
        <f>'[1]cálculos teóricos'!I39</f>
        <v>12.953648247311923</v>
      </c>
      <c r="AA14" s="71">
        <f t="shared" si="1"/>
        <v>10.80776606922703</v>
      </c>
      <c r="AB14" s="3"/>
    </row>
    <row r="15" spans="1:28" ht="18" customHeight="1">
      <c r="A15" s="72">
        <v>7</v>
      </c>
      <c r="B15" s="75">
        <v>20.6</v>
      </c>
      <c r="C15" s="115">
        <f>'[1]cálculos teóricos'!K40</f>
        <v>1.037638359628839</v>
      </c>
      <c r="D15" s="58">
        <f t="shared" si="4"/>
        <v>311.2999127593647</v>
      </c>
      <c r="E15" s="59">
        <f t="shared" si="5"/>
        <v>13.033504747409081</v>
      </c>
      <c r="F15" s="60">
        <f t="shared" si="6"/>
        <v>16.620963414261354</v>
      </c>
      <c r="G15" s="61">
        <f>'[1]cálculos teóricos'!T40</f>
        <v>40.9181508749611</v>
      </c>
      <c r="H15" s="74">
        <f t="shared" si="7"/>
        <v>40.62002573149551</v>
      </c>
      <c r="I15" s="111"/>
      <c r="J15" s="111">
        <v>0.8</v>
      </c>
      <c r="K15" s="111">
        <v>0.7</v>
      </c>
      <c r="L15" s="111">
        <v>0.7</v>
      </c>
      <c r="M15" s="111">
        <v>0.1</v>
      </c>
      <c r="N15" s="111">
        <v>0.9</v>
      </c>
      <c r="O15" s="116">
        <v>0.9</v>
      </c>
      <c r="P15" s="113">
        <v>0.9</v>
      </c>
      <c r="Q15" s="113">
        <v>0.1</v>
      </c>
      <c r="R15" s="111"/>
      <c r="S15" s="111"/>
      <c r="T15" s="111"/>
      <c r="U15" s="111"/>
      <c r="V15" s="116"/>
      <c r="W15" s="67">
        <f t="shared" si="0"/>
        <v>4.1000000000000005</v>
      </c>
      <c r="X15" s="68">
        <f t="shared" si="2"/>
        <v>1</v>
      </c>
      <c r="Y15" s="117">
        <f t="shared" si="3"/>
        <v>5.1000000000000005</v>
      </c>
      <c r="Z15" s="70">
        <f>'[1]cálculos teóricos'!I40</f>
        <v>12.934129347226488</v>
      </c>
      <c r="AA15" s="71">
        <f t="shared" si="1"/>
        <v>39.430562839497284</v>
      </c>
      <c r="AB15" s="3"/>
    </row>
    <row r="16" spans="1:28" ht="18" customHeight="1">
      <c r="A16" s="79">
        <v>8</v>
      </c>
      <c r="B16" s="75">
        <v>27.6</v>
      </c>
      <c r="C16" s="115">
        <f>'[1]cálculos teóricos'!K41</f>
        <v>1.0373220917029544</v>
      </c>
      <c r="D16" s="58">
        <f t="shared" si="4"/>
        <v>416.95431179744094</v>
      </c>
      <c r="E16" s="59">
        <f t="shared" si="5"/>
        <v>17.457043126335257</v>
      </c>
      <c r="F16" s="60">
        <f t="shared" si="6"/>
        <v>22.15038638791907</v>
      </c>
      <c r="G16" s="61">
        <f>'[1]cálculos teóricos'!T41</f>
        <v>40.816990577542512</v>
      </c>
      <c r="H16" s="74">
        <f t="shared" si="7"/>
        <v>54.267563763278034</v>
      </c>
      <c r="I16" s="111"/>
      <c r="J16" s="111">
        <v>1</v>
      </c>
      <c r="K16" s="111">
        <v>1</v>
      </c>
      <c r="L16" s="111">
        <v>1</v>
      </c>
      <c r="M16" s="111">
        <v>1</v>
      </c>
      <c r="N16" s="111">
        <v>1</v>
      </c>
      <c r="O16" s="116">
        <v>1</v>
      </c>
      <c r="P16" s="113">
        <v>1</v>
      </c>
      <c r="Q16" s="111">
        <v>0.9</v>
      </c>
      <c r="R16" s="111">
        <v>0.9</v>
      </c>
      <c r="S16" s="111">
        <v>0.4</v>
      </c>
      <c r="T16" s="111"/>
      <c r="U16" s="111"/>
      <c r="V16" s="116"/>
      <c r="W16" s="67">
        <f t="shared" si="0"/>
        <v>6</v>
      </c>
      <c r="X16" s="68">
        <f t="shared" si="2"/>
        <v>3.1999999999999997</v>
      </c>
      <c r="Y16" s="117">
        <f t="shared" si="3"/>
        <v>9.1999999999999993</v>
      </c>
      <c r="Z16" s="70">
        <f>'[1]cálculos teóricos'!I41</f>
        <v>12.914392079974427</v>
      </c>
      <c r="AA16" s="71">
        <f t="shared" si="1"/>
        <v>71.238351314003296</v>
      </c>
      <c r="AB16" s="3"/>
    </row>
    <row r="17" spans="1:28" ht="18" customHeight="1">
      <c r="A17" s="79">
        <v>9</v>
      </c>
      <c r="B17" s="75">
        <v>30</v>
      </c>
      <c r="C17" s="115">
        <f>'[1]cálculos teóricos'!K42</f>
        <v>1.0369948530659916</v>
      </c>
      <c r="D17" s="58">
        <f t="shared" si="4"/>
        <v>453.06823627879709</v>
      </c>
      <c r="E17" s="59">
        <f t="shared" si="5"/>
        <v>18.969060916520675</v>
      </c>
      <c r="F17" s="60">
        <f t="shared" si="6"/>
        <v>24.040408625650848</v>
      </c>
      <c r="G17" s="61">
        <f>'[1]cálculos teóricos'!T42</f>
        <v>40.713334594263301</v>
      </c>
      <c r="H17" s="74">
        <f t="shared" si="7"/>
        <v>59.047997088006284</v>
      </c>
      <c r="I17" s="111"/>
      <c r="J17" s="111">
        <v>0.8</v>
      </c>
      <c r="K17" s="111">
        <v>0.7</v>
      </c>
      <c r="L17" s="111">
        <v>1</v>
      </c>
      <c r="M17" s="111">
        <v>0.9</v>
      </c>
      <c r="N17" s="111">
        <v>1</v>
      </c>
      <c r="O17" s="116">
        <v>1</v>
      </c>
      <c r="P17" s="113">
        <v>1</v>
      </c>
      <c r="Q17" s="111">
        <v>1</v>
      </c>
      <c r="R17" s="111">
        <v>0.7</v>
      </c>
      <c r="S17" s="111">
        <v>1</v>
      </c>
      <c r="T17" s="111">
        <v>0.1</v>
      </c>
      <c r="U17" s="111"/>
      <c r="V17" s="116"/>
      <c r="W17" s="67">
        <f t="shared" si="0"/>
        <v>5.4</v>
      </c>
      <c r="X17" s="68">
        <f t="shared" si="2"/>
        <v>3.8000000000000003</v>
      </c>
      <c r="Y17" s="117">
        <f t="shared" si="3"/>
        <v>9.2000000000000011</v>
      </c>
      <c r="Z17" s="70">
        <f>'[1]cálculos teóricos'!I42</f>
        <v>12.894445074317558</v>
      </c>
      <c r="AA17" s="71">
        <f t="shared" si="1"/>
        <v>71.348553171350133</v>
      </c>
      <c r="AB17" s="3"/>
    </row>
    <row r="18" spans="1:28" ht="18" customHeight="1">
      <c r="A18" s="79">
        <v>10</v>
      </c>
      <c r="B18" s="75">
        <v>11.1</v>
      </c>
      <c r="C18" s="115">
        <f>'[1]cálculos teóricos'!K43</f>
        <v>1.0366564975721508</v>
      </c>
      <c r="D18" s="58">
        <f t="shared" si="4"/>
        <v>167.58055061655139</v>
      </c>
      <c r="E18" s="59">
        <f t="shared" si="5"/>
        <v>7.016262493213774</v>
      </c>
      <c r="F18" s="60">
        <f t="shared" si="6"/>
        <v>9.0994105965172167</v>
      </c>
      <c r="G18" s="61">
        <f>'[1]cálculos teóricos'!T43</f>
        <v>40.607186532222627</v>
      </c>
      <c r="H18" s="74">
        <f t="shared" si="7"/>
        <v>22.408374905010099</v>
      </c>
      <c r="I18" s="111"/>
      <c r="J18" s="111"/>
      <c r="K18" s="111"/>
      <c r="L18" s="111"/>
      <c r="M18" s="111"/>
      <c r="N18" s="111"/>
      <c r="O18" s="116"/>
      <c r="P18" s="113"/>
      <c r="Q18" s="111"/>
      <c r="R18" s="111"/>
      <c r="S18" s="111"/>
      <c r="T18" s="111"/>
      <c r="U18" s="111"/>
      <c r="V18" s="116"/>
      <c r="W18" s="67">
        <f t="shared" si="0"/>
        <v>0</v>
      </c>
      <c r="X18" s="68">
        <f t="shared" si="2"/>
        <v>0</v>
      </c>
      <c r="Y18" s="117">
        <f t="shared" si="3"/>
        <v>0</v>
      </c>
      <c r="Z18" s="70">
        <f>'[1]cálculos teóricos'!I43</f>
        <v>12.874296811277606</v>
      </c>
      <c r="AA18" s="71">
        <f t="shared" si="1"/>
        <v>0</v>
      </c>
      <c r="AB18" s="3"/>
    </row>
    <row r="19" spans="1:28" ht="18" customHeight="1">
      <c r="A19" s="79">
        <v>11</v>
      </c>
      <c r="B19" s="75">
        <v>15.1</v>
      </c>
      <c r="C19" s="115">
        <f>'[1]cálculos teóricos'!K44</f>
        <v>1.0363068859173084</v>
      </c>
      <c r="D19" s="58">
        <f t="shared" si="4"/>
        <v>227.89305552915647</v>
      </c>
      <c r="E19" s="59">
        <f t="shared" si="5"/>
        <v>9.5414264488947236</v>
      </c>
      <c r="F19" s="60">
        <f t="shared" si="6"/>
        <v>12.255865541118405</v>
      </c>
      <c r="G19" s="61">
        <f>'[1]cálculos teóricos'!T44</f>
        <v>40.49855146906372</v>
      </c>
      <c r="H19" s="74">
        <f t="shared" si="7"/>
        <v>30.262478771569128</v>
      </c>
      <c r="I19" s="111"/>
      <c r="J19" s="111"/>
      <c r="K19" s="111"/>
      <c r="L19" s="111"/>
      <c r="M19" s="111"/>
      <c r="N19" s="111"/>
      <c r="O19" s="116"/>
      <c r="P19" s="113">
        <v>0.2</v>
      </c>
      <c r="Q19" s="111"/>
      <c r="R19" s="111"/>
      <c r="S19" s="111"/>
      <c r="T19" s="111"/>
      <c r="U19" s="111"/>
      <c r="V19" s="116"/>
      <c r="W19" s="67">
        <f t="shared" si="0"/>
        <v>0</v>
      </c>
      <c r="X19" s="68">
        <f t="shared" si="2"/>
        <v>0.2</v>
      </c>
      <c r="Y19" s="117">
        <f t="shared" si="3"/>
        <v>0.2</v>
      </c>
      <c r="Z19" s="70">
        <f>'[1]cálculos teóricos'!I44</f>
        <v>12.853955618877693</v>
      </c>
      <c r="AA19" s="71">
        <f t="shared" si="1"/>
        <v>1.5559412676536255</v>
      </c>
      <c r="AB19" s="3"/>
    </row>
    <row r="20" spans="1:28" ht="18" customHeight="1">
      <c r="A20" s="79">
        <v>12</v>
      </c>
      <c r="B20" s="75">
        <v>15.5</v>
      </c>
      <c r="C20" s="115">
        <f>'[1]cálculos teóricos'!K45</f>
        <v>1.0359458859177855</v>
      </c>
      <c r="D20" s="58">
        <f t="shared" si="4"/>
        <v>233.84846759823688</v>
      </c>
      <c r="E20" s="59">
        <f t="shared" si="5"/>
        <v>9.7907676414029812</v>
      </c>
      <c r="F20" s="60">
        <f t="shared" si="6"/>
        <v>12.567542031753726</v>
      </c>
      <c r="G20" s="61">
        <f>'[1]cálculos teóricos'!T45</f>
        <v>40.387435982518646</v>
      </c>
      <c r="H20" s="74">
        <f t="shared" si="7"/>
        <v>31.117454540054187</v>
      </c>
      <c r="I20" s="111"/>
      <c r="J20" s="111"/>
      <c r="K20" s="111"/>
      <c r="L20" s="111"/>
      <c r="M20" s="111"/>
      <c r="N20" s="111"/>
      <c r="O20" s="116"/>
      <c r="P20" s="113"/>
      <c r="Q20" s="111"/>
      <c r="R20" s="111"/>
      <c r="S20" s="111"/>
      <c r="T20" s="111"/>
      <c r="U20" s="111"/>
      <c r="V20" s="116"/>
      <c r="W20" s="67">
        <f t="shared" si="0"/>
        <v>0</v>
      </c>
      <c r="X20" s="68">
        <f t="shared" si="2"/>
        <v>0</v>
      </c>
      <c r="Y20" s="117">
        <f t="shared" si="3"/>
        <v>0</v>
      </c>
      <c r="Z20" s="70">
        <f>'[1]cálculos teóricos'!I45</f>
        <v>12.833429667575025</v>
      </c>
      <c r="AA20" s="71">
        <f t="shared" si="1"/>
        <v>0</v>
      </c>
      <c r="AB20" s="3"/>
    </row>
    <row r="21" spans="1:28" ht="18" customHeight="1">
      <c r="A21" s="79">
        <v>13</v>
      </c>
      <c r="B21" s="75">
        <v>24.3</v>
      </c>
      <c r="C21" s="115">
        <f>'[1]cálculos teóricos'!K46</f>
        <v>1.0355733727732386</v>
      </c>
      <c r="D21" s="58">
        <f t="shared" si="4"/>
        <v>366.48221938950843</v>
      </c>
      <c r="E21" s="59">
        <f t="shared" si="5"/>
        <v>15.343877561399939</v>
      </c>
      <c r="F21" s="60">
        <f t="shared" si="6"/>
        <v>19.508929431749923</v>
      </c>
      <c r="G21" s="61">
        <f>'[1]cálculos teóricos'!T46</f>
        <v>40.273848176901005</v>
      </c>
      <c r="H21" s="74">
        <f t="shared" si="7"/>
        <v>48.440688722015977</v>
      </c>
      <c r="I21" s="111"/>
      <c r="J21" s="111"/>
      <c r="K21" s="111">
        <v>0.4</v>
      </c>
      <c r="L21" s="111">
        <v>0.4</v>
      </c>
      <c r="M21" s="111">
        <v>0.3</v>
      </c>
      <c r="N21" s="111"/>
      <c r="O21" s="116">
        <v>0.8</v>
      </c>
      <c r="P21" s="113">
        <v>0.9</v>
      </c>
      <c r="Q21" s="111">
        <v>1</v>
      </c>
      <c r="R21" s="111">
        <v>0.6</v>
      </c>
      <c r="S21" s="111">
        <v>0.8</v>
      </c>
      <c r="T21" s="111">
        <v>0.8</v>
      </c>
      <c r="U21" s="111"/>
      <c r="V21" s="116"/>
      <c r="W21" s="67">
        <f t="shared" si="0"/>
        <v>1.9000000000000001</v>
      </c>
      <c r="X21" s="68">
        <f t="shared" si="2"/>
        <v>4.0999999999999996</v>
      </c>
      <c r="Y21" s="117">
        <f t="shared" si="3"/>
        <v>6</v>
      </c>
      <c r="Z21" s="70">
        <f>'[1]cálculos teóricos'!I46</f>
        <v>12.812726966366139</v>
      </c>
      <c r="AA21" s="71">
        <f t="shared" si="1"/>
        <v>46.828438752735558</v>
      </c>
      <c r="AB21" s="3"/>
    </row>
    <row r="22" spans="1:28" ht="18" customHeight="1">
      <c r="A22" s="79">
        <v>14</v>
      </c>
      <c r="B22" s="75">
        <v>28.8</v>
      </c>
      <c r="C22" s="115">
        <f>'[1]cálculos teóricos'!K47</f>
        <v>1.0351892293136391</v>
      </c>
      <c r="D22" s="58">
        <f t="shared" si="4"/>
        <v>434.18817622394448</v>
      </c>
      <c r="E22" s="59">
        <f t="shared" si="5"/>
        <v>18.178590562144105</v>
      </c>
      <c r="F22" s="60">
        <f t="shared" si="6"/>
        <v>23.052320682680133</v>
      </c>
      <c r="G22" s="61">
        <f>'[1]cálculos teóricos'!T47</f>
        <v>40.157797706533401</v>
      </c>
      <c r="H22" s="74">
        <f t="shared" si="7"/>
        <v>57.404344857610745</v>
      </c>
      <c r="I22" s="111"/>
      <c r="J22" s="111">
        <v>0.4</v>
      </c>
      <c r="K22" s="111">
        <v>0.8</v>
      </c>
      <c r="L22" s="111">
        <v>1</v>
      </c>
      <c r="M22" s="111">
        <v>1</v>
      </c>
      <c r="N22" s="111">
        <v>1</v>
      </c>
      <c r="O22" s="116">
        <v>0.7</v>
      </c>
      <c r="P22" s="113">
        <v>1</v>
      </c>
      <c r="Q22" s="111">
        <v>1</v>
      </c>
      <c r="R22" s="111">
        <v>1</v>
      </c>
      <c r="S22" s="111"/>
      <c r="T22" s="111"/>
      <c r="U22" s="111"/>
      <c r="V22" s="116"/>
      <c r="W22" s="67">
        <f t="shared" si="0"/>
        <v>4.9000000000000004</v>
      </c>
      <c r="X22" s="68">
        <f t="shared" si="2"/>
        <v>3</v>
      </c>
      <c r="Y22" s="117">
        <f t="shared" si="3"/>
        <v>7.9</v>
      </c>
      <c r="Z22" s="70">
        <f>'[1]cálculos teóricos'!I47</f>
        <v>12.791855359544524</v>
      </c>
      <c r="AA22" s="71">
        <f t="shared" si="1"/>
        <v>61.758046647279265</v>
      </c>
      <c r="AB22" s="3"/>
    </row>
    <row r="23" spans="1:28" ht="18" customHeight="1">
      <c r="A23" s="79">
        <v>15</v>
      </c>
      <c r="B23" s="75">
        <v>31.1</v>
      </c>
      <c r="C23" s="115">
        <f>'[1]cálculos teóricos'!K48</f>
        <v>1.0347933462303829</v>
      </c>
      <c r="D23" s="58">
        <f t="shared" si="4"/>
        <v>468.6836211223943</v>
      </c>
      <c r="E23" s="59">
        <f t="shared" si="5"/>
        <v>19.622845849152405</v>
      </c>
      <c r="F23" s="60">
        <f t="shared" si="6"/>
        <v>24.857639791440505</v>
      </c>
      <c r="G23" s="61">
        <f>'[1]cálculos teóricos'!T48</f>
        <v>40.03929579610913</v>
      </c>
      <c r="H23" s="74">
        <f t="shared" si="7"/>
        <v>62.083109348431847</v>
      </c>
      <c r="I23" s="111"/>
      <c r="J23" s="111"/>
      <c r="K23" s="111">
        <v>0.9</v>
      </c>
      <c r="L23" s="111">
        <v>1</v>
      </c>
      <c r="M23" s="111">
        <v>1</v>
      </c>
      <c r="N23" s="111">
        <v>1</v>
      </c>
      <c r="O23" s="116">
        <v>1</v>
      </c>
      <c r="P23" s="113">
        <v>1</v>
      </c>
      <c r="Q23" s="111">
        <v>1</v>
      </c>
      <c r="R23" s="111">
        <v>0.9</v>
      </c>
      <c r="S23" s="111">
        <v>0.7</v>
      </c>
      <c r="T23" s="111">
        <v>1</v>
      </c>
      <c r="U23" s="111">
        <v>0.3</v>
      </c>
      <c r="V23" s="116"/>
      <c r="W23" s="67">
        <f t="shared" si="0"/>
        <v>4.9000000000000004</v>
      </c>
      <c r="X23" s="68">
        <f t="shared" si="2"/>
        <v>4.8999999999999995</v>
      </c>
      <c r="Y23" s="117">
        <f t="shared" si="3"/>
        <v>9.8000000000000007</v>
      </c>
      <c r="Z23" s="70">
        <f>'[1]cálculos teóricos'!I48</f>
        <v>12.770822524089397</v>
      </c>
      <c r="AA23" s="71">
        <f t="shared" si="1"/>
        <v>76.737422209997973</v>
      </c>
      <c r="AB23" s="3"/>
    </row>
    <row r="24" spans="1:28" ht="18" customHeight="1">
      <c r="A24" s="79">
        <v>16</v>
      </c>
      <c r="B24" s="75">
        <v>26.2</v>
      </c>
      <c r="C24" s="115">
        <f>'[1]cálculos teóricos'!K49</f>
        <v>1.0343856222916303</v>
      </c>
      <c r="D24" s="58">
        <f t="shared" si="4"/>
        <v>394.6840052683969</v>
      </c>
      <c r="E24" s="59">
        <f t="shared" si="5"/>
        <v>16.524629932577241</v>
      </c>
      <c r="F24" s="60">
        <f t="shared" si="6"/>
        <v>20.984869895721555</v>
      </c>
      <c r="G24" s="61">
        <f>'[1]cálculos teóricos'!T49</f>
        <v>39.918355258000474</v>
      </c>
      <c r="H24" s="74">
        <f t="shared" si="7"/>
        <v>52.569475270441522</v>
      </c>
      <c r="I24" s="111"/>
      <c r="J24" s="111">
        <v>0.7</v>
      </c>
      <c r="K24" s="111">
        <v>1</v>
      </c>
      <c r="L24" s="111">
        <v>0.9</v>
      </c>
      <c r="M24" s="111">
        <v>1</v>
      </c>
      <c r="N24" s="111">
        <v>1</v>
      </c>
      <c r="O24" s="116">
        <v>1</v>
      </c>
      <c r="P24" s="113">
        <v>0.9</v>
      </c>
      <c r="Q24" s="111">
        <v>0.9</v>
      </c>
      <c r="R24" s="111"/>
      <c r="S24" s="111"/>
      <c r="T24" s="111"/>
      <c r="U24" s="111"/>
      <c r="V24" s="116"/>
      <c r="W24" s="67">
        <f t="shared" si="0"/>
        <v>5.6</v>
      </c>
      <c r="X24" s="68">
        <f t="shared" si="2"/>
        <v>1.8</v>
      </c>
      <c r="Y24" s="117">
        <f t="shared" si="3"/>
        <v>7.3999999999999995</v>
      </c>
      <c r="Z24" s="70">
        <f>'[1]cálculos teóricos'!I49</f>
        <v>12.749635967663192</v>
      </c>
      <c r="AA24" s="71">
        <f t="shared" si="1"/>
        <v>58.040872843495812</v>
      </c>
      <c r="AB24" s="3"/>
    </row>
    <row r="25" spans="1:28" ht="18" customHeight="1">
      <c r="A25" s="79">
        <v>17</v>
      </c>
      <c r="B25" s="75">
        <v>26.8</v>
      </c>
      <c r="C25" s="115">
        <f>'[1]cálculos teóricos'!K50</f>
        <v>1.0339659645420316</v>
      </c>
      <c r="D25" s="58">
        <f t="shared" si="4"/>
        <v>403.55877709949112</v>
      </c>
      <c r="E25" s="59">
        <f t="shared" si="5"/>
        <v>16.896198879601492</v>
      </c>
      <c r="F25" s="60">
        <f t="shared" si="6"/>
        <v>21.449331079501867</v>
      </c>
      <c r="G25" s="61">
        <f>'[1]cálculos teóricos'!T50</f>
        <v>39.794990506538213</v>
      </c>
      <c r="H25" s="74">
        <f t="shared" si="7"/>
        <v>53.899575817156681</v>
      </c>
      <c r="I25" s="111"/>
      <c r="J25" s="111">
        <v>0.7</v>
      </c>
      <c r="K25" s="111">
        <v>1</v>
      </c>
      <c r="L25" s="111">
        <v>1</v>
      </c>
      <c r="M25" s="111">
        <v>1</v>
      </c>
      <c r="N25" s="111">
        <v>1</v>
      </c>
      <c r="O25" s="116">
        <v>1</v>
      </c>
      <c r="P25" s="113">
        <v>1</v>
      </c>
      <c r="Q25" s="111">
        <v>0.7</v>
      </c>
      <c r="R25" s="111">
        <v>0.3</v>
      </c>
      <c r="S25" s="111"/>
      <c r="T25" s="111"/>
      <c r="U25" s="111"/>
      <c r="V25" s="116"/>
      <c r="W25" s="67">
        <f t="shared" si="0"/>
        <v>5.7</v>
      </c>
      <c r="X25" s="68">
        <f t="shared" si="2"/>
        <v>2</v>
      </c>
      <c r="Y25" s="117">
        <f t="shared" si="3"/>
        <v>7.7</v>
      </c>
      <c r="Z25" s="70">
        <f>'[1]cálculos teóricos'!I50</f>
        <v>12.728303027194645</v>
      </c>
      <c r="AA25" s="71">
        <f t="shared" si="1"/>
        <v>60.495102792167749</v>
      </c>
      <c r="AB25" s="3"/>
    </row>
    <row r="26" spans="1:28" ht="18" customHeight="1">
      <c r="A26" s="79">
        <v>18</v>
      </c>
      <c r="B26" s="75">
        <v>29.4</v>
      </c>
      <c r="C26" s="115">
        <f>'[1]cálculos teóricos'!K51</f>
        <v>1.0335342884870602</v>
      </c>
      <c r="D26" s="58">
        <f t="shared" si="4"/>
        <v>442.52517234521019</v>
      </c>
      <c r="E26" s="59">
        <f t="shared" si="5"/>
        <v>18.527643915749259</v>
      </c>
      <c r="F26" s="60">
        <f t="shared" si="6"/>
        <v>23.488637374686576</v>
      </c>
      <c r="G26" s="61">
        <f>'[1]cálculos teóricos'!T51</f>
        <v>39.669217569298148</v>
      </c>
      <c r="H26" s="74">
        <f t="shared" si="7"/>
        <v>59.211244420574424</v>
      </c>
      <c r="I26" s="111">
        <v>0.1</v>
      </c>
      <c r="J26" s="111">
        <v>1</v>
      </c>
      <c r="K26" s="111">
        <v>1</v>
      </c>
      <c r="L26" s="111">
        <v>1</v>
      </c>
      <c r="M26" s="111">
        <v>1</v>
      </c>
      <c r="N26" s="111">
        <v>1</v>
      </c>
      <c r="O26" s="116">
        <v>0.9</v>
      </c>
      <c r="P26" s="113">
        <v>1</v>
      </c>
      <c r="Q26" s="111">
        <v>1</v>
      </c>
      <c r="R26" s="111">
        <v>1</v>
      </c>
      <c r="S26" s="111">
        <v>1</v>
      </c>
      <c r="T26" s="111">
        <v>0.4</v>
      </c>
      <c r="U26" s="111"/>
      <c r="V26" s="116"/>
      <c r="W26" s="67">
        <f t="shared" si="0"/>
        <v>6</v>
      </c>
      <c r="X26" s="68">
        <f t="shared" si="2"/>
        <v>4.4000000000000004</v>
      </c>
      <c r="Y26" s="117">
        <f t="shared" si="3"/>
        <v>10.4</v>
      </c>
      <c r="Z26" s="70">
        <f>'[1]cálculos teóricos'!I51</f>
        <v>12.706830868023706</v>
      </c>
      <c r="AA26" s="71">
        <f t="shared" si="1"/>
        <v>81.84574193217</v>
      </c>
      <c r="AB26" s="3"/>
    </row>
    <row r="27" spans="1:28" ht="18" customHeight="1">
      <c r="A27" s="79">
        <v>19</v>
      </c>
      <c r="B27" s="75">
        <v>26</v>
      </c>
      <c r="C27" s="115">
        <f>'[1]cálculos teóricos'!K52</f>
        <v>1.033090518262219</v>
      </c>
      <c r="D27" s="58">
        <f t="shared" si="4"/>
        <v>391.1807578305075</v>
      </c>
      <c r="E27" s="59">
        <f t="shared" si="5"/>
        <v>16.377955968847687</v>
      </c>
      <c r="F27" s="60">
        <f t="shared" si="6"/>
        <v>20.801527441059612</v>
      </c>
      <c r="G27" s="61">
        <f>'[1]cálculos teóricos'!T52</f>
        <v>39.54105409544276</v>
      </c>
      <c r="H27" s="74">
        <f t="shared" si="7"/>
        <v>52.607417573769375</v>
      </c>
      <c r="I27" s="111"/>
      <c r="J27" s="111">
        <v>0.6</v>
      </c>
      <c r="K27" s="111">
        <v>1</v>
      </c>
      <c r="L27" s="111">
        <v>1</v>
      </c>
      <c r="M27" s="111">
        <v>1</v>
      </c>
      <c r="N27" s="111">
        <v>1</v>
      </c>
      <c r="O27" s="116">
        <v>1</v>
      </c>
      <c r="P27" s="113">
        <v>1</v>
      </c>
      <c r="Q27" s="111">
        <v>1</v>
      </c>
      <c r="R27" s="111"/>
      <c r="S27" s="111"/>
      <c r="T27" s="111"/>
      <c r="U27" s="111"/>
      <c r="V27" s="116"/>
      <c r="W27" s="67">
        <f t="shared" si="0"/>
        <v>5.6</v>
      </c>
      <c r="X27" s="68">
        <f t="shared" si="2"/>
        <v>2</v>
      </c>
      <c r="Y27" s="117">
        <f t="shared" si="3"/>
        <v>7.6</v>
      </c>
      <c r="Z27" s="70">
        <f>'[1]cálculos teóricos'!I52</f>
        <v>12.685226483584112</v>
      </c>
      <c r="AA27" s="71">
        <f t="shared" si="1"/>
        <v>59.912213706512233</v>
      </c>
      <c r="AB27" s="3"/>
    </row>
    <row r="28" spans="1:28" ht="18" customHeight="1">
      <c r="A28" s="79">
        <v>20</v>
      </c>
      <c r="B28" s="75">
        <v>24.6</v>
      </c>
      <c r="C28" s="115">
        <f>'[1]cálculos teóricos'!K53</f>
        <v>1.0326345867874447</v>
      </c>
      <c r="D28" s="58">
        <f t="shared" si="4"/>
        <v>369.95383559510225</v>
      </c>
      <c r="E28" s="59">
        <f t="shared" si="5"/>
        <v>15.489227188695741</v>
      </c>
      <c r="F28" s="60">
        <f t="shared" si="6"/>
        <v>19.690616465869674</v>
      </c>
      <c r="G28" s="61">
        <f>'[1]cálculos teóricos'!T53</f>
        <v>39.410519361176185</v>
      </c>
      <c r="H28" s="74">
        <f t="shared" si="7"/>
        <v>49.962844400541329</v>
      </c>
      <c r="I28" s="111"/>
      <c r="J28" s="111"/>
      <c r="K28" s="111">
        <v>0.5</v>
      </c>
      <c r="L28" s="111">
        <v>1</v>
      </c>
      <c r="M28" s="111">
        <v>0.7</v>
      </c>
      <c r="N28" s="111">
        <v>0.9</v>
      </c>
      <c r="O28" s="116">
        <v>0.6</v>
      </c>
      <c r="P28" s="113">
        <v>0.8</v>
      </c>
      <c r="Q28" s="111">
        <v>0.2</v>
      </c>
      <c r="R28" s="111"/>
      <c r="S28" s="111">
        <v>0.2</v>
      </c>
      <c r="T28" s="111">
        <v>0.1</v>
      </c>
      <c r="U28" s="111"/>
      <c r="V28" s="116"/>
      <c r="W28" s="67">
        <f t="shared" si="0"/>
        <v>3.7</v>
      </c>
      <c r="X28" s="68">
        <f t="shared" si="2"/>
        <v>1.3</v>
      </c>
      <c r="Y28" s="117">
        <f t="shared" si="3"/>
        <v>5</v>
      </c>
      <c r="Z28" s="70">
        <f>'[1]cálculos teóricos'!I53</f>
        <v>12.663496695599086</v>
      </c>
      <c r="AA28" s="71">
        <f t="shared" si="1"/>
        <v>39.483565402102862</v>
      </c>
      <c r="AB28" s="3"/>
    </row>
    <row r="29" spans="1:28" ht="18" customHeight="1">
      <c r="A29" s="79">
        <v>21</v>
      </c>
      <c r="B29" s="75">
        <v>12.3</v>
      </c>
      <c r="C29" s="115">
        <f>'[1]cálculos teóricos'!K54</f>
        <v>1.032166435907075</v>
      </c>
      <c r="D29" s="58">
        <f t="shared" si="4"/>
        <v>184.89305743879206</v>
      </c>
      <c r="E29" s="59">
        <f t="shared" si="5"/>
        <v>7.7411025288473461</v>
      </c>
      <c r="F29" s="60">
        <f t="shared" si="6"/>
        <v>10.005460641059182</v>
      </c>
      <c r="G29" s="61">
        <f>'[1]cálculos teóricos'!T54</f>
        <v>39.277634272380226</v>
      </c>
      <c r="H29" s="74">
        <f t="shared" si="7"/>
        <v>25.473684518965431</v>
      </c>
      <c r="I29" s="111"/>
      <c r="J29" s="111"/>
      <c r="K29" s="111"/>
      <c r="L29" s="111"/>
      <c r="M29" s="111"/>
      <c r="N29" s="111"/>
      <c r="O29" s="116"/>
      <c r="P29" s="113"/>
      <c r="Q29" s="111"/>
      <c r="R29" s="111"/>
      <c r="S29" s="111">
        <v>0.3</v>
      </c>
      <c r="T29" s="111">
        <v>0.6</v>
      </c>
      <c r="U29" s="111">
        <v>0.5</v>
      </c>
      <c r="V29" s="116"/>
      <c r="W29" s="67">
        <f t="shared" si="0"/>
        <v>0</v>
      </c>
      <c r="X29" s="68">
        <f t="shared" si="2"/>
        <v>1.4</v>
      </c>
      <c r="Y29" s="117">
        <f t="shared" si="3"/>
        <v>1.4</v>
      </c>
      <c r="Z29" s="70">
        <f>'[1]cálculos teóricos'!I54</f>
        <v>12.641648154765646</v>
      </c>
      <c r="AA29" s="71">
        <f t="shared" si="1"/>
        <v>11.074505340288468</v>
      </c>
      <c r="AB29" s="3"/>
    </row>
    <row r="30" spans="1:28" ht="18" customHeight="1">
      <c r="A30" s="79">
        <v>22</v>
      </c>
      <c r="B30" s="75">
        <v>10.9</v>
      </c>
      <c r="C30" s="115">
        <f>'[1]cálculos teóricos'!K55</f>
        <v>1.0316860165157933</v>
      </c>
      <c r="D30" s="58">
        <f t="shared" si="4"/>
        <v>163.77205638665254</v>
      </c>
      <c r="E30" s="59">
        <f t="shared" si="5"/>
        <v>6.8568084567963687</v>
      </c>
      <c r="F30" s="60">
        <f t="shared" si="6"/>
        <v>8.9000930509954621</v>
      </c>
      <c r="G30" s="61">
        <f>'[1]cálculos teóricos'!T55</f>
        <v>39.142421364509971</v>
      </c>
      <c r="H30" s="74">
        <f t="shared" si="7"/>
        <v>22.737717138432025</v>
      </c>
      <c r="I30" s="111"/>
      <c r="J30" s="111"/>
      <c r="K30" s="111"/>
      <c r="L30" s="111"/>
      <c r="M30" s="111"/>
      <c r="N30" s="111"/>
      <c r="O30" s="116"/>
      <c r="P30" s="113"/>
      <c r="Q30" s="111">
        <v>0.3</v>
      </c>
      <c r="R30" s="111"/>
      <c r="S30" s="111"/>
      <c r="T30" s="111"/>
      <c r="U30" s="111"/>
      <c r="V30" s="116"/>
      <c r="W30" s="67">
        <f t="shared" si="0"/>
        <v>0</v>
      </c>
      <c r="X30" s="68">
        <f t="shared" si="2"/>
        <v>0.3</v>
      </c>
      <c r="Y30" s="117">
        <f t="shared" si="3"/>
        <v>0.3</v>
      </c>
      <c r="Z30" s="70">
        <f>'[1]cálculos teóricos'!I55</f>
        <v>12.619687341902916</v>
      </c>
      <c r="AA30" s="71">
        <f t="shared" si="1"/>
        <v>2.3772379764423164</v>
      </c>
      <c r="AB30" s="3"/>
    </row>
    <row r="31" spans="1:28" ht="18" customHeight="1">
      <c r="A31" s="79">
        <v>23</v>
      </c>
      <c r="B31" s="75">
        <v>17.7</v>
      </c>
      <c r="C31" s="115">
        <f>'[1]cálculos teóricos'!K56</f>
        <v>1.0311932886709996</v>
      </c>
      <c r="D31" s="58">
        <f t="shared" si="4"/>
        <v>265.81476723421378</v>
      </c>
      <c r="E31" s="59">
        <f t="shared" si="5"/>
        <v>11.129132674562062</v>
      </c>
      <c r="F31" s="60">
        <f t="shared" si="6"/>
        <v>14.240498323202578</v>
      </c>
      <c r="G31" s="61">
        <f>'[1]cálculos teóricos'!T56</f>
        <v>39.004904799834748</v>
      </c>
      <c r="H31" s="74">
        <f t="shared" si="7"/>
        <v>36.509506679434097</v>
      </c>
      <c r="I31" s="111"/>
      <c r="J31" s="111"/>
      <c r="K31" s="111">
        <v>0.2</v>
      </c>
      <c r="L31" s="111">
        <v>0.2</v>
      </c>
      <c r="M31" s="111">
        <v>0.2</v>
      </c>
      <c r="N31" s="111"/>
      <c r="O31" s="116">
        <v>0.1</v>
      </c>
      <c r="P31" s="113">
        <v>0.1</v>
      </c>
      <c r="Q31" s="111">
        <v>0.2</v>
      </c>
      <c r="R31" s="111"/>
      <c r="S31" s="111"/>
      <c r="T31" s="111"/>
      <c r="U31" s="111"/>
      <c r="V31" s="116"/>
      <c r="W31" s="67">
        <f t="shared" si="0"/>
        <v>0.70000000000000007</v>
      </c>
      <c r="X31" s="68">
        <f t="shared" si="2"/>
        <v>0.30000000000000004</v>
      </c>
      <c r="Y31" s="117">
        <f t="shared" si="3"/>
        <v>1</v>
      </c>
      <c r="Z31" s="70">
        <f>'[1]cálculos teóricos'!I56</f>
        <v>12.597620569540034</v>
      </c>
      <c r="AA31" s="71">
        <f t="shared" si="1"/>
        <v>7.9380069790156584</v>
      </c>
      <c r="AB31" s="3"/>
    </row>
    <row r="32" spans="1:28" ht="18" customHeight="1">
      <c r="A32" s="79">
        <v>24</v>
      </c>
      <c r="B32" s="75">
        <v>22.5</v>
      </c>
      <c r="C32" s="115">
        <f>'[1]cálculos teóricos'!K57</f>
        <v>1.0306882216920989</v>
      </c>
      <c r="D32" s="58">
        <f t="shared" si="4"/>
        <v>337.73462812378989</v>
      </c>
      <c r="E32" s="59">
        <f t="shared" si="5"/>
        <v>14.140273410286834</v>
      </c>
      <c r="F32" s="60">
        <f t="shared" si="6"/>
        <v>18.004424242858544</v>
      </c>
      <c r="G32" s="61">
        <f>'[1]cálculos teóricos'!T57</f>
        <v>38.865110362118791</v>
      </c>
      <c r="H32" s="74">
        <f t="shared" si="7"/>
        <v>46.325416485648717</v>
      </c>
      <c r="I32" s="111"/>
      <c r="J32" s="111"/>
      <c r="K32" s="111">
        <v>0.1</v>
      </c>
      <c r="L32" s="111">
        <v>0.7</v>
      </c>
      <c r="M32" s="111">
        <v>0.9</v>
      </c>
      <c r="N32" s="111">
        <v>0.9</v>
      </c>
      <c r="O32" s="116">
        <v>0.8</v>
      </c>
      <c r="P32" s="113">
        <v>0.3</v>
      </c>
      <c r="Q32" s="111">
        <v>0.2</v>
      </c>
      <c r="R32" s="111">
        <v>0.1</v>
      </c>
      <c r="S32" s="111">
        <v>0.3</v>
      </c>
      <c r="T32" s="111"/>
      <c r="U32" s="111"/>
      <c r="V32" s="116"/>
      <c r="W32" s="67">
        <f t="shared" si="0"/>
        <v>3.4000000000000004</v>
      </c>
      <c r="X32" s="68">
        <f t="shared" si="2"/>
        <v>0.89999999999999991</v>
      </c>
      <c r="Y32" s="117">
        <f t="shared" si="3"/>
        <v>4.3000000000000007</v>
      </c>
      <c r="Z32" s="70">
        <f>'[1]cálculos teóricos'!I57</f>
        <v>12.575453983919491</v>
      </c>
      <c r="AA32" s="71">
        <f t="shared" si="1"/>
        <v>34.193596553241775</v>
      </c>
      <c r="AB32" s="3"/>
    </row>
    <row r="33" spans="1:28" ht="18" customHeight="1">
      <c r="A33" s="79">
        <v>25</v>
      </c>
      <c r="B33" s="75">
        <v>23.3</v>
      </c>
      <c r="C33" s="115">
        <f>'[1]cálculos teóricos'!K58</f>
        <v>1.0301707942472205</v>
      </c>
      <c r="D33" s="58">
        <f t="shared" si="4"/>
        <v>349.56739203505191</v>
      </c>
      <c r="E33" s="59">
        <f t="shared" si="5"/>
        <v>14.635687569723553</v>
      </c>
      <c r="F33" s="60">
        <f t="shared" si="6"/>
        <v>18.623691942154441</v>
      </c>
      <c r="G33" s="61">
        <f>'[1]cálculos teóricos'!T58</f>
        <v>38.723065448843045</v>
      </c>
      <c r="H33" s="74">
        <f t="shared" si="7"/>
        <v>48.094570319486095</v>
      </c>
      <c r="I33" s="111"/>
      <c r="J33" s="111">
        <v>0.1</v>
      </c>
      <c r="K33" s="111">
        <v>1</v>
      </c>
      <c r="L33" s="111">
        <v>1</v>
      </c>
      <c r="M33" s="111">
        <v>1</v>
      </c>
      <c r="N33" s="111">
        <v>1</v>
      </c>
      <c r="O33" s="116">
        <v>0.8</v>
      </c>
      <c r="P33" s="113">
        <v>0.5</v>
      </c>
      <c r="Q33" s="111">
        <v>0.8</v>
      </c>
      <c r="R33" s="111">
        <v>0.2</v>
      </c>
      <c r="S33" s="111"/>
      <c r="T33" s="111"/>
      <c r="U33" s="111"/>
      <c r="V33" s="116"/>
      <c r="W33" s="67">
        <f t="shared" si="0"/>
        <v>4.8999999999999995</v>
      </c>
      <c r="X33" s="68">
        <f t="shared" si="2"/>
        <v>1.5</v>
      </c>
      <c r="Y33" s="117">
        <f t="shared" si="3"/>
        <v>6.3999999999999995</v>
      </c>
      <c r="Z33" s="70">
        <f>'[1]cálculos teóricos'!I58</f>
        <v>12.553193567392162</v>
      </c>
      <c r="AA33" s="71">
        <f t="shared" si="1"/>
        <v>50.983042407825749</v>
      </c>
      <c r="AB33" s="3"/>
    </row>
    <row r="34" spans="1:28" ht="18" customHeight="1">
      <c r="A34" s="79">
        <v>26</v>
      </c>
      <c r="B34" s="75">
        <v>9.8000000000000007</v>
      </c>
      <c r="C34" s="115">
        <f>'[1]cálculos teóricos'!K59</f>
        <v>1.0296409944279203</v>
      </c>
      <c r="D34" s="58">
        <f t="shared" si="4"/>
        <v>146.95273089903998</v>
      </c>
      <c r="E34" s="59">
        <f t="shared" si="5"/>
        <v>6.1526169372810058</v>
      </c>
      <c r="F34" s="60">
        <f t="shared" si="6"/>
        <v>8.0198536516012595</v>
      </c>
      <c r="G34" s="61">
        <f>'[1]cálculos teóricos'!T59</f>
        <v>38.578799061075529</v>
      </c>
      <c r="H34" s="74">
        <f t="shared" si="7"/>
        <v>20.788240813055719</v>
      </c>
      <c r="I34" s="111"/>
      <c r="J34" s="111"/>
      <c r="K34" s="111"/>
      <c r="L34" s="111"/>
      <c r="M34" s="111"/>
      <c r="N34" s="111"/>
      <c r="O34" s="116"/>
      <c r="P34" s="113"/>
      <c r="Q34" s="111"/>
      <c r="R34" s="111">
        <v>0.1</v>
      </c>
      <c r="S34" s="111"/>
      <c r="T34" s="111"/>
      <c r="U34" s="111"/>
      <c r="V34" s="116"/>
      <c r="W34" s="67">
        <f t="shared" si="0"/>
        <v>0</v>
      </c>
      <c r="X34" s="68">
        <f t="shared" si="2"/>
        <v>0.1</v>
      </c>
      <c r="Y34" s="117">
        <f t="shared" si="3"/>
        <v>0.1</v>
      </c>
      <c r="Z34" s="70">
        <f>'[1]cálculos teóricos'!I59</f>
        <v>12.530845141180563</v>
      </c>
      <c r="AA34" s="71">
        <f t="shared" si="1"/>
        <v>0.79803077025799662</v>
      </c>
      <c r="AB34" s="3"/>
    </row>
    <row r="35" spans="1:28" ht="18" customHeight="1">
      <c r="A35" s="79">
        <v>27</v>
      </c>
      <c r="B35" s="75">
        <v>13.3</v>
      </c>
      <c r="C35" s="115">
        <f>'[1]cálculos teóricos'!K60</f>
        <v>1.0290988198124356</v>
      </c>
      <c r="D35" s="58">
        <f t="shared" si="4"/>
        <v>199.3308328091008</v>
      </c>
      <c r="E35" s="59">
        <f t="shared" si="5"/>
        <v>8.3455833080514328</v>
      </c>
      <c r="F35" s="60">
        <f t="shared" si="6"/>
        <v>10.761061615064289</v>
      </c>
      <c r="G35" s="61">
        <f>'[1]cálculos teóricos'!T60</f>
        <v>38.432341791103383</v>
      </c>
      <c r="H35" s="74">
        <f t="shared" si="7"/>
        <v>28.000015386924307</v>
      </c>
      <c r="I35" s="111"/>
      <c r="J35" s="111"/>
      <c r="K35" s="111"/>
      <c r="L35" s="111"/>
      <c r="M35" s="111"/>
      <c r="N35" s="111">
        <v>0.3</v>
      </c>
      <c r="O35" s="116"/>
      <c r="P35" s="113">
        <v>0.2</v>
      </c>
      <c r="Q35" s="111"/>
      <c r="R35" s="111"/>
      <c r="S35" s="111"/>
      <c r="T35" s="111"/>
      <c r="U35" s="111"/>
      <c r="V35" s="116"/>
      <c r="W35" s="67">
        <f t="shared" si="0"/>
        <v>0.3</v>
      </c>
      <c r="X35" s="68">
        <f t="shared" si="2"/>
        <v>0.2</v>
      </c>
      <c r="Y35" s="117">
        <f t="shared" si="3"/>
        <v>0.5</v>
      </c>
      <c r="Z35" s="70">
        <f>'[1]cálculos teóricos'!I60</f>
        <v>12.508414368487685</v>
      </c>
      <c r="AA35" s="71">
        <f t="shared" si="1"/>
        <v>3.9973092133855483</v>
      </c>
      <c r="AB35" s="3"/>
    </row>
    <row r="36" spans="1:28" ht="18" customHeight="1">
      <c r="A36" s="79">
        <v>28</v>
      </c>
      <c r="B36" s="75">
        <v>9.6999999999999993</v>
      </c>
      <c r="C36" s="115">
        <f>'[1]cálculos teóricos'!K61</f>
        <v>1.0285442775180771</v>
      </c>
      <c r="D36" s="58">
        <f t="shared" si="4"/>
        <v>145.29828448065481</v>
      </c>
      <c r="E36" s="59">
        <f t="shared" si="5"/>
        <v>6.0833485746360552</v>
      </c>
      <c r="F36" s="60">
        <f t="shared" si="6"/>
        <v>7.9332681982950701</v>
      </c>
      <c r="G36" s="61">
        <f>'[1]cálculos teóricos'!T61</f>
        <v>38.283725807943732</v>
      </c>
      <c r="H36" s="74">
        <f t="shared" si="7"/>
        <v>20.722299177706851</v>
      </c>
      <c r="I36" s="111"/>
      <c r="J36" s="111"/>
      <c r="K36" s="111">
        <v>0.3</v>
      </c>
      <c r="L36" s="111"/>
      <c r="M36" s="111"/>
      <c r="N36" s="111"/>
      <c r="O36" s="116"/>
      <c r="P36" s="113"/>
      <c r="Q36" s="111"/>
      <c r="R36" s="111"/>
      <c r="S36" s="111"/>
      <c r="T36" s="111"/>
      <c r="U36" s="111"/>
      <c r="V36" s="116"/>
      <c r="W36" s="67">
        <f t="shared" si="0"/>
        <v>0.3</v>
      </c>
      <c r="X36" s="68">
        <f t="shared" si="2"/>
        <v>0</v>
      </c>
      <c r="Y36" s="117">
        <f t="shared" si="3"/>
        <v>0.3</v>
      </c>
      <c r="Z36" s="70">
        <f>'[1]cálculos teóricos'!I61</f>
        <v>12.485906757928969</v>
      </c>
      <c r="AA36" s="71">
        <f t="shared" si="1"/>
        <v>2.4027089567162587</v>
      </c>
      <c r="AB36" s="3"/>
    </row>
    <row r="37" spans="1:28" ht="18" customHeight="1">
      <c r="A37" s="79">
        <v>29</v>
      </c>
      <c r="B37" s="75">
        <v>15.5</v>
      </c>
      <c r="C37" s="115">
        <f>'[1]cálculos teóricos'!K62</f>
        <v>1.0285442775180771</v>
      </c>
      <c r="D37" s="58">
        <f t="shared" si="4"/>
        <v>232.17767107733499</v>
      </c>
      <c r="E37" s="59">
        <f t="shared" si="5"/>
        <v>9.7208147326658612</v>
      </c>
      <c r="F37" s="60">
        <f t="shared" si="6"/>
        <v>12.480100895832328</v>
      </c>
      <c r="G37" s="61">
        <f>'[1]cálculos teóricos'!T62</f>
        <v>38.283725807943732</v>
      </c>
      <c r="H37" s="74">
        <f t="shared" si="7"/>
        <v>32.598971579831847</v>
      </c>
      <c r="I37" s="78"/>
      <c r="J37" s="80"/>
      <c r="K37" s="80"/>
      <c r="L37" s="80"/>
      <c r="M37" s="80"/>
      <c r="N37" s="80"/>
      <c r="O37" s="76"/>
      <c r="P37" s="81">
        <v>0.2</v>
      </c>
      <c r="Q37" s="80">
        <v>0.1</v>
      </c>
      <c r="R37" s="80">
        <v>0.5</v>
      </c>
      <c r="S37" s="80">
        <v>0.8</v>
      </c>
      <c r="T37" s="80"/>
      <c r="U37" s="80"/>
      <c r="V37" s="77"/>
      <c r="W37" s="67">
        <f t="shared" si="0"/>
        <v>0</v>
      </c>
      <c r="X37" s="68">
        <f t="shared" si="2"/>
        <v>1.6</v>
      </c>
      <c r="Y37" s="117">
        <f t="shared" si="3"/>
        <v>1.6</v>
      </c>
      <c r="Z37" s="70">
        <f>'[1]cálculos teóricos'!I62</f>
        <v>12.485906757928969</v>
      </c>
      <c r="AA37" s="71">
        <f t="shared" si="1"/>
        <v>12.81444776915338</v>
      </c>
      <c r="AB37" s="3"/>
    </row>
    <row r="38" spans="1:28" ht="18" customHeight="1" thickBot="1">
      <c r="A38" s="118"/>
      <c r="B38" s="87"/>
      <c r="C38" s="88"/>
      <c r="D38" s="89"/>
      <c r="E38" s="119"/>
      <c r="F38" s="91"/>
      <c r="G38" s="92"/>
      <c r="H38" s="93"/>
      <c r="I38" s="94"/>
      <c r="J38" s="87"/>
      <c r="K38" s="87"/>
      <c r="L38" s="87"/>
      <c r="M38" s="87"/>
      <c r="N38" s="87"/>
      <c r="O38" s="95"/>
      <c r="P38" s="94"/>
      <c r="Q38" s="87"/>
      <c r="R38" s="87"/>
      <c r="S38" s="87"/>
      <c r="T38" s="87"/>
      <c r="U38" s="87"/>
      <c r="V38" s="95"/>
      <c r="W38" s="67"/>
      <c r="X38" s="68"/>
      <c r="Y38" s="120"/>
      <c r="Z38" s="121"/>
      <c r="AA38" s="122"/>
      <c r="AB38" s="3"/>
    </row>
    <row r="39" spans="1:28" s="105" customFormat="1" ht="15.75" thickTop="1">
      <c r="A39" s="100"/>
      <c r="B39" s="100"/>
      <c r="C39" s="100"/>
      <c r="D39" s="100"/>
      <c r="E39" s="100"/>
      <c r="F39" s="100"/>
      <c r="G39" s="100"/>
      <c r="H39" s="100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67">
        <f t="shared" si="0"/>
        <v>0</v>
      </c>
      <c r="X39" s="68">
        <f t="shared" si="2"/>
        <v>0</v>
      </c>
      <c r="Y39" s="124">
        <f t="shared" si="3"/>
        <v>0</v>
      </c>
      <c r="Z39" s="125"/>
      <c r="AA39" s="125"/>
      <c r="AB39" s="100"/>
    </row>
    <row r="40" spans="1:28" s="105" customFormat="1" ht="15">
      <c r="A40" s="100"/>
      <c r="B40" s="100" t="s">
        <v>50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</row>
    <row r="41" spans="1:28" s="105" customFormat="1" ht="15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8" s="105" customFormat="1" ht="15">
      <c r="A42" s="100"/>
      <c r="B42" s="100" t="s">
        <v>51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 t="s">
        <v>52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 s="105" customFormat="1" ht="1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 t="s">
        <v>53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 t="s">
        <v>54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">
      <c r="A50" s="3"/>
      <c r="B50" s="100" t="s">
        <v>55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">
      <c r="A52" s="3"/>
      <c r="B52" s="100" t="s">
        <v>56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">
      <c r="B54" s="105" t="s">
        <v>57</v>
      </c>
    </row>
  </sheetData>
  <sheetProtection selectLockedCells="1" selectUnlockedCells="1"/>
  <mergeCells count="2">
    <mergeCell ref="I5:W5"/>
    <mergeCell ref="I7:U7"/>
  </mergeCells>
  <pageMargins left="0" right="0" top="0.39374999999999999" bottom="0.98402777777777772" header="0.51180555555555551" footer="0.51180555555555551"/>
  <pageSetup paperSize="39" scale="50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31" sqref="A31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62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63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2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64</v>
      </c>
      <c r="C3" s="3"/>
      <c r="D3" s="107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65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126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53" t="s">
        <v>49</v>
      </c>
      <c r="Z8" s="51" t="s">
        <v>49</v>
      </c>
      <c r="AA8" s="54" t="s">
        <v>49</v>
      </c>
      <c r="AB8" s="3"/>
    </row>
    <row r="9" spans="1:28" ht="18" customHeight="1">
      <c r="A9" s="72">
        <v>1</v>
      </c>
      <c r="B9" s="56">
        <v>15</v>
      </c>
      <c r="C9" s="73">
        <f>'[1]cálculos teóricos'!K63</f>
        <v>1.0279773842433713</v>
      </c>
      <c r="D9" s="58">
        <f>IF(B9&gt;0,B9*C9*14.25*1.022,-999)</f>
        <v>224.56422953142507</v>
      </c>
      <c r="E9" s="59">
        <f>IF(B9&gt;0,D9*4.1868/100,-999)</f>
        <v>9.4020551620217034</v>
      </c>
      <c r="F9" s="60">
        <f>IF(B9&gt;0,(7.86+1.25*D9)*4.1868/100,-999)</f>
        <v>12.081651432527131</v>
      </c>
      <c r="G9" s="61">
        <f>'[1]cálculos teóricos'!T63</f>
        <v>38.132984840855237</v>
      </c>
      <c r="H9" s="62">
        <f>IF(B9&gt;0,100*F9/G9,-999)</f>
        <v>31.682941901739067</v>
      </c>
      <c r="I9" s="127"/>
      <c r="J9" s="127"/>
      <c r="K9" s="127"/>
      <c r="L9" s="127"/>
      <c r="M9" s="127"/>
      <c r="N9" s="127">
        <v>0.2</v>
      </c>
      <c r="O9" s="128">
        <v>0.5</v>
      </c>
      <c r="P9" s="129">
        <v>0.8</v>
      </c>
      <c r="Q9" s="127">
        <v>0.2</v>
      </c>
      <c r="R9" s="127"/>
      <c r="S9" s="127"/>
      <c r="T9" s="127"/>
      <c r="U9" s="127"/>
      <c r="V9" s="64"/>
      <c r="W9" s="67">
        <f t="shared" ref="W9:W39" si="0">SUM(I9:O9)</f>
        <v>0.7</v>
      </c>
      <c r="X9" s="68">
        <f>SUM(P9:V9)</f>
        <v>1</v>
      </c>
      <c r="Y9" s="114">
        <f>W9+X9</f>
        <v>1.7</v>
      </c>
      <c r="Z9" s="70">
        <f>'[1]cálculos teóricos'!I63</f>
        <v>12.463327667266025</v>
      </c>
      <c r="AA9" s="71">
        <f>100*Y9/Z9</f>
        <v>13.640016899057542</v>
      </c>
      <c r="AB9" s="3"/>
    </row>
    <row r="10" spans="1:28" ht="18" customHeight="1">
      <c r="A10" s="72">
        <v>2</v>
      </c>
      <c r="B10" s="56">
        <v>20</v>
      </c>
      <c r="C10" s="115">
        <f>'[1]cálculos teóricos'!K64</f>
        <v>1.027398166300562</v>
      </c>
      <c r="D10" s="58">
        <f>IF(B10&gt;0,B10*C10*14.25*1.022,-999)</f>
        <v>299.25026389836472</v>
      </c>
      <c r="E10" s="59">
        <f>IF(B10&gt;0,D10*4.1868/100,-999)</f>
        <v>12.529010048896735</v>
      </c>
      <c r="F10" s="60">
        <f>IF(B10&gt;0,(7.86+1.25*D10)*4.1868/100,-999)</f>
        <v>15.990345041120918</v>
      </c>
      <c r="G10" s="61">
        <f>'[1]cálculos teóricos'!T64</f>
        <v>37.980154160973754</v>
      </c>
      <c r="H10" s="74">
        <f>IF(B10&gt;0,100*F10/G10,-999)</f>
        <v>42.101843434726462</v>
      </c>
      <c r="I10" s="130"/>
      <c r="J10" s="129"/>
      <c r="K10" s="127"/>
      <c r="L10" s="127">
        <v>0.6</v>
      </c>
      <c r="M10" s="127">
        <v>0.3</v>
      </c>
      <c r="N10" s="127">
        <v>0.6</v>
      </c>
      <c r="O10" s="131">
        <v>0.5</v>
      </c>
      <c r="P10" s="129">
        <v>0.7</v>
      </c>
      <c r="Q10" s="127">
        <v>0.9</v>
      </c>
      <c r="R10" s="127"/>
      <c r="S10" s="127"/>
      <c r="T10" s="127"/>
      <c r="U10" s="127"/>
      <c r="V10" s="77"/>
      <c r="W10" s="67">
        <f t="shared" si="0"/>
        <v>2</v>
      </c>
      <c r="X10" s="68">
        <f t="shared" ref="X10:X39" si="1">SUM(P10:V10)</f>
        <v>1.6</v>
      </c>
      <c r="Y10" s="117">
        <f t="shared" ref="Y10:Y39" si="2">W10+X10</f>
        <v>3.6</v>
      </c>
      <c r="Z10" s="70">
        <f>'[1]cálculos teóricos'!I64</f>
        <v>12.440682307421085</v>
      </c>
      <c r="AA10" s="71">
        <f t="shared" ref="AA10:AA39" si="3">100*Y10/Z10</f>
        <v>28.937319602257965</v>
      </c>
      <c r="AB10" s="3"/>
    </row>
    <row r="11" spans="1:28" ht="18" customHeight="1">
      <c r="A11" s="72">
        <v>3</v>
      </c>
      <c r="B11" s="56">
        <v>16.3</v>
      </c>
      <c r="C11" s="115">
        <f>'[1]cálculos teóricos'!K65</f>
        <v>1.0268066596390977</v>
      </c>
      <c r="D11" s="58">
        <f t="shared" ref="D11:D39" si="4">IF(B11&gt;0,B11*C11*14.25*1.022,-999)</f>
        <v>243.7485502387602</v>
      </c>
      <c r="E11" s="59">
        <f t="shared" ref="E11:E39" si="5">IF(B11&gt;0,D11*4.1868/100,-999)</f>
        <v>10.205264301396411</v>
      </c>
      <c r="F11" s="60">
        <f t="shared" ref="F11:F39" si="6">IF(B11&gt;0,(7.86+1.25*D11)*4.1868/100,-999)</f>
        <v>13.085662856745516</v>
      </c>
      <c r="G11" s="61">
        <f>'[1]cálculos teóricos'!T65</f>
        <v>37.825270561198415</v>
      </c>
      <c r="H11" s="74">
        <f t="shared" ref="H11:H39" si="7">IF(B11&gt;0,100*F11/G11,-999)</f>
        <v>34.595027775343752</v>
      </c>
      <c r="I11" s="130"/>
      <c r="J11" s="129"/>
      <c r="K11" s="127"/>
      <c r="L11" s="127">
        <v>0.1</v>
      </c>
      <c r="M11" s="127">
        <v>0.2</v>
      </c>
      <c r="N11" s="129">
        <v>0.3</v>
      </c>
      <c r="O11" s="131">
        <v>0.5</v>
      </c>
      <c r="P11" s="129">
        <v>0.1</v>
      </c>
      <c r="Q11" s="127"/>
      <c r="R11" s="127"/>
      <c r="S11" s="127"/>
      <c r="T11" s="127"/>
      <c r="U11" s="127"/>
      <c r="V11" s="77"/>
      <c r="W11" s="67">
        <f t="shared" si="0"/>
        <v>1.1000000000000001</v>
      </c>
      <c r="X11" s="68">
        <f t="shared" si="1"/>
        <v>0.1</v>
      </c>
      <c r="Y11" s="117">
        <f t="shared" si="2"/>
        <v>1.2000000000000002</v>
      </c>
      <c r="Z11" s="70">
        <f>'[1]cálculos teóricos'!I65</f>
        <v>12.417975746751987</v>
      </c>
      <c r="AA11" s="71">
        <f t="shared" si="3"/>
        <v>9.6634107238763853</v>
      </c>
      <c r="AB11" s="3"/>
    </row>
    <row r="12" spans="1:28" ht="18" customHeight="1">
      <c r="A12" s="72">
        <v>4</v>
      </c>
      <c r="B12" s="56">
        <v>24.1</v>
      </c>
      <c r="C12" s="115">
        <f>'[1]cálculos teóricos'!K66</f>
        <v>1.0262029098607273</v>
      </c>
      <c r="D12" s="58">
        <f t="shared" si="4"/>
        <v>360.17705647393655</v>
      </c>
      <c r="E12" s="59">
        <f t="shared" si="5"/>
        <v>15.079893000450774</v>
      </c>
      <c r="F12" s="60">
        <f t="shared" si="6"/>
        <v>19.178948730563469</v>
      </c>
      <c r="G12" s="61">
        <f>'[1]cálculos teóricos'!T66</f>
        <v>37.668372334455164</v>
      </c>
      <c r="H12" s="74">
        <f t="shared" si="7"/>
        <v>50.915257394916786</v>
      </c>
      <c r="I12" s="130"/>
      <c r="J12" s="129"/>
      <c r="K12" s="127">
        <v>0.3</v>
      </c>
      <c r="L12" s="127">
        <v>0.7</v>
      </c>
      <c r="M12" s="127">
        <v>1</v>
      </c>
      <c r="N12" s="129">
        <v>0.6</v>
      </c>
      <c r="O12" s="131">
        <v>0.8</v>
      </c>
      <c r="P12" s="129">
        <v>0.8</v>
      </c>
      <c r="Q12" s="127">
        <v>0.4</v>
      </c>
      <c r="R12" s="127">
        <v>0.4</v>
      </c>
      <c r="S12" s="127">
        <v>1</v>
      </c>
      <c r="T12" s="127">
        <v>0.3</v>
      </c>
      <c r="U12" s="127"/>
      <c r="V12" s="77"/>
      <c r="W12" s="67">
        <f t="shared" si="0"/>
        <v>3.4000000000000004</v>
      </c>
      <c r="X12" s="68">
        <f t="shared" si="1"/>
        <v>2.9</v>
      </c>
      <c r="Y12" s="117">
        <f t="shared" si="2"/>
        <v>6.3000000000000007</v>
      </c>
      <c r="Z12" s="70">
        <f>'[1]cálculos teóricos'!I66</f>
        <v>12.395212915568337</v>
      </c>
      <c r="AA12" s="71">
        <f t="shared" si="3"/>
        <v>50.826073282591437</v>
      </c>
      <c r="AB12" s="3"/>
    </row>
    <row r="13" spans="1:28" ht="18" customHeight="1">
      <c r="A13" s="72">
        <v>5</v>
      </c>
      <c r="B13" s="132">
        <v>-99</v>
      </c>
      <c r="C13" s="115">
        <f>'[1]cálculos teóricos'!K67</f>
        <v>1.0255869722268318</v>
      </c>
      <c r="D13" s="58">
        <f t="shared" si="4"/>
        <v>-999</v>
      </c>
      <c r="E13" s="59">
        <f t="shared" si="5"/>
        <v>-999</v>
      </c>
      <c r="F13" s="60">
        <f t="shared" si="6"/>
        <v>-999</v>
      </c>
      <c r="G13" s="61">
        <f>'[1]cálculos teóricos'!T67</f>
        <v>37.509499250465367</v>
      </c>
      <c r="H13" s="74">
        <f t="shared" si="7"/>
        <v>-999</v>
      </c>
      <c r="I13" s="130"/>
      <c r="J13" s="129">
        <v>0.5</v>
      </c>
      <c r="K13" s="127">
        <v>1</v>
      </c>
      <c r="L13" s="127">
        <v>1</v>
      </c>
      <c r="M13" s="127">
        <v>1</v>
      </c>
      <c r="N13" s="129">
        <v>1</v>
      </c>
      <c r="O13" s="131">
        <v>1</v>
      </c>
      <c r="P13" s="129">
        <v>1</v>
      </c>
      <c r="Q13" s="127">
        <v>1</v>
      </c>
      <c r="R13" s="127">
        <v>1</v>
      </c>
      <c r="S13" s="127">
        <v>0.4</v>
      </c>
      <c r="T13" s="127"/>
      <c r="U13" s="127"/>
      <c r="V13" s="77"/>
      <c r="W13" s="67">
        <f t="shared" si="0"/>
        <v>5.5</v>
      </c>
      <c r="X13" s="68">
        <f t="shared" si="1"/>
        <v>3.4</v>
      </c>
      <c r="Y13" s="117">
        <f t="shared" si="2"/>
        <v>8.9</v>
      </c>
      <c r="Z13" s="70">
        <f>'[1]cálculos teóricos'!I67</f>
        <v>12.372398610870075</v>
      </c>
      <c r="AA13" s="71">
        <f t="shared" si="3"/>
        <v>71.934313465949003</v>
      </c>
      <c r="AB13" s="3"/>
    </row>
    <row r="14" spans="1:28" ht="18" customHeight="1">
      <c r="A14" s="72">
        <v>6</v>
      </c>
      <c r="B14" s="56">
        <v>33.700000000000003</v>
      </c>
      <c r="C14" s="115">
        <f>'[1]cálculos teóricos'!K68</f>
        <v>1.0249589116586053</v>
      </c>
      <c r="D14" s="58">
        <f t="shared" si="4"/>
        <v>503.03953300498137</v>
      </c>
      <c r="E14" s="59">
        <f t="shared" si="5"/>
        <v>21.061259167852558</v>
      </c>
      <c r="F14" s="60">
        <f t="shared" si="6"/>
        <v>26.655656439815697</v>
      </c>
      <c r="G14" s="61">
        <f>'[1]cálculos teóricos'!T68</f>
        <v>37.348692531146071</v>
      </c>
      <c r="H14" s="74">
        <f t="shared" si="7"/>
        <v>71.369717742024932</v>
      </c>
      <c r="I14" s="130"/>
      <c r="J14" s="129">
        <v>0.4</v>
      </c>
      <c r="K14" s="127">
        <v>0.8</v>
      </c>
      <c r="L14" s="127">
        <v>1</v>
      </c>
      <c r="M14" s="127">
        <v>1</v>
      </c>
      <c r="N14" s="129">
        <v>1</v>
      </c>
      <c r="O14" s="131">
        <v>1</v>
      </c>
      <c r="P14" s="129">
        <v>1</v>
      </c>
      <c r="Q14" s="127">
        <v>1</v>
      </c>
      <c r="R14" s="127">
        <v>1</v>
      </c>
      <c r="S14" s="127">
        <v>1</v>
      </c>
      <c r="T14" s="127">
        <v>1</v>
      </c>
      <c r="U14" s="127">
        <v>0.7</v>
      </c>
      <c r="V14" s="77"/>
      <c r="W14" s="67">
        <f t="shared" si="0"/>
        <v>5.2</v>
      </c>
      <c r="X14" s="68">
        <f t="shared" si="1"/>
        <v>5.7</v>
      </c>
      <c r="Y14" s="117">
        <f t="shared" si="2"/>
        <v>10.9</v>
      </c>
      <c r="Z14" s="70">
        <f>'[1]cálculos teóricos'!I68</f>
        <v>12.349537501290623</v>
      </c>
      <c r="AA14" s="71">
        <f t="shared" si="3"/>
        <v>88.262414676346097</v>
      </c>
      <c r="AB14" s="3"/>
    </row>
    <row r="15" spans="1:28" ht="18" customHeight="1">
      <c r="A15" s="72">
        <v>7</v>
      </c>
      <c r="B15" s="75">
        <v>32</v>
      </c>
      <c r="C15" s="115">
        <f>'[1]cálculos teóricos'!K69</f>
        <v>1.0243188027306998</v>
      </c>
      <c r="D15" s="58">
        <f t="shared" si="4"/>
        <v>477.36534027419344</v>
      </c>
      <c r="E15" s="59">
        <f t="shared" si="5"/>
        <v>19.986332066599928</v>
      </c>
      <c r="F15" s="60">
        <f t="shared" si="6"/>
        <v>25.311997563249914</v>
      </c>
      <c r="G15" s="61">
        <f>'[1]cálculos teóricos'!T69</f>
        <v>37.185994824767818</v>
      </c>
      <c r="H15" s="74">
        <f t="shared" si="7"/>
        <v>68.068630898616703</v>
      </c>
      <c r="I15" s="130"/>
      <c r="J15" s="129">
        <v>0.6</v>
      </c>
      <c r="K15" s="127">
        <v>1</v>
      </c>
      <c r="L15" s="127">
        <v>1</v>
      </c>
      <c r="M15" s="127">
        <v>1</v>
      </c>
      <c r="N15" s="129">
        <v>1</v>
      </c>
      <c r="O15" s="131">
        <v>1</v>
      </c>
      <c r="P15" s="129">
        <v>0.8</v>
      </c>
      <c r="Q15" s="127">
        <v>0.9</v>
      </c>
      <c r="R15" s="127">
        <v>1</v>
      </c>
      <c r="S15" s="127">
        <v>1</v>
      </c>
      <c r="T15" s="127">
        <v>0.1</v>
      </c>
      <c r="U15" s="127"/>
      <c r="V15" s="77"/>
      <c r="W15" s="67">
        <f t="shared" si="0"/>
        <v>5.6</v>
      </c>
      <c r="X15" s="68">
        <f t="shared" si="1"/>
        <v>3.8000000000000003</v>
      </c>
      <c r="Y15" s="117">
        <f t="shared" si="2"/>
        <v>9.4</v>
      </c>
      <c r="Z15" s="70">
        <f>'[1]cálculos teóricos'!I69</f>
        <v>12.326634132227381</v>
      </c>
      <c r="AA15" s="71">
        <f t="shared" si="3"/>
        <v>76.257637723051744</v>
      </c>
      <c r="AB15" s="3"/>
    </row>
    <row r="16" spans="1:28" ht="18" customHeight="1">
      <c r="A16" s="79">
        <v>8</v>
      </c>
      <c r="B16" s="75">
        <v>19.7</v>
      </c>
      <c r="C16" s="115">
        <f>'[1]cálculos teóricos'!K70</f>
        <v>1.023666729658925</v>
      </c>
      <c r="D16" s="58">
        <f t="shared" si="4"/>
        <v>293.69095722253877</v>
      </c>
      <c r="E16" s="59">
        <f t="shared" si="5"/>
        <v>12.296252996993253</v>
      </c>
      <c r="F16" s="60">
        <f t="shared" si="6"/>
        <v>15.699398726241569</v>
      </c>
      <c r="G16" s="61">
        <f>'[1]cálculos teóricos'!T70</f>
        <v>37.021450178993661</v>
      </c>
      <c r="H16" s="74">
        <f t="shared" si="7"/>
        <v>42.406223014866022</v>
      </c>
      <c r="I16" s="130"/>
      <c r="J16" s="129"/>
      <c r="K16" s="127"/>
      <c r="L16" s="127"/>
      <c r="M16" s="127">
        <v>0.9</v>
      </c>
      <c r="N16" s="129">
        <v>1</v>
      </c>
      <c r="O16" s="131">
        <v>1</v>
      </c>
      <c r="P16" s="129">
        <v>1</v>
      </c>
      <c r="Q16" s="127">
        <v>0.3</v>
      </c>
      <c r="R16" s="127"/>
      <c r="S16" s="127"/>
      <c r="T16" s="127"/>
      <c r="U16" s="127"/>
      <c r="V16" s="77"/>
      <c r="W16" s="67">
        <f t="shared" si="0"/>
        <v>2.9</v>
      </c>
      <c r="X16" s="68">
        <f t="shared" si="1"/>
        <v>1.3</v>
      </c>
      <c r="Y16" s="117">
        <f t="shared" si="2"/>
        <v>4.2</v>
      </c>
      <c r="Z16" s="70">
        <f>'[1]cálculos teóricos'!I70</f>
        <v>12.303692931143221</v>
      </c>
      <c r="AA16" s="71">
        <f t="shared" si="3"/>
        <v>34.136092500885823</v>
      </c>
      <c r="AB16" s="3"/>
    </row>
    <row r="17" spans="1:28" ht="18" customHeight="1">
      <c r="A17" s="79">
        <v>9</v>
      </c>
      <c r="B17" s="75">
        <v>30.9</v>
      </c>
      <c r="C17" s="115">
        <f>'[1]cálculos teóricos'!K71</f>
        <v>1.0230027862825883</v>
      </c>
      <c r="D17" s="58">
        <f t="shared" si="4"/>
        <v>460.36368331101806</v>
      </c>
      <c r="E17" s="59">
        <f t="shared" si="5"/>
        <v>19.274506692865703</v>
      </c>
      <c r="F17" s="60">
        <f t="shared" si="6"/>
        <v>24.422215846082125</v>
      </c>
      <c r="G17" s="61">
        <f>'[1]cálculos teóricos'!T71</f>
        <v>36.855104012919824</v>
      </c>
      <c r="H17" s="74">
        <f t="shared" si="7"/>
        <v>66.265491578916027</v>
      </c>
      <c r="I17" s="130"/>
      <c r="J17" s="129">
        <v>0.8</v>
      </c>
      <c r="K17" s="127">
        <v>1</v>
      </c>
      <c r="L17" s="127">
        <v>1</v>
      </c>
      <c r="M17" s="127">
        <v>1</v>
      </c>
      <c r="N17" s="129">
        <v>1</v>
      </c>
      <c r="O17" s="131">
        <v>1</v>
      </c>
      <c r="P17" s="129">
        <v>1</v>
      </c>
      <c r="Q17" s="127">
        <v>1</v>
      </c>
      <c r="R17" s="127">
        <v>1</v>
      </c>
      <c r="S17" s="127">
        <v>1</v>
      </c>
      <c r="T17" s="127">
        <v>0.8</v>
      </c>
      <c r="U17" s="127"/>
      <c r="V17" s="77"/>
      <c r="W17" s="67">
        <f t="shared" si="0"/>
        <v>5.8</v>
      </c>
      <c r="X17" s="68">
        <f t="shared" si="1"/>
        <v>4.8</v>
      </c>
      <c r="Y17" s="117">
        <f t="shared" si="2"/>
        <v>10.6</v>
      </c>
      <c r="Z17" s="70">
        <f>'[1]cálculos teóricos'!I71</f>
        <v>12.280718213023388</v>
      </c>
      <c r="AA17" s="71">
        <f t="shared" si="3"/>
        <v>86.314170035747352</v>
      </c>
      <c r="AB17" s="3"/>
    </row>
    <row r="18" spans="1:28" ht="18" customHeight="1">
      <c r="A18" s="79">
        <v>10</v>
      </c>
      <c r="B18" s="75">
        <v>29.5</v>
      </c>
      <c r="C18" s="115">
        <f>'[1]cálculos teóricos'!K72</f>
        <v>1.0223270760420269</v>
      </c>
      <c r="D18" s="58">
        <f t="shared" si="4"/>
        <v>439.21548097217271</v>
      </c>
      <c r="E18" s="59">
        <f t="shared" si="5"/>
        <v>18.389073757342928</v>
      </c>
      <c r="F18" s="60">
        <f t="shared" si="6"/>
        <v>23.31542467667866</v>
      </c>
      <c r="G18" s="61">
        <f>'[1]cálculos teóricos'!T72</f>
        <v>36.687003088236096</v>
      </c>
      <c r="H18" s="74">
        <f t="shared" si="7"/>
        <v>63.552273868221434</v>
      </c>
      <c r="I18" s="130"/>
      <c r="J18" s="129"/>
      <c r="K18" s="127">
        <v>0.9</v>
      </c>
      <c r="L18" s="127">
        <v>1</v>
      </c>
      <c r="M18" s="127">
        <v>1</v>
      </c>
      <c r="N18" s="127">
        <v>1</v>
      </c>
      <c r="O18" s="131">
        <v>1</v>
      </c>
      <c r="P18" s="129">
        <v>1</v>
      </c>
      <c r="Q18" s="127">
        <v>0.9</v>
      </c>
      <c r="R18" s="127">
        <v>1</v>
      </c>
      <c r="S18" s="127">
        <v>1</v>
      </c>
      <c r="T18" s="127">
        <v>0.4</v>
      </c>
      <c r="U18" s="127"/>
      <c r="V18" s="77"/>
      <c r="W18" s="67">
        <f t="shared" si="0"/>
        <v>4.9000000000000004</v>
      </c>
      <c r="X18" s="68">
        <f t="shared" si="1"/>
        <v>4.3</v>
      </c>
      <c r="Y18" s="117">
        <f t="shared" si="2"/>
        <v>9.1999999999999993</v>
      </c>
      <c r="Z18" s="70">
        <f>'[1]cálculos teóricos'!I72</f>
        <v>12.25771418597288</v>
      </c>
      <c r="AA18" s="71">
        <f t="shared" si="3"/>
        <v>75.054776611841888</v>
      </c>
      <c r="AB18" s="3"/>
    </row>
    <row r="19" spans="1:28" ht="18" customHeight="1">
      <c r="A19" s="79">
        <v>11</v>
      </c>
      <c r="B19" s="75">
        <v>30.6</v>
      </c>
      <c r="C19" s="115">
        <f>'[1]cálculos teóricos'!K73</f>
        <v>1.0216397119518779</v>
      </c>
      <c r="D19" s="58">
        <f t="shared" si="4"/>
        <v>455.28668831734194</v>
      </c>
      <c r="E19" s="59">
        <f t="shared" si="5"/>
        <v>19.061943066470473</v>
      </c>
      <c r="F19" s="60">
        <f t="shared" si="6"/>
        <v>24.156511313088089</v>
      </c>
      <c r="G19" s="61">
        <f>'[1]cálculos teóricos'!T73</f>
        <v>36.517195479618834</v>
      </c>
      <c r="H19" s="74">
        <f t="shared" si="7"/>
        <v>66.151058414577449</v>
      </c>
      <c r="I19" s="130"/>
      <c r="J19" s="129">
        <v>0.1</v>
      </c>
      <c r="K19" s="127">
        <v>0.3</v>
      </c>
      <c r="L19" s="127">
        <v>1</v>
      </c>
      <c r="M19" s="127">
        <v>1</v>
      </c>
      <c r="N19" s="127">
        <v>1</v>
      </c>
      <c r="O19" s="131">
        <v>1</v>
      </c>
      <c r="P19" s="129">
        <v>1</v>
      </c>
      <c r="Q19" s="127">
        <v>0.9</v>
      </c>
      <c r="R19" s="127">
        <v>1</v>
      </c>
      <c r="S19" s="127">
        <v>1</v>
      </c>
      <c r="T19" s="127">
        <v>1</v>
      </c>
      <c r="U19" s="127">
        <v>0.1</v>
      </c>
      <c r="V19" s="77"/>
      <c r="W19" s="67">
        <f t="shared" si="0"/>
        <v>4.4000000000000004</v>
      </c>
      <c r="X19" s="68">
        <f t="shared" si="1"/>
        <v>5</v>
      </c>
      <c r="Y19" s="117">
        <f t="shared" si="2"/>
        <v>9.4</v>
      </c>
      <c r="Z19" s="70">
        <f>'[1]cálculos teóricos'!I73</f>
        <v>12.234684956940034</v>
      </c>
      <c r="AA19" s="71">
        <f t="shared" si="3"/>
        <v>76.830748262691628</v>
      </c>
      <c r="AB19" s="3"/>
    </row>
    <row r="20" spans="1:28" ht="18" customHeight="1">
      <c r="A20" s="79">
        <v>12</v>
      </c>
      <c r="B20" s="75">
        <v>29.8</v>
      </c>
      <c r="C20" s="115">
        <f>'[1]cálculos teóricos'!K74</f>
        <v>1.0209408165705878</v>
      </c>
      <c r="D20" s="58">
        <f t="shared" si="4"/>
        <v>443.08045314734755</v>
      </c>
      <c r="E20" s="59">
        <f t="shared" si="5"/>
        <v>18.550892412373145</v>
      </c>
      <c r="F20" s="60">
        <f t="shared" si="6"/>
        <v>23.517697995466435</v>
      </c>
      <c r="G20" s="61">
        <f>'[1]cálculos teóricos'!T74</f>
        <v>36.345730544465582</v>
      </c>
      <c r="H20" s="74">
        <f t="shared" si="7"/>
        <v>64.705531139881046</v>
      </c>
      <c r="I20" s="130"/>
      <c r="J20" s="129"/>
      <c r="K20" s="127"/>
      <c r="L20" s="127">
        <v>0.4</v>
      </c>
      <c r="M20" s="127">
        <v>1</v>
      </c>
      <c r="N20" s="127">
        <v>1</v>
      </c>
      <c r="O20" s="131">
        <v>1</v>
      </c>
      <c r="P20" s="129">
        <v>1</v>
      </c>
      <c r="Q20" s="127">
        <v>1</v>
      </c>
      <c r="R20" s="127">
        <v>1</v>
      </c>
      <c r="S20" s="127">
        <v>1</v>
      </c>
      <c r="T20" s="127">
        <v>1</v>
      </c>
      <c r="U20" s="127">
        <v>0.4</v>
      </c>
      <c r="V20" s="77"/>
      <c r="W20" s="67">
        <f t="shared" si="0"/>
        <v>3.4</v>
      </c>
      <c r="X20" s="68">
        <f t="shared" si="1"/>
        <v>5.4</v>
      </c>
      <c r="Y20" s="117">
        <f t="shared" si="2"/>
        <v>8.8000000000000007</v>
      </c>
      <c r="Z20" s="70">
        <f>'[1]cálculos teóricos'!I74</f>
        <v>12.211634537553067</v>
      </c>
      <c r="AA20" s="71">
        <f t="shared" si="3"/>
        <v>72.062425164611255</v>
      </c>
      <c r="AB20" s="3"/>
    </row>
    <row r="21" spans="1:28" ht="18" customHeight="1">
      <c r="A21" s="79">
        <v>13</v>
      </c>
      <c r="B21" s="75">
        <v>27.8</v>
      </c>
      <c r="C21" s="115">
        <f>'[1]cálculos teóricos'!K75</f>
        <v>1.0202305219666468</v>
      </c>
      <c r="D21" s="58">
        <f t="shared" si="4"/>
        <v>413.055936345183</v>
      </c>
      <c r="E21" s="59">
        <f t="shared" si="5"/>
        <v>17.293825942900121</v>
      </c>
      <c r="F21" s="60">
        <f t="shared" si="6"/>
        <v>21.946364908625149</v>
      </c>
      <c r="G21" s="61">
        <f>'[1]cálculos teóricos'!T75</f>
        <v>36.172658892075304</v>
      </c>
      <c r="H21" s="74">
        <f t="shared" si="7"/>
        <v>60.671141079521675</v>
      </c>
      <c r="I21" s="130"/>
      <c r="J21" s="129">
        <v>0.3</v>
      </c>
      <c r="K21" s="127">
        <v>1</v>
      </c>
      <c r="L21" s="127">
        <v>1</v>
      </c>
      <c r="M21" s="127">
        <v>1</v>
      </c>
      <c r="N21" s="127">
        <v>1</v>
      </c>
      <c r="O21" s="131">
        <v>1</v>
      </c>
      <c r="P21" s="129">
        <v>1</v>
      </c>
      <c r="Q21" s="127">
        <v>1</v>
      </c>
      <c r="R21" s="127">
        <v>1</v>
      </c>
      <c r="S21" s="127">
        <v>0.3</v>
      </c>
      <c r="T21" s="127"/>
      <c r="U21" s="127"/>
      <c r="V21" s="77"/>
      <c r="W21" s="67">
        <f t="shared" si="0"/>
        <v>5.3</v>
      </c>
      <c r="X21" s="68">
        <f t="shared" si="1"/>
        <v>3.3</v>
      </c>
      <c r="Y21" s="117">
        <f t="shared" si="2"/>
        <v>8.6</v>
      </c>
      <c r="Z21" s="70">
        <f>'[1]cálculos teóricos'!I75</f>
        <v>12.1885668500564</v>
      </c>
      <c r="AA21" s="71">
        <f t="shared" si="3"/>
        <v>70.557926176203438</v>
      </c>
      <c r="AB21" s="3"/>
    </row>
    <row r="22" spans="1:28" ht="18" customHeight="1">
      <c r="A22" s="79">
        <v>14</v>
      </c>
      <c r="B22" s="75">
        <v>30.4</v>
      </c>
      <c r="C22" s="115">
        <f>'[1]cálculos teóricos'!K76</f>
        <v>1.0195089696819948</v>
      </c>
      <c r="D22" s="58">
        <f t="shared" si="4"/>
        <v>451.36761395089741</v>
      </c>
      <c r="E22" s="59">
        <f t="shared" si="5"/>
        <v>18.897859260896173</v>
      </c>
      <c r="F22" s="60">
        <f t="shared" si="6"/>
        <v>23.951406556120219</v>
      </c>
      <c r="G22" s="61">
        <f>'[1]cálculos teóricos'!T76</f>
        <v>35.998032352371688</v>
      </c>
      <c r="H22" s="74">
        <f t="shared" si="7"/>
        <v>66.535321491098685</v>
      </c>
      <c r="I22" s="130"/>
      <c r="J22" s="129"/>
      <c r="K22" s="127">
        <v>0.8</v>
      </c>
      <c r="L22" s="127">
        <v>1</v>
      </c>
      <c r="M22" s="127">
        <v>1</v>
      </c>
      <c r="N22" s="127">
        <v>1</v>
      </c>
      <c r="O22" s="131">
        <v>1</v>
      </c>
      <c r="P22" s="129">
        <v>1</v>
      </c>
      <c r="Q22" s="127">
        <v>1</v>
      </c>
      <c r="R22" s="127">
        <v>1</v>
      </c>
      <c r="S22" s="127">
        <v>1</v>
      </c>
      <c r="T22" s="127">
        <v>0.5</v>
      </c>
      <c r="U22" s="127"/>
      <c r="V22" s="77"/>
      <c r="W22" s="67">
        <f t="shared" si="0"/>
        <v>4.8</v>
      </c>
      <c r="X22" s="68">
        <f t="shared" si="1"/>
        <v>4.5</v>
      </c>
      <c r="Y22" s="117">
        <f t="shared" si="2"/>
        <v>9.3000000000000007</v>
      </c>
      <c r="Z22" s="70">
        <f>'[1]cálculos teóricos'!I76</f>
        <v>12.165485733334812</v>
      </c>
      <c r="AA22" s="71">
        <f t="shared" si="3"/>
        <v>76.445776221798894</v>
      </c>
      <c r="AB22" s="3"/>
    </row>
    <row r="23" spans="1:28" ht="18" customHeight="1">
      <c r="A23" s="79">
        <v>15</v>
      </c>
      <c r="B23" s="75">
        <v>29.1</v>
      </c>
      <c r="C23" s="115">
        <f>'[1]cálculos teóricos'!K77</f>
        <v>1.0187763106930137</v>
      </c>
      <c r="D23" s="58">
        <f t="shared" si="4"/>
        <v>431.75521010263128</v>
      </c>
      <c r="E23" s="59">
        <f t="shared" si="5"/>
        <v>18.076727136576963</v>
      </c>
      <c r="F23" s="60">
        <f t="shared" si="6"/>
        <v>22.924991400721211</v>
      </c>
      <c r="G23" s="61">
        <f>'[1]cálculos teóricos'!T77</f>
        <v>35.82190394426226</v>
      </c>
      <c r="H23" s="74">
        <f t="shared" si="7"/>
        <v>63.997132693984568</v>
      </c>
      <c r="I23" s="130"/>
      <c r="J23" s="129">
        <v>0.6</v>
      </c>
      <c r="K23" s="127">
        <v>1</v>
      </c>
      <c r="L23" s="127">
        <v>1</v>
      </c>
      <c r="M23" s="127">
        <v>1</v>
      </c>
      <c r="N23" s="127">
        <v>1</v>
      </c>
      <c r="O23" s="131">
        <v>1</v>
      </c>
      <c r="P23" s="129">
        <v>1</v>
      </c>
      <c r="Q23" s="127">
        <v>1</v>
      </c>
      <c r="R23" s="127">
        <v>1</v>
      </c>
      <c r="S23" s="127">
        <v>1</v>
      </c>
      <c r="T23" s="127">
        <v>0.3</v>
      </c>
      <c r="U23" s="127"/>
      <c r="V23" s="77"/>
      <c r="W23" s="67">
        <f t="shared" si="0"/>
        <v>5.6</v>
      </c>
      <c r="X23" s="68">
        <f t="shared" si="1"/>
        <v>4.3</v>
      </c>
      <c r="Y23" s="117">
        <f t="shared" si="2"/>
        <v>9.8999999999999986</v>
      </c>
      <c r="Z23" s="70">
        <f>'[1]cálculos teóricos'!I77</f>
        <v>12.142394949013712</v>
      </c>
      <c r="AA23" s="71">
        <f t="shared" si="3"/>
        <v>81.532515138655938</v>
      </c>
      <c r="AB23" s="3"/>
    </row>
    <row r="24" spans="1:28" ht="18" customHeight="1">
      <c r="A24" s="79">
        <v>16</v>
      </c>
      <c r="B24" s="75">
        <v>24.7</v>
      </c>
      <c r="C24" s="115">
        <f>'[1]cálculos teóricos'!K78</f>
        <v>1.018032705369482</v>
      </c>
      <c r="D24" s="58">
        <f t="shared" si="4"/>
        <v>366.20514682481672</v>
      </c>
      <c r="E24" s="59">
        <f t="shared" si="5"/>
        <v>15.332277087261424</v>
      </c>
      <c r="F24" s="60">
        <f t="shared" si="6"/>
        <v>19.494428839076782</v>
      </c>
      <c r="G24" s="61">
        <f>'[1]cálculos teóricos'!T78</f>
        <v>35.644327843718507</v>
      </c>
      <c r="H24" s="74">
        <f t="shared" si="7"/>
        <v>54.691531635971714</v>
      </c>
      <c r="I24" s="130"/>
      <c r="J24" s="129">
        <v>0.5</v>
      </c>
      <c r="K24" s="127">
        <v>1</v>
      </c>
      <c r="L24" s="127">
        <v>1</v>
      </c>
      <c r="M24" s="127">
        <v>1</v>
      </c>
      <c r="N24" s="127">
        <v>1</v>
      </c>
      <c r="O24" s="131">
        <v>1</v>
      </c>
      <c r="P24" s="129">
        <v>1</v>
      </c>
      <c r="Q24" s="127">
        <v>0.2</v>
      </c>
      <c r="R24" s="127">
        <v>0.2</v>
      </c>
      <c r="S24" s="127">
        <v>0.1</v>
      </c>
      <c r="T24" s="127">
        <v>0.1</v>
      </c>
      <c r="U24" s="127"/>
      <c r="V24" s="77"/>
      <c r="W24" s="67">
        <f t="shared" si="0"/>
        <v>5.5</v>
      </c>
      <c r="X24" s="68">
        <f t="shared" si="1"/>
        <v>1.6</v>
      </c>
      <c r="Y24" s="117">
        <f t="shared" si="2"/>
        <v>7.1</v>
      </c>
      <c r="Z24" s="70">
        <f>'[1]cálculos teóricos'!I78</f>
        <v>12.119298187624363</v>
      </c>
      <c r="AA24" s="71">
        <f t="shared" si="3"/>
        <v>58.584250425079681</v>
      </c>
      <c r="AB24" s="3"/>
    </row>
    <row r="25" spans="1:28" ht="18" customHeight="1">
      <c r="A25" s="79">
        <v>17</v>
      </c>
      <c r="B25" s="75">
        <v>25</v>
      </c>
      <c r="C25" s="115">
        <f>'[1]cálculos teóricos'!K79</f>
        <v>1.0172783234318352</v>
      </c>
      <c r="D25" s="58">
        <f t="shared" si="4"/>
        <v>370.3783215824883</v>
      </c>
      <c r="E25" s="59">
        <f t="shared" si="5"/>
        <v>15.506999568015619</v>
      </c>
      <c r="F25" s="60">
        <f t="shared" si="6"/>
        <v>19.712831940019527</v>
      </c>
      <c r="G25" s="61">
        <f>'[1]cálculos teóricos'!T79</f>
        <v>35.465359351656311</v>
      </c>
      <c r="H25" s="74">
        <f t="shared" si="7"/>
        <v>55.583341887381422</v>
      </c>
      <c r="I25" s="130"/>
      <c r="J25" s="129"/>
      <c r="K25" s="127"/>
      <c r="L25" s="127">
        <v>0.7</v>
      </c>
      <c r="M25" s="127">
        <v>1</v>
      </c>
      <c r="N25" s="127">
        <v>1</v>
      </c>
      <c r="O25" s="131">
        <v>1</v>
      </c>
      <c r="P25" s="129">
        <v>0.8</v>
      </c>
      <c r="Q25" s="127">
        <v>1</v>
      </c>
      <c r="R25" s="127">
        <v>0.8</v>
      </c>
      <c r="S25" s="127"/>
      <c r="T25" s="127"/>
      <c r="U25" s="127"/>
      <c r="V25" s="77"/>
      <c r="W25" s="67">
        <f t="shared" si="0"/>
        <v>3.7</v>
      </c>
      <c r="X25" s="68">
        <f t="shared" si="1"/>
        <v>2.6</v>
      </c>
      <c r="Y25" s="117">
        <f t="shared" si="2"/>
        <v>6.3000000000000007</v>
      </c>
      <c r="Z25" s="70">
        <f>'[1]cálculos teóricos'!I79</f>
        <v>12.096199074823641</v>
      </c>
      <c r="AA25" s="71">
        <f t="shared" si="3"/>
        <v>52.082476164867956</v>
      </c>
      <c r="AB25" s="3"/>
    </row>
    <row r="26" spans="1:28" ht="18" customHeight="1">
      <c r="A26" s="79">
        <v>18</v>
      </c>
      <c r="B26" s="75">
        <v>26.1</v>
      </c>
      <c r="C26" s="115">
        <f>'[1]cálculos teóricos'!K80</f>
        <v>1.016513343907022</v>
      </c>
      <c r="D26" s="58">
        <f t="shared" si="4"/>
        <v>386.38419339213675</v>
      </c>
      <c r="E26" s="59">
        <f t="shared" si="5"/>
        <v>16.17713340894198</v>
      </c>
      <c r="F26" s="60">
        <f t="shared" si="6"/>
        <v>20.550499241177477</v>
      </c>
      <c r="G26" s="61">
        <f>'[1]cálculos teóricos'!T80</f>
        <v>35.285054861688451</v>
      </c>
      <c r="H26" s="74">
        <f t="shared" si="7"/>
        <v>58.241369672605067</v>
      </c>
      <c r="I26" s="130"/>
      <c r="J26" s="129">
        <v>0.3</v>
      </c>
      <c r="K26" s="127">
        <v>1</v>
      </c>
      <c r="L26" s="127">
        <v>1</v>
      </c>
      <c r="M26" s="127">
        <v>1</v>
      </c>
      <c r="N26" s="127">
        <v>1</v>
      </c>
      <c r="O26" s="131">
        <v>1</v>
      </c>
      <c r="P26" s="129">
        <v>1</v>
      </c>
      <c r="Q26" s="127">
        <v>1</v>
      </c>
      <c r="R26" s="127">
        <v>0.7</v>
      </c>
      <c r="S26" s="127">
        <v>0.6</v>
      </c>
      <c r="T26" s="127"/>
      <c r="U26" s="127"/>
      <c r="V26" s="77"/>
      <c r="W26" s="67">
        <f t="shared" si="0"/>
        <v>5.3</v>
      </c>
      <c r="X26" s="68">
        <f t="shared" si="1"/>
        <v>3.3000000000000003</v>
      </c>
      <c r="Y26" s="117">
        <f t="shared" si="2"/>
        <v>8.6</v>
      </c>
      <c r="Z26" s="70">
        <f>'[1]cálculos teóricos'!I80</f>
        <v>12.073101177658092</v>
      </c>
      <c r="AA26" s="71">
        <f t="shared" si="3"/>
        <v>71.232733607126164</v>
      </c>
      <c r="AB26" s="3"/>
    </row>
    <row r="27" spans="1:28" ht="18" customHeight="1">
      <c r="A27" s="79">
        <v>19</v>
      </c>
      <c r="B27" s="75">
        <v>21.8</v>
      </c>
      <c r="C27" s="115">
        <f>'[1]cálculos teóricos'!K81</f>
        <v>1.0157379550832217</v>
      </c>
      <c r="D27" s="58">
        <f t="shared" si="4"/>
        <v>322.48085365302808</v>
      </c>
      <c r="E27" s="59">
        <f t="shared" si="5"/>
        <v>13.501628380744979</v>
      </c>
      <c r="F27" s="60">
        <f t="shared" si="6"/>
        <v>17.206117955931223</v>
      </c>
      <c r="G27" s="61">
        <f>'[1]cálculos teóricos'!T81</f>
        <v>35.103471827814516</v>
      </c>
      <c r="H27" s="74">
        <f t="shared" si="7"/>
        <v>49.015430839230604</v>
      </c>
      <c r="I27" s="130"/>
      <c r="J27" s="129"/>
      <c r="K27" s="127"/>
      <c r="L27" s="127"/>
      <c r="M27" s="127">
        <v>0.3</v>
      </c>
      <c r="N27" s="133">
        <v>0.4</v>
      </c>
      <c r="O27" s="131">
        <v>1</v>
      </c>
      <c r="P27" s="129">
        <v>0.4</v>
      </c>
      <c r="Q27" s="127">
        <v>0.8</v>
      </c>
      <c r="R27" s="127">
        <v>1</v>
      </c>
      <c r="S27" s="127">
        <v>0.6</v>
      </c>
      <c r="T27" s="127">
        <v>0.3</v>
      </c>
      <c r="U27" s="127"/>
      <c r="V27" s="77"/>
      <c r="W27" s="67">
        <f t="shared" si="0"/>
        <v>1.7</v>
      </c>
      <c r="X27" s="68">
        <f t="shared" si="1"/>
        <v>3.1</v>
      </c>
      <c r="Y27" s="117">
        <f t="shared" si="2"/>
        <v>4.8</v>
      </c>
      <c r="Z27" s="70">
        <f>'[1]cálculos teóricos'!I81</f>
        <v>12.050008010862662</v>
      </c>
      <c r="AA27" s="71">
        <f t="shared" si="3"/>
        <v>39.833998414548503</v>
      </c>
      <c r="AB27" s="3"/>
    </row>
    <row r="28" spans="1:28" ht="18" customHeight="1">
      <c r="A28" s="79">
        <v>20</v>
      </c>
      <c r="B28" s="75">
        <v>19.7</v>
      </c>
      <c r="C28" s="115">
        <f>'[1]cálculos teóricos'!K82</f>
        <v>1.0149523544636272</v>
      </c>
      <c r="D28" s="58">
        <f t="shared" si="4"/>
        <v>291.19079470035138</v>
      </c>
      <c r="E28" s="59">
        <f t="shared" si="5"/>
        <v>12.19157619251431</v>
      </c>
      <c r="F28" s="60">
        <f t="shared" si="6"/>
        <v>15.56855272064289</v>
      </c>
      <c r="G28" s="61">
        <f>'[1]cálculos teóricos'!T82</f>
        <v>34.920668732105412</v>
      </c>
      <c r="H28" s="74">
        <f t="shared" si="7"/>
        <v>44.582630533445233</v>
      </c>
      <c r="I28" s="130"/>
      <c r="J28" s="129"/>
      <c r="K28" s="127"/>
      <c r="L28" s="127"/>
      <c r="M28" s="127"/>
      <c r="N28" s="127"/>
      <c r="O28" s="131">
        <v>0.1</v>
      </c>
      <c r="P28" s="129">
        <v>1</v>
      </c>
      <c r="Q28" s="127">
        <v>0.8</v>
      </c>
      <c r="R28" s="127">
        <v>1</v>
      </c>
      <c r="S28" s="127">
        <v>1</v>
      </c>
      <c r="T28" s="127">
        <v>0.2</v>
      </c>
      <c r="U28" s="127"/>
      <c r="V28" s="77"/>
      <c r="W28" s="67">
        <f t="shared" si="0"/>
        <v>0.1</v>
      </c>
      <c r="X28" s="68">
        <f t="shared" si="1"/>
        <v>4</v>
      </c>
      <c r="Y28" s="117">
        <f t="shared" si="2"/>
        <v>4.0999999999999996</v>
      </c>
      <c r="Z28" s="70">
        <f>'[1]cálculos teóricos'!I82</f>
        <v>12.026923043184821</v>
      </c>
      <c r="AA28" s="71">
        <f t="shared" si="3"/>
        <v>34.090182378969374</v>
      </c>
      <c r="AB28" s="3"/>
    </row>
    <row r="29" spans="1:28" ht="18" customHeight="1">
      <c r="A29" s="79">
        <v>21</v>
      </c>
      <c r="B29" s="75">
        <v>13.8</v>
      </c>
      <c r="C29" s="115">
        <f>'[1]cálculos teóricos'!K83</f>
        <v>1.0141567487194687</v>
      </c>
      <c r="D29" s="58">
        <f t="shared" si="4"/>
        <v>203.82147097766855</v>
      </c>
      <c r="E29" s="59">
        <f t="shared" si="5"/>
        <v>8.5335973468930266</v>
      </c>
      <c r="F29" s="60">
        <f t="shared" si="6"/>
        <v>10.996079163616285</v>
      </c>
      <c r="G29" s="61">
        <f>'[1]cálculos teóricos'!T83</f>
        <v>34.736705052432924</v>
      </c>
      <c r="H29" s="74">
        <f t="shared" si="7"/>
        <v>31.655504305944902</v>
      </c>
      <c r="I29" s="130"/>
      <c r="J29" s="129"/>
      <c r="K29" s="127"/>
      <c r="L29" s="127"/>
      <c r="M29" s="127"/>
      <c r="N29" s="127"/>
      <c r="O29" s="131"/>
      <c r="P29" s="129"/>
      <c r="Q29" s="127">
        <v>0.1</v>
      </c>
      <c r="R29" s="127">
        <v>0.2</v>
      </c>
      <c r="S29" s="127"/>
      <c r="T29" s="127"/>
      <c r="U29" s="127"/>
      <c r="V29" s="77"/>
      <c r="W29" s="67">
        <f t="shared" si="0"/>
        <v>0</v>
      </c>
      <c r="X29" s="68">
        <f t="shared" si="1"/>
        <v>0.30000000000000004</v>
      </c>
      <c r="Y29" s="117">
        <f t="shared" si="2"/>
        <v>0.30000000000000004</v>
      </c>
      <c r="Z29" s="70">
        <f>'[1]cálculos teóricos'!I83</f>
        <v>12.003849703725068</v>
      </c>
      <c r="AA29" s="71">
        <f t="shared" si="3"/>
        <v>2.4991982356035596</v>
      </c>
      <c r="AB29" s="3"/>
    </row>
    <row r="30" spans="1:28" ht="18" customHeight="1">
      <c r="A30" s="84">
        <v>22</v>
      </c>
      <c r="B30" s="75">
        <v>30</v>
      </c>
      <c r="C30" s="115">
        <f>'[1]cálculos teóricos'!K84</f>
        <v>1.0133513536423984</v>
      </c>
      <c r="D30" s="58">
        <f t="shared" si="4"/>
        <v>442.73827316313202</v>
      </c>
      <c r="E30" s="59">
        <f t="shared" si="5"/>
        <v>18.536566020794012</v>
      </c>
      <c r="F30" s="60">
        <f t="shared" si="6"/>
        <v>23.499790005992512</v>
      </c>
      <c r="G30" s="61">
        <f>'[1]cálculos teóricos'!T84</f>
        <v>34.551641230287451</v>
      </c>
      <c r="H30" s="74">
        <f t="shared" si="7"/>
        <v>68.013527488798275</v>
      </c>
      <c r="I30" s="130"/>
      <c r="J30" s="129">
        <v>0.2</v>
      </c>
      <c r="K30" s="127">
        <v>0.9</v>
      </c>
      <c r="L30" s="127">
        <v>1</v>
      </c>
      <c r="M30" s="127">
        <v>1</v>
      </c>
      <c r="N30" s="127">
        <v>1</v>
      </c>
      <c r="O30" s="131">
        <v>1</v>
      </c>
      <c r="P30" s="129">
        <v>1</v>
      </c>
      <c r="Q30" s="127">
        <v>1</v>
      </c>
      <c r="R30" s="127">
        <v>1</v>
      </c>
      <c r="S30" s="127">
        <v>0.9</v>
      </c>
      <c r="T30" s="127">
        <v>1</v>
      </c>
      <c r="U30" s="127">
        <v>0.2</v>
      </c>
      <c r="V30" s="77"/>
      <c r="W30" s="67">
        <f t="shared" si="0"/>
        <v>5.0999999999999996</v>
      </c>
      <c r="X30" s="68">
        <f t="shared" si="1"/>
        <v>5.1000000000000005</v>
      </c>
      <c r="Y30" s="117">
        <f t="shared" si="2"/>
        <v>10.199999999999999</v>
      </c>
      <c r="Z30" s="70">
        <f>'[1]cálculos teóricos'!I84</f>
        <v>11.980791388285134</v>
      </c>
      <c r="AA30" s="71">
        <f t="shared" si="3"/>
        <v>85.13627914407725</v>
      </c>
      <c r="AB30" s="3"/>
    </row>
    <row r="31" spans="1:28" ht="18" customHeight="1">
      <c r="A31" s="84">
        <v>23</v>
      </c>
      <c r="B31" s="75">
        <v>30.9</v>
      </c>
      <c r="C31" s="115">
        <f>'[1]cálculos teóricos'!K85</f>
        <v>1.0125363940963121</v>
      </c>
      <c r="D31" s="58">
        <f t="shared" si="4"/>
        <v>455.65367966052872</v>
      </c>
      <c r="E31" s="59">
        <f t="shared" si="5"/>
        <v>19.077308260027017</v>
      </c>
      <c r="F31" s="60">
        <f t="shared" si="6"/>
        <v>24.17571780503377</v>
      </c>
      <c r="G31" s="61">
        <f>'[1]cálculos teóricos'!T85</f>
        <v>34.36553863871918</v>
      </c>
      <c r="H31" s="74">
        <f t="shared" si="7"/>
        <v>70.348723641989764</v>
      </c>
      <c r="I31" s="130"/>
      <c r="J31" s="129">
        <v>0.7</v>
      </c>
      <c r="K31" s="127">
        <v>1</v>
      </c>
      <c r="L31" s="127">
        <v>1</v>
      </c>
      <c r="M31" s="127">
        <v>1</v>
      </c>
      <c r="N31" s="127">
        <v>1</v>
      </c>
      <c r="O31" s="131">
        <v>1</v>
      </c>
      <c r="P31" s="129">
        <v>1</v>
      </c>
      <c r="Q31" s="127">
        <v>1</v>
      </c>
      <c r="R31" s="127">
        <v>1</v>
      </c>
      <c r="S31" s="127">
        <v>1</v>
      </c>
      <c r="T31" s="127">
        <v>1</v>
      </c>
      <c r="U31" s="127">
        <v>0.1</v>
      </c>
      <c r="V31" s="77"/>
      <c r="W31" s="67">
        <f t="shared" si="0"/>
        <v>5.7</v>
      </c>
      <c r="X31" s="68">
        <f t="shared" si="1"/>
        <v>5.0999999999999996</v>
      </c>
      <c r="Y31" s="117">
        <f t="shared" si="2"/>
        <v>10.8</v>
      </c>
      <c r="Z31" s="70">
        <f>'[1]cálculos teóricos'!I85</f>
        <v>11.957751465715512</v>
      </c>
      <c r="AA31" s="71">
        <f t="shared" si="3"/>
        <v>90.317983535324828</v>
      </c>
      <c r="AB31" s="3"/>
    </row>
    <row r="32" spans="1:28" ht="18" customHeight="1">
      <c r="A32" s="84">
        <v>24</v>
      </c>
      <c r="B32" s="75">
        <v>29</v>
      </c>
      <c r="C32" s="115">
        <f>'[1]cálculos teóricos'!K86</f>
        <v>1.011712103968645</v>
      </c>
      <c r="D32" s="58">
        <f t="shared" si="4"/>
        <v>427.28800755827353</v>
      </c>
      <c r="E32" s="59">
        <f t="shared" si="5"/>
        <v>17.889694300449797</v>
      </c>
      <c r="F32" s="60">
        <f t="shared" si="6"/>
        <v>22.691200355562245</v>
      </c>
      <c r="G32" s="61">
        <f>'[1]cálculos teóricos'!T86</f>
        <v>34.1784595504311</v>
      </c>
      <c r="H32" s="74">
        <f t="shared" si="7"/>
        <v>66.390354199787325</v>
      </c>
      <c r="I32" s="130"/>
      <c r="J32" s="129">
        <v>0.8</v>
      </c>
      <c r="K32" s="127">
        <v>1</v>
      </c>
      <c r="L32" s="127">
        <v>1</v>
      </c>
      <c r="M32" s="127">
        <v>1</v>
      </c>
      <c r="N32" s="127">
        <v>1</v>
      </c>
      <c r="O32" s="131">
        <v>0.8</v>
      </c>
      <c r="P32" s="129">
        <v>1</v>
      </c>
      <c r="Q32" s="127">
        <v>1</v>
      </c>
      <c r="R32" s="127">
        <v>1</v>
      </c>
      <c r="S32" s="127">
        <v>1</v>
      </c>
      <c r="T32" s="127">
        <v>1</v>
      </c>
      <c r="U32" s="127">
        <v>0.4</v>
      </c>
      <c r="V32" s="77"/>
      <c r="W32" s="67">
        <f t="shared" si="0"/>
        <v>5.6</v>
      </c>
      <c r="X32" s="68">
        <f t="shared" si="1"/>
        <v>5.4</v>
      </c>
      <c r="Y32" s="117">
        <f t="shared" si="2"/>
        <v>11</v>
      </c>
      <c r="Z32" s="70">
        <f>'[1]cálculos teóricos'!I86</f>
        <v>11.934733284254012</v>
      </c>
      <c r="AA32" s="71">
        <f t="shared" si="3"/>
        <v>92.167958328090634</v>
      </c>
      <c r="AB32" s="3"/>
    </row>
    <row r="33" spans="1:28" ht="18" customHeight="1">
      <c r="A33" s="84">
        <v>25</v>
      </c>
      <c r="B33" s="75">
        <v>30</v>
      </c>
      <c r="C33" s="115">
        <f>'[1]cálculos teóricos'!K87</f>
        <v>1.0108787261211196</v>
      </c>
      <c r="D33" s="58">
        <f t="shared" si="4"/>
        <v>441.65796983594771</v>
      </c>
      <c r="E33" s="59">
        <f t="shared" si="5"/>
        <v>18.491335881091459</v>
      </c>
      <c r="F33" s="60">
        <f t="shared" si="6"/>
        <v>23.443252331364324</v>
      </c>
      <c r="G33" s="61">
        <f>'[1]cálculos teóricos'!T87</f>
        <v>33.990467106044939</v>
      </c>
      <c r="H33" s="74">
        <f t="shared" si="7"/>
        <v>68.970079929249124</v>
      </c>
      <c r="I33" s="130"/>
      <c r="J33" s="129">
        <v>0.6</v>
      </c>
      <c r="K33" s="127">
        <v>1</v>
      </c>
      <c r="L33" s="127">
        <v>1</v>
      </c>
      <c r="M33" s="127">
        <v>1</v>
      </c>
      <c r="N33" s="127">
        <v>1</v>
      </c>
      <c r="O33" s="131">
        <v>1</v>
      </c>
      <c r="P33" s="129">
        <v>0.8</v>
      </c>
      <c r="Q33" s="127">
        <v>1</v>
      </c>
      <c r="R33" s="127">
        <v>1</v>
      </c>
      <c r="S33" s="127">
        <v>1</v>
      </c>
      <c r="T33" s="127">
        <v>1</v>
      </c>
      <c r="U33" s="127">
        <v>0.2</v>
      </c>
      <c r="V33" s="77"/>
      <c r="W33" s="67">
        <f t="shared" si="0"/>
        <v>5.6</v>
      </c>
      <c r="X33" s="68">
        <f t="shared" si="1"/>
        <v>5</v>
      </c>
      <c r="Y33" s="117">
        <f t="shared" si="2"/>
        <v>10.6</v>
      </c>
      <c r="Z33" s="70">
        <f>'[1]cálculos teóricos'!I87</f>
        <v>11.911740177847248</v>
      </c>
      <c r="AA33" s="71">
        <f t="shared" si="3"/>
        <v>88.987837559731659</v>
      </c>
      <c r="AB33" s="3"/>
    </row>
    <row r="34" spans="1:28" ht="18" customHeight="1">
      <c r="A34" s="84">
        <v>26</v>
      </c>
      <c r="B34" s="75">
        <v>31.1</v>
      </c>
      <c r="C34" s="115">
        <f>'[1]cálculos teóricos'!K88</f>
        <v>1.010036512339894</v>
      </c>
      <c r="D34" s="58">
        <f t="shared" si="4"/>
        <v>457.47063584606963</v>
      </c>
      <c r="E34" s="59">
        <f t="shared" si="5"/>
        <v>19.153380581603241</v>
      </c>
      <c r="F34" s="60">
        <f t="shared" si="6"/>
        <v>24.270808207004055</v>
      </c>
      <c r="G34" s="61">
        <f>'[1]cálculos teóricos'!T88</f>
        <v>33.801625282554461</v>
      </c>
      <c r="H34" s="74">
        <f t="shared" si="7"/>
        <v>71.803672172919434</v>
      </c>
      <c r="I34" s="130"/>
      <c r="J34" s="129">
        <v>0.7</v>
      </c>
      <c r="K34" s="127">
        <v>1</v>
      </c>
      <c r="L34" s="127">
        <v>1</v>
      </c>
      <c r="M34" s="127">
        <v>1</v>
      </c>
      <c r="N34" s="127">
        <v>1</v>
      </c>
      <c r="O34" s="131">
        <v>1</v>
      </c>
      <c r="P34" s="129">
        <v>1</v>
      </c>
      <c r="Q34" s="127">
        <v>1</v>
      </c>
      <c r="R34" s="127">
        <v>1</v>
      </c>
      <c r="S34" s="127">
        <v>1</v>
      </c>
      <c r="T34" s="127">
        <v>0.8</v>
      </c>
      <c r="U34" s="127"/>
      <c r="V34" s="77"/>
      <c r="W34" s="67">
        <f t="shared" si="0"/>
        <v>5.7</v>
      </c>
      <c r="X34" s="68">
        <f t="shared" si="1"/>
        <v>4.8</v>
      </c>
      <c r="Y34" s="117">
        <f t="shared" si="2"/>
        <v>10.5</v>
      </c>
      <c r="Z34" s="70">
        <f>'[1]cálculos teóricos'!I88</f>
        <v>11.888775472447131</v>
      </c>
      <c r="AA34" s="71">
        <f t="shared" si="3"/>
        <v>88.31859954235243</v>
      </c>
      <c r="AB34" s="3"/>
    </row>
    <row r="35" spans="1:28" ht="18" customHeight="1">
      <c r="A35" s="84">
        <v>27</v>
      </c>
      <c r="B35" s="75">
        <v>29.8</v>
      </c>
      <c r="C35" s="115">
        <f>'[1]cálculos teóricos'!K89</f>
        <v>1.0091857232849979</v>
      </c>
      <c r="D35" s="58">
        <f t="shared" si="4"/>
        <v>437.9788331756198</v>
      </c>
      <c r="E35" s="59">
        <f t="shared" si="5"/>
        <v>18.337297787396849</v>
      </c>
      <c r="F35" s="60">
        <f t="shared" si="6"/>
        <v>23.250704714246062</v>
      </c>
      <c r="G35" s="61">
        <f>'[1]cálculos teóricos'!T89</f>
        <v>33.61199886197312</v>
      </c>
      <c r="H35" s="74">
        <f t="shared" si="7"/>
        <v>69.1738233412554</v>
      </c>
      <c r="I35" s="130"/>
      <c r="J35" s="129">
        <v>0.7</v>
      </c>
      <c r="K35" s="127">
        <v>0.8</v>
      </c>
      <c r="L35" s="127">
        <v>1</v>
      </c>
      <c r="M35" s="127">
        <v>1</v>
      </c>
      <c r="N35" s="127">
        <v>1</v>
      </c>
      <c r="O35" s="131">
        <v>1</v>
      </c>
      <c r="P35" s="129">
        <v>1</v>
      </c>
      <c r="Q35" s="127">
        <v>1</v>
      </c>
      <c r="R35" s="127">
        <v>1</v>
      </c>
      <c r="S35" s="127">
        <v>1</v>
      </c>
      <c r="T35" s="127">
        <v>0.9</v>
      </c>
      <c r="U35" s="127">
        <v>0.2</v>
      </c>
      <c r="V35" s="77"/>
      <c r="W35" s="67">
        <f t="shared" si="0"/>
        <v>5.5</v>
      </c>
      <c r="X35" s="68">
        <f t="shared" si="1"/>
        <v>5.1000000000000005</v>
      </c>
      <c r="Y35" s="117">
        <f t="shared" si="2"/>
        <v>10.600000000000001</v>
      </c>
      <c r="Z35" s="70">
        <f>'[1]cálculos teóricos'!I89</f>
        <v>11.865842492274421</v>
      </c>
      <c r="AA35" s="71">
        <f t="shared" si="3"/>
        <v>89.332047066202165</v>
      </c>
      <c r="AB35" s="3"/>
    </row>
    <row r="36" spans="1:28" ht="18" customHeight="1">
      <c r="A36" s="84">
        <v>28</v>
      </c>
      <c r="B36" s="75">
        <v>24.1</v>
      </c>
      <c r="C36" s="115">
        <f>'[1]cálculos teóricos'!K90</f>
        <v>1.0083266284389116</v>
      </c>
      <c r="D36" s="58">
        <f t="shared" si="4"/>
        <v>353.9028329638092</v>
      </c>
      <c r="E36" s="59">
        <f t="shared" si="5"/>
        <v>14.817203810528763</v>
      </c>
      <c r="F36" s="60">
        <f t="shared" si="6"/>
        <v>18.850587243160955</v>
      </c>
      <c r="G36" s="61">
        <f>'[1]cálculos teóricos'!T90</f>
        <v>33.421653400177576</v>
      </c>
      <c r="H36" s="74">
        <f t="shared" si="7"/>
        <v>56.402318034513513</v>
      </c>
      <c r="I36" s="130"/>
      <c r="J36" s="129">
        <v>0.2</v>
      </c>
      <c r="K36" s="127">
        <v>0.8</v>
      </c>
      <c r="L36" s="127">
        <v>1</v>
      </c>
      <c r="M36" s="127">
        <v>1</v>
      </c>
      <c r="N36" s="127">
        <v>1</v>
      </c>
      <c r="O36" s="131">
        <v>1</v>
      </c>
      <c r="P36" s="129">
        <v>0.6</v>
      </c>
      <c r="Q36" s="127">
        <v>0.9</v>
      </c>
      <c r="R36" s="127">
        <v>0.9</v>
      </c>
      <c r="S36" s="127">
        <v>1</v>
      </c>
      <c r="T36" s="127">
        <v>0.6</v>
      </c>
      <c r="U36" s="127"/>
      <c r="V36" s="77"/>
      <c r="W36" s="67">
        <f t="shared" si="0"/>
        <v>5</v>
      </c>
      <c r="X36" s="68">
        <f t="shared" si="1"/>
        <v>4</v>
      </c>
      <c r="Y36" s="117">
        <f t="shared" si="2"/>
        <v>9</v>
      </c>
      <c r="Z36" s="70">
        <f>'[1]cálculos teóricos'!I90</f>
        <v>11.842944566041432</v>
      </c>
      <c r="AA36" s="71">
        <f t="shared" si="3"/>
        <v>75.994613922340591</v>
      </c>
      <c r="AB36" s="3"/>
    </row>
    <row r="37" spans="1:28" ht="18" customHeight="1">
      <c r="A37" s="84">
        <v>29</v>
      </c>
      <c r="B37" s="75">
        <v>17</v>
      </c>
      <c r="C37" s="115">
        <f>'[1]cálculos teóricos'!K91</f>
        <v>1.0074595060540923</v>
      </c>
      <c r="D37" s="58">
        <f t="shared" si="4"/>
        <v>249.42632077911915</v>
      </c>
      <c r="E37" s="59">
        <f t="shared" si="5"/>
        <v>10.44298119838016</v>
      </c>
      <c r="F37" s="60">
        <f t="shared" si="6"/>
        <v>13.3828089779752</v>
      </c>
      <c r="G37" s="61">
        <f>'[1]cálculos teóricos'!T91</f>
        <v>33.230655195941289</v>
      </c>
      <c r="H37" s="74">
        <f t="shared" si="7"/>
        <v>40.272480031058024</v>
      </c>
      <c r="I37" s="130"/>
      <c r="J37" s="129"/>
      <c r="K37" s="127">
        <v>0.3</v>
      </c>
      <c r="L37" s="127">
        <v>0.6</v>
      </c>
      <c r="M37" s="127">
        <v>1</v>
      </c>
      <c r="N37" s="127">
        <v>0.7</v>
      </c>
      <c r="O37" s="131">
        <v>0.4</v>
      </c>
      <c r="P37" s="129">
        <v>0.6</v>
      </c>
      <c r="Q37" s="127">
        <v>0.5</v>
      </c>
      <c r="R37" s="127"/>
      <c r="S37" s="127"/>
      <c r="T37" s="127"/>
      <c r="U37" s="127"/>
      <c r="V37" s="77"/>
      <c r="W37" s="67">
        <f t="shared" si="0"/>
        <v>2.9999999999999996</v>
      </c>
      <c r="X37" s="68">
        <f t="shared" si="1"/>
        <v>1.1000000000000001</v>
      </c>
      <c r="Y37" s="117">
        <f t="shared" si="2"/>
        <v>4.0999999999999996</v>
      </c>
      <c r="Z37" s="70">
        <f>'[1]cálculos teóricos'!I91</f>
        <v>11.820085033125993</v>
      </c>
      <c r="AA37" s="71">
        <f t="shared" si="3"/>
        <v>34.686721698783707</v>
      </c>
      <c r="AB37" s="3"/>
    </row>
    <row r="38" spans="1:28" ht="18" customHeight="1" thickBot="1">
      <c r="A38" s="79">
        <v>30</v>
      </c>
      <c r="B38" s="75">
        <v>25.2</v>
      </c>
      <c r="C38" s="115">
        <f>'[1]cálculos teóricos'!K92</f>
        <v>1.0065846430992109</v>
      </c>
      <c r="D38" s="58">
        <f t="shared" si="4"/>
        <v>369.416765334339</v>
      </c>
      <c r="E38" s="59">
        <f t="shared" si="5"/>
        <v>15.466741131018104</v>
      </c>
      <c r="F38" s="60">
        <f t="shared" si="6"/>
        <v>19.662508893772632</v>
      </c>
      <c r="G38" s="61">
        <f>'[1]cálculos teóricos'!T92</f>
        <v>33.03907126014785</v>
      </c>
      <c r="H38" s="74">
        <f t="shared" si="7"/>
        <v>59.512898346781924</v>
      </c>
      <c r="I38" s="130"/>
      <c r="J38" s="134"/>
      <c r="K38" s="135">
        <v>0.6</v>
      </c>
      <c r="L38" s="135">
        <v>0.8</v>
      </c>
      <c r="M38" s="135">
        <v>1</v>
      </c>
      <c r="N38" s="135">
        <v>1</v>
      </c>
      <c r="O38" s="136">
        <v>1</v>
      </c>
      <c r="P38" s="134">
        <v>0.8</v>
      </c>
      <c r="Q38" s="135">
        <v>0.8</v>
      </c>
      <c r="R38" s="135">
        <v>1</v>
      </c>
      <c r="S38" s="135">
        <v>0.6</v>
      </c>
      <c r="T38" s="135">
        <v>1</v>
      </c>
      <c r="U38" s="135"/>
      <c r="V38" s="77"/>
      <c r="W38" s="67">
        <f t="shared" si="0"/>
        <v>4.4000000000000004</v>
      </c>
      <c r="X38" s="68">
        <f t="shared" si="1"/>
        <v>4.2</v>
      </c>
      <c r="Y38" s="120">
        <f t="shared" si="2"/>
        <v>8.6000000000000014</v>
      </c>
      <c r="Z38" s="70">
        <f>'[1]cálculos teóricos'!I92</f>
        <v>11.797267249688634</v>
      </c>
      <c r="AA38" s="71">
        <f t="shared" si="3"/>
        <v>72.898238363015651</v>
      </c>
      <c r="AB38" s="3"/>
    </row>
    <row r="39" spans="1:28" ht="18" customHeight="1" thickTop="1" thickBot="1">
      <c r="A39" s="86">
        <v>31</v>
      </c>
      <c r="B39" s="87">
        <v>26.2</v>
      </c>
      <c r="C39" s="88">
        <f>'[1]cálculos teóricos'!K93</f>
        <v>1.0057023352038255</v>
      </c>
      <c r="D39" s="89">
        <f t="shared" si="4"/>
        <v>383.73950411901194</v>
      </c>
      <c r="E39" s="90">
        <f t="shared" si="5"/>
        <v>16.066405558454793</v>
      </c>
      <c r="F39" s="91">
        <f t="shared" si="6"/>
        <v>20.412089428068491</v>
      </c>
      <c r="G39" s="92">
        <f>'[1]cálculos teóricos'!T93</f>
        <v>32.846969285166935</v>
      </c>
      <c r="H39" s="93">
        <f t="shared" si="7"/>
        <v>62.142991795855579</v>
      </c>
      <c r="I39" s="137"/>
      <c r="J39" s="138">
        <v>0.4</v>
      </c>
      <c r="K39" s="139">
        <v>1</v>
      </c>
      <c r="L39" s="139">
        <v>1</v>
      </c>
      <c r="M39" s="139">
        <v>1</v>
      </c>
      <c r="N39" s="139">
        <v>1</v>
      </c>
      <c r="O39" s="140">
        <v>1</v>
      </c>
      <c r="P39" s="138">
        <v>0.9</v>
      </c>
      <c r="Q39" s="139">
        <v>0.9</v>
      </c>
      <c r="R39" s="139">
        <v>1</v>
      </c>
      <c r="S39" s="139">
        <v>1</v>
      </c>
      <c r="T39" s="139">
        <v>0.8</v>
      </c>
      <c r="U39" s="139"/>
      <c r="V39" s="95"/>
      <c r="W39" s="67">
        <f t="shared" si="0"/>
        <v>5.4</v>
      </c>
      <c r="X39" s="68">
        <f t="shared" si="1"/>
        <v>4.5999999999999996</v>
      </c>
      <c r="Y39" s="124">
        <f t="shared" si="2"/>
        <v>10</v>
      </c>
      <c r="Z39" s="98">
        <f>'[1]cálculos teóricos'!I93</f>
        <v>11.774494594725017</v>
      </c>
      <c r="AA39" s="99">
        <f t="shared" si="3"/>
        <v>84.929335348966987</v>
      </c>
      <c r="AB39" s="3"/>
    </row>
    <row r="40" spans="1:28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123">
        <f>SUM(I9:I39)</f>
        <v>0</v>
      </c>
      <c r="J40" s="123">
        <f t="shared" ref="J40:V40" si="8">SUM(J9:J39)</f>
        <v>8.4</v>
      </c>
      <c r="K40" s="123">
        <f t="shared" si="8"/>
        <v>18.500000000000004</v>
      </c>
      <c r="L40" s="123">
        <f t="shared" si="8"/>
        <v>22.900000000000002</v>
      </c>
      <c r="M40" s="123">
        <f t="shared" si="8"/>
        <v>25.700000000000003</v>
      </c>
      <c r="N40" s="123">
        <f t="shared" si="8"/>
        <v>25.799999999999997</v>
      </c>
      <c r="O40" s="123">
        <f t="shared" si="8"/>
        <v>26.6</v>
      </c>
      <c r="P40" s="123">
        <f t="shared" si="8"/>
        <v>26.1</v>
      </c>
      <c r="Q40" s="123">
        <f t="shared" si="8"/>
        <v>24.499999999999996</v>
      </c>
      <c r="R40" s="123">
        <f t="shared" si="8"/>
        <v>23.199999999999996</v>
      </c>
      <c r="S40" s="123">
        <f t="shared" si="8"/>
        <v>20.5</v>
      </c>
      <c r="T40" s="123">
        <f t="shared" si="8"/>
        <v>14.100000000000001</v>
      </c>
      <c r="U40" s="123">
        <f t="shared" si="8"/>
        <v>2.3000000000000003</v>
      </c>
      <c r="V40" s="123">
        <f t="shared" si="8"/>
        <v>0</v>
      </c>
      <c r="W40" s="103">
        <f>SUM(I40:S40)</f>
        <v>222.2</v>
      </c>
      <c r="X40" s="103">
        <f>SUM(P40:V40)</f>
        <v>110.69999999999997</v>
      </c>
      <c r="Y40" s="103">
        <f>W40+X40</f>
        <v>332.9</v>
      </c>
      <c r="Z40" s="104"/>
      <c r="AA40" s="104"/>
      <c r="AB40" s="100"/>
    </row>
    <row r="41" spans="1:28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8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 t="s">
        <v>66</v>
      </c>
      <c r="AA44" s="100"/>
      <c r="AB44" s="100"/>
    </row>
    <row r="45" spans="1:28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</sheetData>
  <sheetProtection selectLockedCells="1" selectUnlockedCells="1"/>
  <mergeCells count="2">
    <mergeCell ref="I5:W5"/>
    <mergeCell ref="I7:U7"/>
  </mergeCells>
  <pageMargins left="0" right="0" top="0.39374999999999999" bottom="0.98402777777777772" header="0.51180555555555551" footer="0.51180555555555551"/>
  <pageSetup paperSize="39" scale="50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6"/>
  <sheetViews>
    <sheetView zoomScale="75" zoomScaleNormal="75" workbookViewId="0">
      <selection activeCell="A31" sqref="A31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67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68</v>
      </c>
      <c r="W2" s="3"/>
      <c r="X2" s="3"/>
      <c r="Y2" s="3"/>
      <c r="Z2" s="3"/>
      <c r="AA2" s="3"/>
      <c r="AB2" s="3"/>
    </row>
    <row r="3" spans="1:28" ht="18" customHeight="1">
      <c r="A3" s="141"/>
      <c r="B3" s="142" t="s">
        <v>69</v>
      </c>
      <c r="C3" s="141"/>
      <c r="D3" s="141"/>
      <c r="E3" s="143"/>
      <c r="F3" s="141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70</v>
      </c>
      <c r="W3" s="3"/>
      <c r="X3" s="144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9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53" t="s">
        <v>49</v>
      </c>
      <c r="Z8" s="51" t="s">
        <v>49</v>
      </c>
      <c r="AA8" s="54" t="s">
        <v>49</v>
      </c>
      <c r="AB8" s="3"/>
    </row>
    <row r="9" spans="1:28" ht="18" customHeight="1">
      <c r="A9" s="109">
        <v>1</v>
      </c>
      <c r="B9" s="56">
        <v>26.1</v>
      </c>
      <c r="C9" s="73">
        <f>'[1]cálculos teóricos'!K94</f>
        <v>1.0048128866011701</v>
      </c>
      <c r="D9" s="58">
        <f>IF(B9&gt;0,B9*C9*14.25*1.022,-999)</f>
        <v>381.9367635718213</v>
      </c>
      <c r="E9" s="59">
        <f>IF(B9&gt;0,D9*4.1868/100,-999)</f>
        <v>15.990928417225014</v>
      </c>
      <c r="F9" s="60">
        <f>IF(B9&gt;0,(7.86+1.25*D9)*4.1868/100,-999)</f>
        <v>20.317743001531266</v>
      </c>
      <c r="G9" s="61">
        <f>'[1]cálculos teóricos'!T94</f>
        <v>32.65441761437198</v>
      </c>
      <c r="H9" s="62">
        <f>IF(B9&gt;0,100*F9/G9,-999)</f>
        <v>62.220503337315527</v>
      </c>
      <c r="I9" s="63"/>
      <c r="J9" s="63"/>
      <c r="K9" s="63">
        <v>0.1</v>
      </c>
      <c r="L9" s="63">
        <v>0.4</v>
      </c>
      <c r="M9" s="63">
        <v>1</v>
      </c>
      <c r="N9" s="145">
        <v>1</v>
      </c>
      <c r="O9" s="64">
        <v>1</v>
      </c>
      <c r="P9" s="63">
        <v>1</v>
      </c>
      <c r="Q9" s="63">
        <v>1</v>
      </c>
      <c r="R9" s="63">
        <v>1</v>
      </c>
      <c r="S9" s="63">
        <v>1</v>
      </c>
      <c r="T9" s="63">
        <v>1</v>
      </c>
      <c r="U9" s="63">
        <v>0.1</v>
      </c>
      <c r="V9" s="64"/>
      <c r="W9" s="67">
        <f t="shared" ref="W9:W38" si="0">SUM(I9:O9)</f>
        <v>3.5</v>
      </c>
      <c r="X9" s="68">
        <f>SUM(P9:V9)</f>
        <v>5.0999999999999996</v>
      </c>
      <c r="Y9" s="114">
        <f>W9+X9</f>
        <v>8.6</v>
      </c>
      <c r="Z9" s="70">
        <f>'[1]cálculos teóricos'!I94</f>
        <v>11.751770476045246</v>
      </c>
      <c r="AA9" s="71">
        <f>100*Y9/Z9</f>
        <v>73.180462616507015</v>
      </c>
      <c r="AB9" s="3"/>
    </row>
    <row r="10" spans="1:28" ht="18" customHeight="1">
      <c r="A10" s="109">
        <v>2</v>
      </c>
      <c r="B10" s="56">
        <v>25.8</v>
      </c>
      <c r="C10" s="73">
        <f>'[1]cálculos teóricos'!K95</f>
        <v>1.0039166100687127</v>
      </c>
      <c r="D10" s="58">
        <f>IF(B10&gt;0,B10*C10*14.25*1.022,-999)</f>
        <v>377.20992040898102</v>
      </c>
      <c r="E10" s="59">
        <f>IF(B10&gt;0,D10*4.1868/100,-999)</f>
        <v>15.793024947683216</v>
      </c>
      <c r="F10" s="60">
        <f>IF(B10&gt;0,(7.86+1.25*D10)*4.1868/100,-999)</f>
        <v>20.07036366460402</v>
      </c>
      <c r="G10" s="61">
        <f>'[1]cálculos teóricos'!T95</f>
        <v>32.461485211773081</v>
      </c>
      <c r="H10" s="74">
        <f>IF(B10&gt;0,100*F10/G10,-999)</f>
        <v>61.828235934580505</v>
      </c>
      <c r="I10" s="56"/>
      <c r="J10" s="81">
        <v>0.3</v>
      </c>
      <c r="K10" s="81">
        <v>1</v>
      </c>
      <c r="L10" s="81">
        <v>1</v>
      </c>
      <c r="M10" s="81">
        <v>1</v>
      </c>
      <c r="N10" s="81">
        <v>1</v>
      </c>
      <c r="O10" s="76">
        <v>1</v>
      </c>
      <c r="P10" s="78">
        <v>1</v>
      </c>
      <c r="Q10" s="78">
        <v>1</v>
      </c>
      <c r="R10" s="75">
        <v>1</v>
      </c>
      <c r="S10" s="75">
        <v>1</v>
      </c>
      <c r="T10" s="75">
        <v>0.5</v>
      </c>
      <c r="U10" s="75"/>
      <c r="V10" s="77"/>
      <c r="W10" s="67">
        <f t="shared" si="0"/>
        <v>5.3</v>
      </c>
      <c r="X10" s="68">
        <f t="shared" ref="X10:X38" si="1">SUM(P10:V10)</f>
        <v>4.5</v>
      </c>
      <c r="Y10" s="117">
        <f t="shared" ref="Y10:Y38" si="2">W10+X10</f>
        <v>9.8000000000000007</v>
      </c>
      <c r="Z10" s="70">
        <f>'[1]cálculos teóricos'!I95</f>
        <v>11.729098336171763</v>
      </c>
      <c r="AA10" s="71">
        <f t="shared" ref="AA10:AA38" si="3">100*Y10/Z10</f>
        <v>83.552884621808047</v>
      </c>
      <c r="AB10" s="3"/>
    </row>
    <row r="11" spans="1:28" ht="18" customHeight="1">
      <c r="A11" s="109">
        <v>3</v>
      </c>
      <c r="B11" s="56">
        <v>19.2</v>
      </c>
      <c r="C11" s="73">
        <f>'[1]cálculos teóricos'!K96</f>
        <v>1.003013826866084</v>
      </c>
      <c r="D11" s="58">
        <f t="shared" ref="D11:D38" si="4">IF(B11&gt;0,B11*C11*14.25*1.022,-999)</f>
        <v>280.46192385723288</v>
      </c>
      <c r="E11" s="59">
        <f t="shared" ref="E11:E38" si="5">IF(B11&gt;0,D11*4.1868/100,-999)</f>
        <v>11.742379828054625</v>
      </c>
      <c r="F11" s="60">
        <f t="shared" ref="F11:F38" si="6">IF(B11&gt;0,(7.86+1.25*D11)*4.1868/100,-999)</f>
        <v>15.007057265068283</v>
      </c>
      <c r="G11" s="61">
        <f>'[1]cálculos teóricos'!T96</f>
        <v>32.268241631734995</v>
      </c>
      <c r="H11" s="74">
        <f t="shared" ref="H11:H38" si="7">IF(B11&gt;0,100*F11/G11,-999)</f>
        <v>46.507204936476072</v>
      </c>
      <c r="I11" s="56"/>
      <c r="J11" s="81"/>
      <c r="K11" s="81"/>
      <c r="L11" s="81">
        <v>0.2</v>
      </c>
      <c r="M11" s="81"/>
      <c r="N11" s="81"/>
      <c r="O11" s="76">
        <v>0.2</v>
      </c>
      <c r="P11" s="78">
        <v>0.7</v>
      </c>
      <c r="Q11" s="78">
        <v>1</v>
      </c>
      <c r="R11" s="75">
        <v>1</v>
      </c>
      <c r="S11" s="75">
        <v>0.5</v>
      </c>
      <c r="T11" s="75">
        <v>0.8</v>
      </c>
      <c r="U11" s="75"/>
      <c r="V11" s="77"/>
      <c r="W11" s="67">
        <f t="shared" si="0"/>
        <v>0.4</v>
      </c>
      <c r="X11" s="68">
        <f t="shared" si="1"/>
        <v>4</v>
      </c>
      <c r="Y11" s="117">
        <f t="shared" si="2"/>
        <v>4.4000000000000004</v>
      </c>
      <c r="Z11" s="70">
        <f>'[1]cálculos teóricos'!I96</f>
        <v>11.706481658147139</v>
      </c>
      <c r="AA11" s="71">
        <f t="shared" si="3"/>
        <v>37.586015409999945</v>
      </c>
      <c r="AB11" s="3"/>
    </row>
    <row r="12" spans="1:28" ht="18" customHeight="1">
      <c r="A12" s="109">
        <v>4</v>
      </c>
      <c r="B12" s="56">
        <v>29.7</v>
      </c>
      <c r="C12" s="73">
        <f>'[1]cálculos teóricos'!K97</f>
        <v>1.0021048666699626</v>
      </c>
      <c r="D12" s="58">
        <f t="shared" si="4"/>
        <v>433.44638050471559</v>
      </c>
      <c r="E12" s="59">
        <f t="shared" si="5"/>
        <v>18.147533058971433</v>
      </c>
      <c r="F12" s="60">
        <f t="shared" si="6"/>
        <v>23.013498803714288</v>
      </c>
      <c r="G12" s="61">
        <f>'[1]cálculos teóricos'!T97</f>
        <v>32.074756988746543</v>
      </c>
      <c r="H12" s="74">
        <f t="shared" si="7"/>
        <v>71.749565590749739</v>
      </c>
      <c r="I12" s="56"/>
      <c r="J12" s="81">
        <v>0.2</v>
      </c>
      <c r="K12" s="81">
        <v>1</v>
      </c>
      <c r="L12" s="81">
        <v>1</v>
      </c>
      <c r="M12" s="81">
        <v>1</v>
      </c>
      <c r="N12" s="81">
        <v>1</v>
      </c>
      <c r="O12" s="76">
        <v>1</v>
      </c>
      <c r="P12" s="78">
        <v>1</v>
      </c>
      <c r="Q12" s="78">
        <v>1</v>
      </c>
      <c r="R12" s="75">
        <v>1</v>
      </c>
      <c r="S12" s="75">
        <v>1</v>
      </c>
      <c r="T12" s="75">
        <v>0.5</v>
      </c>
      <c r="U12" s="75"/>
      <c r="V12" s="77"/>
      <c r="W12" s="67">
        <f t="shared" si="0"/>
        <v>5.2</v>
      </c>
      <c r="X12" s="68">
        <f t="shared" si="1"/>
        <v>4.5</v>
      </c>
      <c r="Y12" s="117">
        <f t="shared" si="2"/>
        <v>9.6999999999999993</v>
      </c>
      <c r="Z12" s="70">
        <f>'[1]cálculos teóricos'!I97</f>
        <v>11.683923971242983</v>
      </c>
      <c r="AA12" s="71">
        <f t="shared" si="3"/>
        <v>83.0200540834919</v>
      </c>
      <c r="AB12" s="3"/>
    </row>
    <row r="13" spans="1:28" ht="18" customHeight="1">
      <c r="A13" s="72">
        <v>5</v>
      </c>
      <c r="B13" s="56">
        <v>27.9</v>
      </c>
      <c r="C13" s="73">
        <f>'[1]cálculos teóricos'!K98</f>
        <v>1.0011900675054584</v>
      </c>
      <c r="D13" s="58">
        <f t="shared" si="4"/>
        <v>406.80520019242925</v>
      </c>
      <c r="E13" s="59">
        <f t="shared" si="5"/>
        <v>17.032120121656629</v>
      </c>
      <c r="F13" s="60">
        <f t="shared" si="6"/>
        <v>21.619232632070783</v>
      </c>
      <c r="G13" s="61">
        <f>'[1]cálculos teóricos'!T98</f>
        <v>31.881101927204124</v>
      </c>
      <c r="H13" s="74">
        <f t="shared" si="7"/>
        <v>67.812062084413427</v>
      </c>
      <c r="I13" s="56"/>
      <c r="J13" s="81">
        <v>0.3</v>
      </c>
      <c r="K13" s="81">
        <v>0.8</v>
      </c>
      <c r="L13" s="81">
        <v>0.4</v>
      </c>
      <c r="M13" s="81">
        <v>1</v>
      </c>
      <c r="N13" s="81">
        <v>1</v>
      </c>
      <c r="O13" s="76">
        <v>1</v>
      </c>
      <c r="P13" s="78">
        <v>1</v>
      </c>
      <c r="Q13" s="78">
        <v>1</v>
      </c>
      <c r="R13" s="75">
        <v>1</v>
      </c>
      <c r="S13" s="75">
        <v>1</v>
      </c>
      <c r="T13" s="75">
        <v>1</v>
      </c>
      <c r="U13" s="75">
        <v>0.2</v>
      </c>
      <c r="V13" s="77"/>
      <c r="W13" s="67">
        <f t="shared" si="0"/>
        <v>4.5</v>
      </c>
      <c r="X13" s="68">
        <f t="shared" si="1"/>
        <v>5.2</v>
      </c>
      <c r="Y13" s="117">
        <f t="shared" si="2"/>
        <v>9.6999999999999993</v>
      </c>
      <c r="Z13" s="70">
        <f>'[1]cálculos teóricos'!I98</f>
        <v>11.661428856560702</v>
      </c>
      <c r="AA13" s="71">
        <f t="shared" si="3"/>
        <v>83.180201322780391</v>
      </c>
      <c r="AB13" s="3"/>
    </row>
    <row r="14" spans="1:28" ht="18" customHeight="1">
      <c r="A14" s="72">
        <v>6</v>
      </c>
      <c r="B14" s="56">
        <v>28.4</v>
      </c>
      <c r="C14" s="73">
        <f>'[1]cálculos teóricos'!K99</f>
        <v>1.0002697756735133</v>
      </c>
      <c r="D14" s="58">
        <f t="shared" si="4"/>
        <v>413.71498013580236</v>
      </c>
      <c r="E14" s="59">
        <f t="shared" si="5"/>
        <v>17.321418788325772</v>
      </c>
      <c r="F14" s="60">
        <f t="shared" si="6"/>
        <v>21.980855965407219</v>
      </c>
      <c r="G14" s="61">
        <f>'[1]cálculos teóricos'!T99</f>
        <v>31.687347591169619</v>
      </c>
      <c r="H14" s="74">
        <f t="shared" si="7"/>
        <v>69.367926432355191</v>
      </c>
      <c r="I14" s="56"/>
      <c r="J14" s="81"/>
      <c r="K14" s="81">
        <v>0.4</v>
      </c>
      <c r="L14" s="81">
        <v>1</v>
      </c>
      <c r="M14" s="81">
        <v>1</v>
      </c>
      <c r="N14" s="81">
        <v>1</v>
      </c>
      <c r="O14" s="76">
        <v>1</v>
      </c>
      <c r="P14" s="78">
        <v>1</v>
      </c>
      <c r="Q14" s="78">
        <v>1</v>
      </c>
      <c r="R14" s="75">
        <v>1</v>
      </c>
      <c r="S14" s="75">
        <v>1</v>
      </c>
      <c r="T14" s="75">
        <v>0.4</v>
      </c>
      <c r="U14" s="75"/>
      <c r="V14" s="77"/>
      <c r="W14" s="67">
        <f t="shared" si="0"/>
        <v>4.4000000000000004</v>
      </c>
      <c r="X14" s="68">
        <f t="shared" si="1"/>
        <v>4.4000000000000004</v>
      </c>
      <c r="Y14" s="117">
        <f t="shared" si="2"/>
        <v>8.8000000000000007</v>
      </c>
      <c r="Z14" s="70">
        <f>'[1]cálculos teóricos'!I99</f>
        <v>11.638999952514853</v>
      </c>
      <c r="AA14" s="71">
        <f t="shared" si="3"/>
        <v>75.607870400399605</v>
      </c>
      <c r="AB14" s="3"/>
    </row>
    <row r="15" spans="1:28" ht="18" customHeight="1">
      <c r="A15" s="72">
        <v>7</v>
      </c>
      <c r="B15" s="132">
        <v>-99</v>
      </c>
      <c r="C15" s="73">
        <f>'[1]cálculos teóricos'!K100</f>
        <v>0.99934434567381758</v>
      </c>
      <c r="D15" s="58">
        <f t="shared" si="4"/>
        <v>-999</v>
      </c>
      <c r="E15" s="59">
        <f t="shared" si="5"/>
        <v>-999</v>
      </c>
      <c r="F15" s="60">
        <f t="shared" si="6"/>
        <v>-999</v>
      </c>
      <c r="G15" s="61">
        <f>'[1]cálculos teóricos'!T100</f>
        <v>31.493565594061103</v>
      </c>
      <c r="H15" s="74">
        <f t="shared" si="7"/>
        <v>-999</v>
      </c>
      <c r="I15" s="56"/>
      <c r="J15" s="81"/>
      <c r="K15" s="81"/>
      <c r="L15" s="81">
        <v>0.2</v>
      </c>
      <c r="M15" s="81">
        <v>0.4</v>
      </c>
      <c r="N15" s="81"/>
      <c r="O15" s="76">
        <v>0.1</v>
      </c>
      <c r="P15" s="78"/>
      <c r="Q15" s="78">
        <v>0.2</v>
      </c>
      <c r="R15" s="75">
        <v>0.3</v>
      </c>
      <c r="S15" s="75"/>
      <c r="T15" s="75"/>
      <c r="U15" s="75"/>
      <c r="V15" s="77"/>
      <c r="W15" s="67">
        <f t="shared" si="0"/>
        <v>0.70000000000000007</v>
      </c>
      <c r="X15" s="68">
        <f t="shared" si="1"/>
        <v>0.5</v>
      </c>
      <c r="Y15" s="117">
        <f t="shared" si="2"/>
        <v>1.2000000000000002</v>
      </c>
      <c r="Z15" s="70">
        <f>'[1]cálculos teóricos'!I100</f>
        <v>11.616640960189132</v>
      </c>
      <c r="AA15" s="71">
        <f t="shared" si="3"/>
        <v>10.330008512034299</v>
      </c>
      <c r="AB15" s="3"/>
    </row>
    <row r="16" spans="1:28" ht="18" customHeight="1">
      <c r="A16" s="79">
        <v>8</v>
      </c>
      <c r="B16" s="75">
        <v>9.6</v>
      </c>
      <c r="C16" s="73">
        <f>'[1]cálculos teóricos'!K101</f>
        <v>0.99841414012270413</v>
      </c>
      <c r="D16" s="58">
        <f t="shared" si="4"/>
        <v>139.58788156489922</v>
      </c>
      <c r="E16" s="59">
        <f t="shared" si="5"/>
        <v>5.8442654253592003</v>
      </c>
      <c r="F16" s="60">
        <f t="shared" si="6"/>
        <v>7.6344142616990016</v>
      </c>
      <c r="G16" s="61">
        <f>'[1]cálculos teóricos'!T101</f>
        <v>31.299827988232465</v>
      </c>
      <c r="H16" s="74">
        <f t="shared" si="7"/>
        <v>24.391233921698383</v>
      </c>
      <c r="I16" s="78"/>
      <c r="J16" s="80"/>
      <c r="K16" s="80"/>
      <c r="L16" s="80"/>
      <c r="M16" s="80"/>
      <c r="N16" s="81"/>
      <c r="O16" s="77"/>
      <c r="P16" s="81"/>
      <c r="Q16" s="81"/>
      <c r="R16" s="80"/>
      <c r="S16" s="80"/>
      <c r="T16" s="80"/>
      <c r="U16" s="80"/>
      <c r="V16" s="77"/>
      <c r="W16" s="67">
        <f t="shared" si="0"/>
        <v>0</v>
      </c>
      <c r="X16" s="68">
        <f t="shared" si="1"/>
        <v>0</v>
      </c>
      <c r="Y16" s="117">
        <f t="shared" si="2"/>
        <v>0</v>
      </c>
      <c r="Z16" s="70">
        <f>'[1]cálculos teóricos'!I101</f>
        <v>11.594355648555021</v>
      </c>
      <c r="AA16" s="71">
        <f t="shared" si="3"/>
        <v>0</v>
      </c>
      <c r="AB16" s="3"/>
    </row>
    <row r="17" spans="1:28" ht="18" customHeight="1">
      <c r="A17" s="79">
        <v>9</v>
      </c>
      <c r="B17" s="75">
        <v>29.2</v>
      </c>
      <c r="C17" s="73">
        <f>'[1]cálculos teóricos'!K102</f>
        <v>0.99747952966548015</v>
      </c>
      <c r="D17" s="58">
        <f t="shared" si="4"/>
        <v>424.18235940427002</v>
      </c>
      <c r="E17" s="59">
        <f t="shared" si="5"/>
        <v>17.759667023537975</v>
      </c>
      <c r="F17" s="60">
        <f t="shared" si="6"/>
        <v>22.528666259422472</v>
      </c>
      <c r="G17" s="61">
        <f>'[1]cálculos teóricos'!T102</f>
        <v>31.106207234397623</v>
      </c>
      <c r="H17" s="74">
        <f t="shared" si="7"/>
        <v>72.424986079659362</v>
      </c>
      <c r="I17" s="78"/>
      <c r="J17" s="80">
        <v>0.4</v>
      </c>
      <c r="K17" s="80">
        <v>1</v>
      </c>
      <c r="L17" s="80">
        <v>1</v>
      </c>
      <c r="M17" s="80">
        <v>1</v>
      </c>
      <c r="N17" s="81">
        <v>1</v>
      </c>
      <c r="O17" s="77">
        <v>1</v>
      </c>
      <c r="P17" s="81">
        <v>1</v>
      </c>
      <c r="Q17" s="81">
        <v>1</v>
      </c>
      <c r="R17" s="80">
        <v>1</v>
      </c>
      <c r="S17" s="80">
        <v>1</v>
      </c>
      <c r="T17" s="80">
        <v>1</v>
      </c>
      <c r="U17" s="80">
        <v>0.1</v>
      </c>
      <c r="V17" s="77"/>
      <c r="W17" s="67">
        <f t="shared" si="0"/>
        <v>5.4</v>
      </c>
      <c r="X17" s="68">
        <f t="shared" si="1"/>
        <v>5.0999999999999996</v>
      </c>
      <c r="Y17" s="117">
        <f t="shared" si="2"/>
        <v>10.5</v>
      </c>
      <c r="Z17" s="70">
        <f>'[1]cálculos teóricos'!I102</f>
        <v>11.5721478595426</v>
      </c>
      <c r="AA17" s="71">
        <f t="shared" si="3"/>
        <v>90.735100583263915</v>
      </c>
      <c r="AB17" s="3"/>
    </row>
    <row r="18" spans="1:28" ht="18" customHeight="1">
      <c r="A18" s="79">
        <v>10</v>
      </c>
      <c r="B18" s="75">
        <v>28.4</v>
      </c>
      <c r="C18" s="73">
        <f>'[1]cálculos teóricos'!K103</f>
        <v>0.99654089288262615</v>
      </c>
      <c r="D18" s="58">
        <f t="shared" si="4"/>
        <v>412.17270153528995</v>
      </c>
      <c r="E18" s="59">
        <f t="shared" si="5"/>
        <v>17.256846667879518</v>
      </c>
      <c r="F18" s="60">
        <f t="shared" si="6"/>
        <v>21.900140814849401</v>
      </c>
      <c r="G18" s="61">
        <f>'[1]cálculos teóricos'!T103</f>
        <v>30.912776170854091</v>
      </c>
      <c r="H18" s="74">
        <f t="shared" si="7"/>
        <v>70.844949977342395</v>
      </c>
      <c r="I18" s="78"/>
      <c r="J18" s="80">
        <v>0.1</v>
      </c>
      <c r="K18" s="80">
        <v>1</v>
      </c>
      <c r="L18" s="80">
        <v>1</v>
      </c>
      <c r="M18" s="80">
        <v>1</v>
      </c>
      <c r="N18" s="81">
        <v>1</v>
      </c>
      <c r="O18" s="76">
        <v>1</v>
      </c>
      <c r="P18" s="81">
        <v>1</v>
      </c>
      <c r="Q18" s="81">
        <v>1</v>
      </c>
      <c r="R18" s="80">
        <v>1</v>
      </c>
      <c r="S18" s="80">
        <v>1</v>
      </c>
      <c r="T18" s="80">
        <v>1</v>
      </c>
      <c r="U18" s="80">
        <v>0.1</v>
      </c>
      <c r="V18" s="77"/>
      <c r="W18" s="67">
        <f t="shared" si="0"/>
        <v>5.0999999999999996</v>
      </c>
      <c r="X18" s="68">
        <f t="shared" si="1"/>
        <v>5.0999999999999996</v>
      </c>
      <c r="Y18" s="117">
        <f t="shared" si="2"/>
        <v>10.199999999999999</v>
      </c>
      <c r="Z18" s="70">
        <f>'[1]cálculos teóricos'!I103</f>
        <v>11.55002151295256</v>
      </c>
      <c r="AA18" s="71">
        <f t="shared" si="3"/>
        <v>88.311523823236143</v>
      </c>
      <c r="AB18" s="3"/>
    </row>
    <row r="19" spans="1:28" ht="18" customHeight="1">
      <c r="A19" s="79">
        <v>11</v>
      </c>
      <c r="B19" s="75">
        <v>19.399999999999999</v>
      </c>
      <c r="C19" s="73">
        <f>'[1]cálculos teóricos'!K104</f>
        <v>0.99559861618928736</v>
      </c>
      <c r="D19" s="58">
        <f t="shared" si="4"/>
        <v>281.28836866933011</v>
      </c>
      <c r="E19" s="59">
        <f t="shared" si="5"/>
        <v>11.776981419447514</v>
      </c>
      <c r="F19" s="60">
        <f t="shared" si="6"/>
        <v>15.05030925430939</v>
      </c>
      <c r="G19" s="61">
        <f>'[1]cálculos teóricos'!T104</f>
        <v>30.719607982460538</v>
      </c>
      <c r="H19" s="74">
        <f t="shared" si="7"/>
        <v>48.992517296778054</v>
      </c>
      <c r="I19" s="78"/>
      <c r="J19" s="80"/>
      <c r="K19" s="80">
        <v>0.7</v>
      </c>
      <c r="L19" s="80">
        <v>1</v>
      </c>
      <c r="M19" s="80">
        <v>1</v>
      </c>
      <c r="N19" s="80">
        <v>0.6</v>
      </c>
      <c r="O19" s="77">
        <v>0.1</v>
      </c>
      <c r="P19" s="81">
        <v>0.5</v>
      </c>
      <c r="Q19" s="81">
        <v>0.6</v>
      </c>
      <c r="R19" s="80">
        <v>0.5</v>
      </c>
      <c r="S19" s="80">
        <v>0.4</v>
      </c>
      <c r="T19" s="80"/>
      <c r="U19" s="80"/>
      <c r="V19" s="77"/>
      <c r="W19" s="67">
        <f t="shared" si="0"/>
        <v>3.4000000000000004</v>
      </c>
      <c r="X19" s="68">
        <f t="shared" si="1"/>
        <v>2</v>
      </c>
      <c r="Y19" s="117">
        <f t="shared" si="2"/>
        <v>5.4</v>
      </c>
      <c r="Z19" s="70">
        <f>'[1]cálculos teóricos'!I104</f>
        <v>11.527980611198263</v>
      </c>
      <c r="AA19" s="71">
        <f t="shared" si="3"/>
        <v>46.842549290501481</v>
      </c>
      <c r="AB19" s="3"/>
    </row>
    <row r="20" spans="1:28" ht="18" customHeight="1">
      <c r="A20" s="79">
        <v>12</v>
      </c>
      <c r="B20" s="75">
        <v>25.8</v>
      </c>
      <c r="C20" s="73">
        <f>'[1]cálculos teóricos'!K105</f>
        <v>0.99465309372746913</v>
      </c>
      <c r="D20" s="58">
        <f t="shared" si="4"/>
        <v>373.72926252689996</v>
      </c>
      <c r="E20" s="59">
        <f t="shared" si="5"/>
        <v>15.647296763476247</v>
      </c>
      <c r="F20" s="60">
        <f t="shared" si="6"/>
        <v>19.888203434345311</v>
      </c>
      <c r="G20" s="61">
        <f>'[1]cálculos teóricos'!T105</f>
        <v>30.526776169323703</v>
      </c>
      <c r="H20" s="74">
        <f t="shared" si="7"/>
        <v>65.150028696220218</v>
      </c>
      <c r="I20" s="78"/>
      <c r="J20" s="80"/>
      <c r="K20" s="80">
        <v>0.3</v>
      </c>
      <c r="L20" s="80">
        <v>1</v>
      </c>
      <c r="M20" s="80">
        <v>0.9</v>
      </c>
      <c r="N20" s="80">
        <v>0.9</v>
      </c>
      <c r="O20" s="77">
        <v>1</v>
      </c>
      <c r="P20" s="81">
        <v>0.9</v>
      </c>
      <c r="Q20" s="81">
        <v>0.7</v>
      </c>
      <c r="R20" s="80">
        <v>1</v>
      </c>
      <c r="S20" s="80">
        <v>1</v>
      </c>
      <c r="T20" s="80">
        <v>1</v>
      </c>
      <c r="U20" s="80"/>
      <c r="V20" s="77"/>
      <c r="W20" s="67">
        <f t="shared" si="0"/>
        <v>4.0999999999999996</v>
      </c>
      <c r="X20" s="68">
        <f t="shared" si="1"/>
        <v>4.5999999999999996</v>
      </c>
      <c r="Y20" s="117">
        <f t="shared" si="2"/>
        <v>8.6999999999999993</v>
      </c>
      <c r="Z20" s="70">
        <f>'[1]cálculos teóricos'!I105</f>
        <v>11.506029243866161</v>
      </c>
      <c r="AA20" s="71">
        <f t="shared" si="3"/>
        <v>75.612531618046688</v>
      </c>
      <c r="AB20" s="3"/>
    </row>
    <row r="21" spans="1:28" ht="18" customHeight="1">
      <c r="A21" s="79">
        <v>13</v>
      </c>
      <c r="B21" s="75">
        <v>23.8</v>
      </c>
      <c r="C21" s="73">
        <f>'[1]cálculos teóricos'!K106</f>
        <v>0.9937047272503452</v>
      </c>
      <c r="D21" s="58">
        <f t="shared" si="4"/>
        <v>344.4292873283876</v>
      </c>
      <c r="E21" s="59">
        <f t="shared" si="5"/>
        <v>14.420565401864931</v>
      </c>
      <c r="F21" s="60">
        <f t="shared" si="6"/>
        <v>18.354789232331164</v>
      </c>
      <c r="G21" s="61">
        <f>'[1]cálculos teóricos'!T106</f>
        <v>30.334354515150523</v>
      </c>
      <c r="H21" s="74">
        <f t="shared" si="7"/>
        <v>60.508257141795603</v>
      </c>
      <c r="I21" s="78"/>
      <c r="J21" s="80"/>
      <c r="K21" s="80"/>
      <c r="L21" s="80"/>
      <c r="M21" s="80">
        <v>0.5</v>
      </c>
      <c r="N21" s="80">
        <v>1</v>
      </c>
      <c r="O21" s="77">
        <v>1</v>
      </c>
      <c r="P21" s="81">
        <v>1</v>
      </c>
      <c r="Q21" s="81">
        <v>1</v>
      </c>
      <c r="R21" s="80">
        <v>0.8</v>
      </c>
      <c r="S21" s="80">
        <v>1</v>
      </c>
      <c r="T21" s="80">
        <v>0.6</v>
      </c>
      <c r="U21" s="80"/>
      <c r="V21" s="77"/>
      <c r="W21" s="67">
        <f t="shared" si="0"/>
        <v>2.5</v>
      </c>
      <c r="X21" s="68">
        <f t="shared" si="1"/>
        <v>4.3999999999999995</v>
      </c>
      <c r="Y21" s="117">
        <f t="shared" si="2"/>
        <v>6.8999999999999995</v>
      </c>
      <c r="Z21" s="70">
        <f>'[1]cálculos teóricos'!I106</f>
        <v>11.484171592082447</v>
      </c>
      <c r="AA21" s="71">
        <f t="shared" si="3"/>
        <v>60.082696820352972</v>
      </c>
      <c r="AB21" s="3"/>
    </row>
    <row r="22" spans="1:28" ht="18" customHeight="1">
      <c r="A22" s="79">
        <v>14</v>
      </c>
      <c r="B22" s="75">
        <v>15.2</v>
      </c>
      <c r="C22" s="73">
        <f>'[1]cálculos teóricos'!K107</f>
        <v>0.99275392599807921</v>
      </c>
      <c r="D22" s="58">
        <f t="shared" si="4"/>
        <v>219.76117137935</v>
      </c>
      <c r="E22" s="59">
        <f t="shared" si="5"/>
        <v>9.2009607233106259</v>
      </c>
      <c r="F22" s="60">
        <f t="shared" si="6"/>
        <v>11.830283384138282</v>
      </c>
      <c r="G22" s="61">
        <f>'[1]cálculos teóricos'!T107</f>
        <v>30.142417055223362</v>
      </c>
      <c r="H22" s="74">
        <f t="shared" si="7"/>
        <v>39.247958657277678</v>
      </c>
      <c r="I22" s="78"/>
      <c r="J22" s="80"/>
      <c r="K22" s="80">
        <v>0.5</v>
      </c>
      <c r="L22" s="80">
        <v>0.8</v>
      </c>
      <c r="M22" s="80">
        <v>0.9</v>
      </c>
      <c r="N22" s="80">
        <v>0.1</v>
      </c>
      <c r="O22" s="77">
        <v>0.1</v>
      </c>
      <c r="P22" s="81"/>
      <c r="Q22" s="81"/>
      <c r="R22" s="80"/>
      <c r="S22" s="80"/>
      <c r="T22" s="80"/>
      <c r="U22" s="80"/>
      <c r="V22" s="77"/>
      <c r="W22" s="67">
        <f t="shared" si="0"/>
        <v>2.4000000000000004</v>
      </c>
      <c r="X22" s="68">
        <f t="shared" si="1"/>
        <v>0</v>
      </c>
      <c r="Y22" s="117">
        <f t="shared" si="2"/>
        <v>2.4000000000000004</v>
      </c>
      <c r="Z22" s="70">
        <f>'[1]cálculos teóricos'!I107</f>
        <v>11.462411932673533</v>
      </c>
      <c r="AA22" s="71">
        <f t="shared" si="3"/>
        <v>20.938001653550902</v>
      </c>
      <c r="AB22" s="3"/>
    </row>
    <row r="23" spans="1:28" ht="18" customHeight="1">
      <c r="A23" s="79">
        <v>15</v>
      </c>
      <c r="B23" s="75">
        <v>20.8</v>
      </c>
      <c r="C23" s="73">
        <f>'[1]cálculos teóricos'!K108</f>
        <v>0.99180110656457066</v>
      </c>
      <c r="D23" s="58">
        <f t="shared" si="4"/>
        <v>300.43718464142501</v>
      </c>
      <c r="E23" s="59">
        <f t="shared" si="5"/>
        <v>12.578704046567182</v>
      </c>
      <c r="F23" s="60">
        <f t="shared" si="6"/>
        <v>16.052462538208978</v>
      </c>
      <c r="G23" s="61">
        <f>'[1]cálculos teóricos'!T108</f>
        <v>29.951038043957332</v>
      </c>
      <c r="H23" s="74">
        <f t="shared" si="7"/>
        <v>53.595680105142762</v>
      </c>
      <c r="I23" s="78"/>
      <c r="J23" s="80"/>
      <c r="K23" s="80">
        <v>0.4</v>
      </c>
      <c r="L23" s="80">
        <v>0.7</v>
      </c>
      <c r="M23" s="80">
        <v>1</v>
      </c>
      <c r="N23" s="80">
        <v>1</v>
      </c>
      <c r="O23" s="77">
        <v>0.7</v>
      </c>
      <c r="P23" s="81">
        <v>1</v>
      </c>
      <c r="Q23" s="81">
        <v>0.8</v>
      </c>
      <c r="R23" s="80">
        <v>0.1</v>
      </c>
      <c r="S23" s="80"/>
      <c r="T23" s="80"/>
      <c r="U23" s="80"/>
      <c r="V23" s="77"/>
      <c r="W23" s="67">
        <f t="shared" si="0"/>
        <v>3.8</v>
      </c>
      <c r="X23" s="68">
        <f t="shared" si="1"/>
        <v>1.9000000000000001</v>
      </c>
      <c r="Y23" s="117">
        <f t="shared" si="2"/>
        <v>5.7</v>
      </c>
      <c r="Z23" s="70">
        <f>'[1]cálculos teóricos'!I108</f>
        <v>11.440754642107416</v>
      </c>
      <c r="AA23" s="71">
        <f t="shared" si="3"/>
        <v>49.821888313392286</v>
      </c>
      <c r="AB23" s="3"/>
    </row>
    <row r="24" spans="1:28" ht="18" customHeight="1">
      <c r="A24" s="146">
        <v>16</v>
      </c>
      <c r="B24" s="75">
        <v>22.6</v>
      </c>
      <c r="C24" s="73">
        <f>'[1]cálculos teóricos'!K109</f>
        <v>0.99084669275453241</v>
      </c>
      <c r="D24" s="58">
        <f t="shared" si="4"/>
        <v>326.12242530443234</v>
      </c>
      <c r="E24" s="59">
        <f t="shared" si="5"/>
        <v>13.654093702645973</v>
      </c>
      <c r="F24" s="60">
        <f t="shared" si="6"/>
        <v>17.396699608307468</v>
      </c>
      <c r="G24" s="61">
        <f>'[1]cálculos teóricos'!T109</f>
        <v>29.760291922001649</v>
      </c>
      <c r="H24" s="74">
        <f t="shared" si="7"/>
        <v>58.456078501858265</v>
      </c>
      <c r="I24" s="147"/>
      <c r="J24" s="148">
        <v>-99</v>
      </c>
      <c r="K24" s="148">
        <v>-99</v>
      </c>
      <c r="L24" s="148">
        <v>-99</v>
      </c>
      <c r="M24" s="148">
        <v>-99</v>
      </c>
      <c r="N24" s="148">
        <v>-99</v>
      </c>
      <c r="O24" s="148">
        <v>-99</v>
      </c>
      <c r="P24" s="148">
        <v>-99</v>
      </c>
      <c r="Q24" s="148">
        <v>-99</v>
      </c>
      <c r="R24" s="148">
        <v>-99</v>
      </c>
      <c r="S24" s="148">
        <v>-99</v>
      </c>
      <c r="T24" s="148">
        <v>-99</v>
      </c>
      <c r="U24" s="148">
        <v>-99</v>
      </c>
      <c r="V24" s="149"/>
      <c r="W24" s="67"/>
      <c r="X24" s="68"/>
      <c r="Y24" s="117">
        <f t="shared" si="2"/>
        <v>0</v>
      </c>
      <c r="Z24" s="70">
        <f>'[1]cálculos teóricos'!I109</f>
        <v>11.419204200202659</v>
      </c>
      <c r="AA24" s="71">
        <f t="shared" si="3"/>
        <v>0</v>
      </c>
      <c r="AB24" s="3"/>
    </row>
    <row r="25" spans="1:28" ht="18" customHeight="1">
      <c r="A25" s="84">
        <v>17</v>
      </c>
      <c r="B25" s="75">
        <v>14</v>
      </c>
      <c r="C25" s="73">
        <f>'[1]cálculos teóricos'!K110</f>
        <v>0.9898911154303186</v>
      </c>
      <c r="D25" s="58">
        <f t="shared" si="4"/>
        <v>201.82790963397224</v>
      </c>
      <c r="E25" s="59">
        <f t="shared" si="5"/>
        <v>8.4501309205551483</v>
      </c>
      <c r="F25" s="60">
        <f t="shared" si="6"/>
        <v>10.891746130693937</v>
      </c>
      <c r="G25" s="61">
        <f>'[1]cálculos teóricos'!T110</f>
        <v>29.570253282849443</v>
      </c>
      <c r="H25" s="74">
        <f t="shared" si="7"/>
        <v>36.833455657314509</v>
      </c>
      <c r="I25" s="78"/>
      <c r="J25" s="80"/>
      <c r="K25" s="80">
        <v>0.5</v>
      </c>
      <c r="L25" s="80">
        <v>0.6</v>
      </c>
      <c r="M25" s="80">
        <v>0.2</v>
      </c>
      <c r="N25" s="80">
        <v>0.1</v>
      </c>
      <c r="O25" s="77">
        <v>0.2</v>
      </c>
      <c r="P25" s="81"/>
      <c r="Q25" s="81"/>
      <c r="R25" s="80">
        <v>0.2</v>
      </c>
      <c r="S25" s="80"/>
      <c r="T25" s="80"/>
      <c r="U25" s="80"/>
      <c r="V25" s="77"/>
      <c r="W25" s="67">
        <f t="shared" si="0"/>
        <v>1.6</v>
      </c>
      <c r="X25" s="68">
        <f t="shared" si="1"/>
        <v>0.2</v>
      </c>
      <c r="Y25" s="117">
        <f t="shared" si="2"/>
        <v>1.8</v>
      </c>
      <c r="Z25" s="70">
        <f>'[1]cálculos teóricos'!I110</f>
        <v>11.397765193591368</v>
      </c>
      <c r="AA25" s="71">
        <f t="shared" si="3"/>
        <v>15.792569590853544</v>
      </c>
      <c r="AB25" s="3"/>
    </row>
    <row r="26" spans="1:28" ht="18" customHeight="1">
      <c r="A26" s="84">
        <v>18</v>
      </c>
      <c r="B26" s="75">
        <v>21.6</v>
      </c>
      <c r="C26" s="73">
        <f>'[1]cálculos teóricos'!K111</f>
        <v>0.98893481234793812</v>
      </c>
      <c r="D26" s="58">
        <f t="shared" si="4"/>
        <v>311.09080621599071</v>
      </c>
      <c r="E26" s="59">
        <f t="shared" si="5"/>
        <v>13.0247498746511</v>
      </c>
      <c r="F26" s="60">
        <f t="shared" si="6"/>
        <v>16.610019823313873</v>
      </c>
      <c r="G26" s="61">
        <f>'[1]cálculos teóricos'!T111</f>
        <v>29.380996838923444</v>
      </c>
      <c r="H26" s="74">
        <f t="shared" si="7"/>
        <v>56.533207210005898</v>
      </c>
      <c r="I26" s="78"/>
      <c r="J26" s="80"/>
      <c r="K26" s="80">
        <v>0.5</v>
      </c>
      <c r="L26" s="80">
        <v>0.8</v>
      </c>
      <c r="M26" s="80">
        <v>0.8</v>
      </c>
      <c r="N26" s="80">
        <v>1</v>
      </c>
      <c r="O26" s="77">
        <v>1</v>
      </c>
      <c r="P26" s="81">
        <v>1</v>
      </c>
      <c r="Q26" s="81">
        <v>1</v>
      </c>
      <c r="R26" s="80">
        <v>1</v>
      </c>
      <c r="S26" s="80">
        <v>0.3</v>
      </c>
      <c r="T26" s="80"/>
      <c r="U26" s="80"/>
      <c r="V26" s="77"/>
      <c r="W26" s="67">
        <f t="shared" si="0"/>
        <v>4.0999999999999996</v>
      </c>
      <c r="X26" s="68">
        <f t="shared" si="1"/>
        <v>3.3</v>
      </c>
      <c r="Y26" s="117">
        <f t="shared" si="2"/>
        <v>7.3999999999999995</v>
      </c>
      <c r="Z26" s="70">
        <f>'[1]cálculos teóricos'!I111</f>
        <v>11.376442318922143</v>
      </c>
      <c r="AA26" s="71">
        <f t="shared" si="3"/>
        <v>65.046697311441307</v>
      </c>
      <c r="AB26" s="3"/>
    </row>
    <row r="27" spans="1:28" ht="18" customHeight="1">
      <c r="A27" s="84">
        <v>19</v>
      </c>
      <c r="B27" s="75">
        <v>25.8</v>
      </c>
      <c r="C27" s="73">
        <f>'[1]cálculos teóricos'!K112</f>
        <v>0.9879782279816971</v>
      </c>
      <c r="D27" s="58">
        <f t="shared" si="4"/>
        <v>371.22125981885529</v>
      </c>
      <c r="E27" s="59">
        <f t="shared" si="5"/>
        <v>15.542291706095831</v>
      </c>
      <c r="F27" s="60">
        <f t="shared" si="6"/>
        <v>19.756947112619791</v>
      </c>
      <c r="G27" s="61">
        <f>'[1]cálculos teóricos'!T112</f>
        <v>29.192597387108517</v>
      </c>
      <c r="H27" s="74">
        <f t="shared" si="7"/>
        <v>67.677935096465518</v>
      </c>
      <c r="I27" s="78"/>
      <c r="J27" s="80"/>
      <c r="K27" s="80">
        <v>1</v>
      </c>
      <c r="L27" s="80">
        <v>1</v>
      </c>
      <c r="M27" s="80">
        <v>1</v>
      </c>
      <c r="N27" s="80">
        <v>1</v>
      </c>
      <c r="O27" s="77">
        <v>1</v>
      </c>
      <c r="P27" s="81">
        <v>0.9</v>
      </c>
      <c r="Q27" s="81">
        <v>0.9</v>
      </c>
      <c r="R27" s="80">
        <v>1</v>
      </c>
      <c r="S27" s="80">
        <v>1</v>
      </c>
      <c r="T27" s="80">
        <v>0.9</v>
      </c>
      <c r="U27" s="80"/>
      <c r="V27" s="77"/>
      <c r="W27" s="67">
        <f t="shared" si="0"/>
        <v>5</v>
      </c>
      <c r="X27" s="68">
        <f t="shared" si="1"/>
        <v>4.7</v>
      </c>
      <c r="Y27" s="117">
        <f t="shared" si="2"/>
        <v>9.6999999999999993</v>
      </c>
      <c r="Z27" s="70">
        <f>'[1]cálculos teóricos'!I112</f>
        <v>11.355240385788584</v>
      </c>
      <c r="AA27" s="71">
        <f t="shared" si="3"/>
        <v>85.423114530801428</v>
      </c>
      <c r="AB27" s="3"/>
    </row>
    <row r="28" spans="1:28" ht="18" customHeight="1">
      <c r="A28" s="84">
        <v>20</v>
      </c>
      <c r="B28" s="75">
        <v>23.2</v>
      </c>
      <c r="C28" s="73">
        <f>'[1]cálculos teóricos'!K113</f>
        <v>0.98702181333694017</v>
      </c>
      <c r="D28" s="58">
        <f t="shared" si="4"/>
        <v>333.48821854195467</v>
      </c>
      <c r="E28" s="59">
        <f t="shared" si="5"/>
        <v>13.962484733914557</v>
      </c>
      <c r="F28" s="60">
        <f t="shared" si="6"/>
        <v>17.782188397393199</v>
      </c>
      <c r="G28" s="61">
        <f>'[1]cálculos teóricos'!T113</f>
        <v>29.005129773706106</v>
      </c>
      <c r="H28" s="74">
        <f t="shared" si="7"/>
        <v>61.307046498765224</v>
      </c>
      <c r="I28" s="78"/>
      <c r="J28" s="80">
        <v>0.2</v>
      </c>
      <c r="K28" s="80">
        <v>1</v>
      </c>
      <c r="L28" s="80">
        <v>1</v>
      </c>
      <c r="M28" s="80">
        <v>1</v>
      </c>
      <c r="N28" s="80">
        <v>1</v>
      </c>
      <c r="O28" s="77">
        <v>1</v>
      </c>
      <c r="P28" s="81">
        <v>1</v>
      </c>
      <c r="Q28" s="81">
        <v>1</v>
      </c>
      <c r="R28" s="80">
        <v>0.7</v>
      </c>
      <c r="S28" s="80">
        <v>1</v>
      </c>
      <c r="T28" s="80">
        <v>0.9</v>
      </c>
      <c r="U28" s="80"/>
      <c r="V28" s="77"/>
      <c r="W28" s="67">
        <f t="shared" si="0"/>
        <v>5.2</v>
      </c>
      <c r="X28" s="68">
        <f t="shared" si="1"/>
        <v>4.6000000000000005</v>
      </c>
      <c r="Y28" s="117">
        <f t="shared" si="2"/>
        <v>9.8000000000000007</v>
      </c>
      <c r="Z28" s="70">
        <f>'[1]cálculos teóricos'!I113</f>
        <v>11.334164319368824</v>
      </c>
      <c r="AA28" s="71">
        <f t="shared" si="3"/>
        <v>86.464248477965796</v>
      </c>
      <c r="AB28" s="3"/>
    </row>
    <row r="29" spans="1:28" ht="18" customHeight="1">
      <c r="A29" s="84">
        <v>21</v>
      </c>
      <c r="B29" s="75">
        <v>25.2</v>
      </c>
      <c r="C29" s="73">
        <f>'[1]cálculos teóricos'!K114</f>
        <v>0.98606602575038249</v>
      </c>
      <c r="D29" s="58">
        <f t="shared" si="4"/>
        <v>361.88642866359555</v>
      </c>
      <c r="E29" s="59">
        <f t="shared" si="5"/>
        <v>15.151460995287419</v>
      </c>
      <c r="F29" s="60">
        <f t="shared" si="6"/>
        <v>19.268408724109271</v>
      </c>
      <c r="G29" s="61">
        <f>'[1]cálculos teóricos'!T114</f>
        <v>28.818668858789103</v>
      </c>
      <c r="H29" s="74">
        <f t="shared" si="7"/>
        <v>66.860856129490529</v>
      </c>
      <c r="I29" s="78"/>
      <c r="J29" s="80"/>
      <c r="K29" s="80">
        <v>1</v>
      </c>
      <c r="L29" s="80">
        <v>1</v>
      </c>
      <c r="M29" s="80">
        <v>1</v>
      </c>
      <c r="N29" s="80">
        <v>1</v>
      </c>
      <c r="O29" s="77">
        <v>1</v>
      </c>
      <c r="P29" s="81">
        <v>1</v>
      </c>
      <c r="Q29" s="81">
        <v>1</v>
      </c>
      <c r="R29" s="80">
        <v>1</v>
      </c>
      <c r="S29" s="80">
        <v>1</v>
      </c>
      <c r="T29" s="80">
        <v>0.8</v>
      </c>
      <c r="U29" s="80"/>
      <c r="V29" s="77"/>
      <c r="W29" s="67">
        <f t="shared" si="0"/>
        <v>5</v>
      </c>
      <c r="X29" s="68">
        <f t="shared" si="1"/>
        <v>4.8</v>
      </c>
      <c r="Y29" s="117">
        <f t="shared" si="2"/>
        <v>9.8000000000000007</v>
      </c>
      <c r="Z29" s="70">
        <f>'[1]cálculos teóricos'!I114</f>
        <v>11.313219162761063</v>
      </c>
      <c r="AA29" s="71">
        <f t="shared" si="3"/>
        <v>86.624327337863122</v>
      </c>
      <c r="AB29" s="3"/>
    </row>
    <row r="30" spans="1:28" ht="18" customHeight="1">
      <c r="A30" s="84">
        <v>22</v>
      </c>
      <c r="B30" s="75">
        <v>20.100000000000001</v>
      </c>
      <c r="C30" s="73">
        <f>'[1]cálculos teóricos'!K115</f>
        <v>0.98511132867754536</v>
      </c>
      <c r="D30" s="58">
        <f t="shared" si="4"/>
        <v>288.36804358742819</v>
      </c>
      <c r="E30" s="59">
        <f t="shared" si="5"/>
        <v>12.073393248918444</v>
      </c>
      <c r="F30" s="60">
        <f t="shared" si="6"/>
        <v>15.420824041148055</v>
      </c>
      <c r="G30" s="61">
        <f>'[1]cálculos teóricos'!T115</f>
        <v>28.633289479940686</v>
      </c>
      <c r="H30" s="74">
        <f t="shared" si="7"/>
        <v>53.856278203561821</v>
      </c>
      <c r="I30" s="78"/>
      <c r="J30" s="80"/>
      <c r="K30" s="80"/>
      <c r="L30" s="80"/>
      <c r="M30" s="80"/>
      <c r="N30" s="80">
        <v>0.9</v>
      </c>
      <c r="O30" s="77">
        <v>1</v>
      </c>
      <c r="P30" s="81">
        <v>1</v>
      </c>
      <c r="Q30" s="81">
        <v>0.9</v>
      </c>
      <c r="R30" s="80">
        <v>1</v>
      </c>
      <c r="S30" s="80">
        <v>1</v>
      </c>
      <c r="T30" s="80">
        <v>0.9</v>
      </c>
      <c r="U30" s="150"/>
      <c r="V30" s="77"/>
      <c r="W30" s="67">
        <f t="shared" si="0"/>
        <v>1.9</v>
      </c>
      <c r="X30" s="68">
        <f t="shared" si="1"/>
        <v>4.8</v>
      </c>
      <c r="Y30" s="117">
        <f t="shared" si="2"/>
        <v>6.6999999999999993</v>
      </c>
      <c r="Z30" s="70">
        <f>'[1]cálculos teóricos'!I115</f>
        <v>11.292410079000071</v>
      </c>
      <c r="AA30" s="71">
        <f t="shared" si="3"/>
        <v>59.331887109374932</v>
      </c>
      <c r="AB30" s="3"/>
    </row>
    <row r="31" spans="1:28" ht="18" customHeight="1">
      <c r="A31" s="84">
        <v>23</v>
      </c>
      <c r="B31" s="75">
        <v>24.1</v>
      </c>
      <c r="C31" s="73">
        <f>'[1]cálculos teóricos'!K116</f>
        <v>0.98415819146685024</v>
      </c>
      <c r="D31" s="58">
        <f t="shared" si="4"/>
        <v>345.42018649640215</v>
      </c>
      <c r="E31" s="59">
        <f t="shared" si="5"/>
        <v>14.462052368231364</v>
      </c>
      <c r="F31" s="60">
        <f t="shared" si="6"/>
        <v>18.406647940289204</v>
      </c>
      <c r="G31" s="61">
        <f>'[1]cálculos teóricos'!T116</f>
        <v>28.449066415364875</v>
      </c>
      <c r="H31" s="74">
        <f t="shared" si="7"/>
        <v>64.700358428451182</v>
      </c>
      <c r="I31" s="78"/>
      <c r="J31" s="80"/>
      <c r="K31" s="80">
        <v>0.2</v>
      </c>
      <c r="L31" s="80">
        <v>0.7</v>
      </c>
      <c r="M31" s="80">
        <v>1</v>
      </c>
      <c r="N31" s="80">
        <v>1</v>
      </c>
      <c r="O31" s="77">
        <v>1</v>
      </c>
      <c r="P31" s="81">
        <v>0.9</v>
      </c>
      <c r="Q31" s="81">
        <v>0.8</v>
      </c>
      <c r="R31" s="80">
        <v>0.9</v>
      </c>
      <c r="S31" s="80">
        <v>1</v>
      </c>
      <c r="T31" s="80">
        <v>0.8</v>
      </c>
      <c r="U31" s="80"/>
      <c r="V31" s="77"/>
      <c r="W31" s="67">
        <f t="shared" si="0"/>
        <v>3.9</v>
      </c>
      <c r="X31" s="68">
        <f t="shared" si="1"/>
        <v>4.4000000000000004</v>
      </c>
      <c r="Y31" s="117">
        <f t="shared" si="2"/>
        <v>8.3000000000000007</v>
      </c>
      <c r="Z31" s="70">
        <f>'[1]cálculos teóricos'!I116</f>
        <v>11.27174235273929</v>
      </c>
      <c r="AA31" s="71">
        <f t="shared" si="3"/>
        <v>73.635465931164688</v>
      </c>
      <c r="AB31" s="3"/>
    </row>
    <row r="32" spans="1:28" ht="18" customHeight="1">
      <c r="A32" s="84">
        <v>24</v>
      </c>
      <c r="B32" s="75">
        <v>22.1</v>
      </c>
      <c r="C32" s="73">
        <f>'[1]cálculos teóricos'!K117</f>
        <v>0.98320708911994803</v>
      </c>
      <c r="D32" s="58">
        <f t="shared" si="4"/>
        <v>316.44849537700384</v>
      </c>
      <c r="E32" s="59">
        <f t="shared" si="5"/>
        <v>13.249065604444397</v>
      </c>
      <c r="F32" s="60">
        <f t="shared" si="6"/>
        <v>16.890414485555496</v>
      </c>
      <c r="G32" s="61">
        <f>'[1]cálculos teóricos'!T117</f>
        <v>28.266074346361314</v>
      </c>
      <c r="H32" s="74">
        <f t="shared" si="7"/>
        <v>59.755076982346488</v>
      </c>
      <c r="I32" s="78"/>
      <c r="J32" s="80"/>
      <c r="K32" s="80">
        <v>0.4</v>
      </c>
      <c r="L32" s="80">
        <v>1</v>
      </c>
      <c r="M32" s="80">
        <v>1</v>
      </c>
      <c r="N32" s="80">
        <v>1</v>
      </c>
      <c r="O32" s="77">
        <v>1</v>
      </c>
      <c r="P32" s="81">
        <v>1</v>
      </c>
      <c r="Q32" s="81">
        <v>1</v>
      </c>
      <c r="R32" s="80">
        <v>1</v>
      </c>
      <c r="S32" s="80">
        <v>1</v>
      </c>
      <c r="T32" s="80">
        <v>0.6</v>
      </c>
      <c r="U32" s="80"/>
      <c r="V32" s="77"/>
      <c r="W32" s="67">
        <f t="shared" si="0"/>
        <v>4.4000000000000004</v>
      </c>
      <c r="X32" s="68">
        <f t="shared" si="1"/>
        <v>4.5999999999999996</v>
      </c>
      <c r="Y32" s="117">
        <f t="shared" si="2"/>
        <v>9</v>
      </c>
      <c r="Z32" s="70">
        <f>'[1]cálculos teóricos'!I117</f>
        <v>11.251221391583176</v>
      </c>
      <c r="AA32" s="71">
        <f t="shared" si="3"/>
        <v>79.991315491602791</v>
      </c>
      <c r="AB32" s="3"/>
    </row>
    <row r="33" spans="1:28" ht="18" customHeight="1">
      <c r="A33" s="84">
        <v>25</v>
      </c>
      <c r="B33" s="75">
        <v>26</v>
      </c>
      <c r="C33" s="73">
        <f>'[1]cálculos teóricos'!K118</f>
        <v>0.98225850203790688</v>
      </c>
      <c r="D33" s="58">
        <f t="shared" si="4"/>
        <v>371.93316405515554</v>
      </c>
      <c r="E33" s="59">
        <f t="shared" si="5"/>
        <v>15.572097712661252</v>
      </c>
      <c r="F33" s="60">
        <f t="shared" si="6"/>
        <v>19.794204620826566</v>
      </c>
      <c r="G33" s="61">
        <f>'[1]cálculos teóricos'!T118</f>
        <v>28.08438781916194</v>
      </c>
      <c r="H33" s="74">
        <f t="shared" si="7"/>
        <v>70.481168214466138</v>
      </c>
      <c r="I33" s="78"/>
      <c r="J33" s="80"/>
      <c r="K33" s="80">
        <v>0.6</v>
      </c>
      <c r="L33" s="80">
        <v>1</v>
      </c>
      <c r="M33" s="80">
        <v>1</v>
      </c>
      <c r="N33" s="80">
        <v>1</v>
      </c>
      <c r="O33" s="77">
        <v>1</v>
      </c>
      <c r="P33" s="78">
        <v>1</v>
      </c>
      <c r="Q33" s="81">
        <v>1</v>
      </c>
      <c r="R33" s="80">
        <v>1</v>
      </c>
      <c r="S33" s="80">
        <v>1</v>
      </c>
      <c r="T33" s="80">
        <v>0.6</v>
      </c>
      <c r="U33" s="80"/>
      <c r="V33" s="77"/>
      <c r="W33" s="67">
        <f t="shared" si="0"/>
        <v>4.5999999999999996</v>
      </c>
      <c r="X33" s="68">
        <f t="shared" si="1"/>
        <v>4.5999999999999996</v>
      </c>
      <c r="Y33" s="117">
        <f t="shared" si="2"/>
        <v>9.1999999999999993</v>
      </c>
      <c r="Z33" s="70">
        <f>'[1]cálculos teóricos'!I118</f>
        <v>11.230852727054316</v>
      </c>
      <c r="AA33" s="71">
        <f t="shared" si="3"/>
        <v>81.91719919750939</v>
      </c>
      <c r="AB33" s="3"/>
    </row>
    <row r="34" spans="1:28" ht="18" customHeight="1">
      <c r="A34" s="84">
        <v>26</v>
      </c>
      <c r="B34" s="75">
        <v>25.8</v>
      </c>
      <c r="C34" s="73">
        <f>'[1]cálculos teóricos'!K119</f>
        <v>0.98131291575291579</v>
      </c>
      <c r="D34" s="58">
        <f t="shared" si="4"/>
        <v>368.71684673304378</v>
      </c>
      <c r="E34" s="59">
        <f t="shared" si="5"/>
        <v>15.437436939019076</v>
      </c>
      <c r="F34" s="60">
        <f t="shared" si="6"/>
        <v>19.625878653773849</v>
      </c>
      <c r="G34" s="61">
        <f>'[1]cálculos teóricos'!T119</f>
        <v>27.904081206131991</v>
      </c>
      <c r="H34" s="74">
        <f t="shared" si="7"/>
        <v>70.333362739286372</v>
      </c>
      <c r="I34" s="78"/>
      <c r="J34" s="80">
        <v>0.1</v>
      </c>
      <c r="K34" s="80">
        <v>1</v>
      </c>
      <c r="L34" s="80">
        <v>1</v>
      </c>
      <c r="M34" s="80">
        <v>1</v>
      </c>
      <c r="N34" s="80">
        <v>1</v>
      </c>
      <c r="O34" s="77">
        <v>1</v>
      </c>
      <c r="P34" s="81">
        <v>1</v>
      </c>
      <c r="Q34" s="80">
        <v>1</v>
      </c>
      <c r="R34" s="80">
        <v>1</v>
      </c>
      <c r="S34" s="80">
        <v>1</v>
      </c>
      <c r="T34" s="80">
        <v>1</v>
      </c>
      <c r="U34" s="80">
        <v>0.1</v>
      </c>
      <c r="V34" s="77"/>
      <c r="W34" s="67">
        <f t="shared" si="0"/>
        <v>5.0999999999999996</v>
      </c>
      <c r="X34" s="68">
        <f t="shared" si="1"/>
        <v>5.0999999999999996</v>
      </c>
      <c r="Y34" s="117">
        <f t="shared" si="2"/>
        <v>10.199999999999999</v>
      </c>
      <c r="Z34" s="70">
        <f>'[1]cálculos teóricos'!I119</f>
        <v>11.210642015179907</v>
      </c>
      <c r="AA34" s="71">
        <f t="shared" si="3"/>
        <v>90.984976473145466</v>
      </c>
      <c r="AB34" s="3"/>
    </row>
    <row r="35" spans="1:28" ht="18" customHeight="1">
      <c r="A35" s="84">
        <v>27</v>
      </c>
      <c r="B35" s="75">
        <v>23.8</v>
      </c>
      <c r="C35" s="73">
        <f>'[1]cálculos teóricos'!K120</f>
        <v>0.98037082064520997</v>
      </c>
      <c r="D35" s="58">
        <f t="shared" si="4"/>
        <v>339.80760462590308</v>
      </c>
      <c r="E35" s="59">
        <f t="shared" si="5"/>
        <v>14.227064790477309</v>
      </c>
      <c r="F35" s="60">
        <f t="shared" si="6"/>
        <v>18.112913468096636</v>
      </c>
      <c r="G35" s="61">
        <f>'[1]cálculos teóricos'!T120</f>
        <v>27.725228666343192</v>
      </c>
      <c r="H35" s="74">
        <f t="shared" si="7"/>
        <v>65.330077836597454</v>
      </c>
      <c r="I35" s="78"/>
      <c r="J35" s="80">
        <v>0.3</v>
      </c>
      <c r="K35" s="80">
        <v>1</v>
      </c>
      <c r="L35" s="80">
        <v>1</v>
      </c>
      <c r="M35" s="80">
        <v>1</v>
      </c>
      <c r="N35" s="80">
        <v>1</v>
      </c>
      <c r="O35" s="77">
        <v>1</v>
      </c>
      <c r="P35" s="81">
        <v>1</v>
      </c>
      <c r="Q35" s="80">
        <v>1</v>
      </c>
      <c r="R35" s="80">
        <v>1</v>
      </c>
      <c r="S35" s="80">
        <v>1</v>
      </c>
      <c r="T35" s="80">
        <v>1</v>
      </c>
      <c r="U35" s="80"/>
      <c r="V35" s="77"/>
      <c r="W35" s="67">
        <f t="shared" si="0"/>
        <v>5.3</v>
      </c>
      <c r="X35" s="68">
        <f t="shared" si="1"/>
        <v>5</v>
      </c>
      <c r="Y35" s="117">
        <f t="shared" si="2"/>
        <v>10.3</v>
      </c>
      <c r="Z35" s="70">
        <f>'[1]cálculos teóricos'!I120</f>
        <v>11.190595036682291</v>
      </c>
      <c r="AA35" s="71">
        <f t="shared" si="3"/>
        <v>92.041575682410468</v>
      </c>
      <c r="AB35" s="3"/>
    </row>
    <row r="36" spans="1:28" ht="18" customHeight="1">
      <c r="A36" s="84">
        <v>28</v>
      </c>
      <c r="B36" s="75">
        <v>23.9</v>
      </c>
      <c r="C36" s="73">
        <f>'[1]cálculos teóricos'!K121</f>
        <v>0.97943271164497014</v>
      </c>
      <c r="D36" s="58">
        <f t="shared" si="4"/>
        <v>340.90884227539237</v>
      </c>
      <c r="E36" s="59">
        <f t="shared" si="5"/>
        <v>14.273171408386126</v>
      </c>
      <c r="F36" s="60">
        <f t="shared" si="6"/>
        <v>18.17054674048266</v>
      </c>
      <c r="G36" s="61">
        <f>'[1]cálculos teóricos'!T121</f>
        <v>27.547904105531607</v>
      </c>
      <c r="H36" s="74">
        <f t="shared" si="7"/>
        <v>65.959815566636962</v>
      </c>
      <c r="I36" s="78"/>
      <c r="J36" s="80">
        <v>0.3</v>
      </c>
      <c r="K36" s="80">
        <v>1</v>
      </c>
      <c r="L36" s="80">
        <v>1</v>
      </c>
      <c r="M36" s="80">
        <v>1</v>
      </c>
      <c r="N36" s="80">
        <v>0.1</v>
      </c>
      <c r="O36" s="77">
        <v>0.9</v>
      </c>
      <c r="P36" s="81">
        <v>1</v>
      </c>
      <c r="Q36" s="80">
        <v>1</v>
      </c>
      <c r="R36" s="80">
        <v>1</v>
      </c>
      <c r="S36" s="80">
        <v>1</v>
      </c>
      <c r="T36" s="80">
        <v>1</v>
      </c>
      <c r="U36" s="80"/>
      <c r="V36" s="77"/>
      <c r="W36" s="67">
        <f t="shared" si="0"/>
        <v>4.3</v>
      </c>
      <c r="X36" s="68">
        <f t="shared" si="1"/>
        <v>5</v>
      </c>
      <c r="Y36" s="117">
        <f t="shared" si="2"/>
        <v>9.3000000000000007</v>
      </c>
      <c r="Z36" s="70">
        <f>'[1]cálculos teóricos'!I121</f>
        <v>11.170717696758381</v>
      </c>
      <c r="AA36" s="71">
        <f t="shared" si="3"/>
        <v>83.253379527250601</v>
      </c>
      <c r="AB36" s="3"/>
    </row>
    <row r="37" spans="1:28" ht="18" customHeight="1">
      <c r="A37" s="84">
        <v>29</v>
      </c>
      <c r="B37" s="75">
        <v>26.4</v>
      </c>
      <c r="C37" s="73">
        <f>'[1]cálculos teóricos'!K122</f>
        <v>0.97849908791898976</v>
      </c>
      <c r="D37" s="58">
        <f t="shared" si="4"/>
        <v>376.20980672637666</v>
      </c>
      <c r="E37" s="59">
        <f t="shared" si="5"/>
        <v>15.751152188019937</v>
      </c>
      <c r="F37" s="60">
        <f t="shared" si="6"/>
        <v>20.018022715024923</v>
      </c>
      <c r="G37" s="61">
        <f>'[1]cálculos teóricos'!T122</f>
        <v>27.372181135458487</v>
      </c>
      <c r="H37" s="74">
        <f t="shared" si="7"/>
        <v>73.132727771895247</v>
      </c>
      <c r="I37" s="78"/>
      <c r="J37" s="80"/>
      <c r="K37" s="80">
        <v>1</v>
      </c>
      <c r="L37" s="80">
        <v>1</v>
      </c>
      <c r="M37" s="80">
        <v>1</v>
      </c>
      <c r="N37" s="80">
        <v>1</v>
      </c>
      <c r="O37" s="77">
        <v>1</v>
      </c>
      <c r="P37" s="81">
        <v>1</v>
      </c>
      <c r="Q37" s="80">
        <v>1</v>
      </c>
      <c r="R37" s="80">
        <v>1</v>
      </c>
      <c r="S37" s="80">
        <v>1</v>
      </c>
      <c r="T37" s="80">
        <v>1</v>
      </c>
      <c r="U37" s="80"/>
      <c r="V37" s="77"/>
      <c r="W37" s="67">
        <f t="shared" si="0"/>
        <v>5</v>
      </c>
      <c r="X37" s="68">
        <f t="shared" si="1"/>
        <v>5</v>
      </c>
      <c r="Y37" s="117">
        <f t="shared" si="2"/>
        <v>10</v>
      </c>
      <c r="Z37" s="70">
        <f>'[1]cálculos teóricos'!I122</f>
        <v>11.15101602443325</v>
      </c>
      <c r="AA37" s="71">
        <f t="shared" si="3"/>
        <v>89.677926908980922</v>
      </c>
      <c r="AB37" s="3"/>
    </row>
    <row r="38" spans="1:28" ht="18" customHeight="1" thickBot="1">
      <c r="A38" s="79">
        <v>30</v>
      </c>
      <c r="B38" s="75">
        <v>21.6</v>
      </c>
      <c r="C38" s="73">
        <f>'[1]cálculos teóricos'!K123</f>
        <v>0.97757045254197084</v>
      </c>
      <c r="D38" s="58">
        <f t="shared" si="4"/>
        <v>307.51590136885187</v>
      </c>
      <c r="E38" s="59">
        <f t="shared" si="5"/>
        <v>12.875075758511089</v>
      </c>
      <c r="F38" s="60">
        <f t="shared" si="6"/>
        <v>16.422927178138863</v>
      </c>
      <c r="G38" s="61">
        <f>'[1]cálculos teóricos'!T123</f>
        <v>27.198133032696809</v>
      </c>
      <c r="H38" s="74">
        <f t="shared" si="7"/>
        <v>60.382553311272119</v>
      </c>
      <c r="I38" s="78"/>
      <c r="J38" s="80"/>
      <c r="K38" s="80">
        <v>0.5</v>
      </c>
      <c r="L38" s="80">
        <v>1</v>
      </c>
      <c r="M38" s="80">
        <v>1</v>
      </c>
      <c r="N38" s="80">
        <v>1</v>
      </c>
      <c r="O38" s="77">
        <v>0.3</v>
      </c>
      <c r="P38" s="81">
        <v>0.8</v>
      </c>
      <c r="Q38" s="80">
        <v>1</v>
      </c>
      <c r="R38" s="80">
        <v>1</v>
      </c>
      <c r="S38" s="80">
        <v>1</v>
      </c>
      <c r="T38" s="80">
        <v>0.4</v>
      </c>
      <c r="U38" s="80"/>
      <c r="V38" s="77"/>
      <c r="W38" s="67">
        <f t="shared" si="0"/>
        <v>3.8</v>
      </c>
      <c r="X38" s="68">
        <f t="shared" si="1"/>
        <v>4.2</v>
      </c>
      <c r="Y38" s="120">
        <f t="shared" si="2"/>
        <v>8</v>
      </c>
      <c r="Z38" s="70">
        <f>'[1]cálculos teóricos'!I123</f>
        <v>11.131496171473273</v>
      </c>
      <c r="AA38" s="71">
        <f t="shared" si="3"/>
        <v>71.868146714200293</v>
      </c>
      <c r="AB38" s="3"/>
    </row>
    <row r="39" spans="1:28" ht="18" customHeight="1" thickTop="1" thickBot="1">
      <c r="A39" s="86"/>
      <c r="B39" s="87"/>
      <c r="C39" s="88"/>
      <c r="D39" s="89"/>
      <c r="E39" s="119"/>
      <c r="F39" s="91"/>
      <c r="G39" s="92"/>
      <c r="H39" s="93"/>
      <c r="I39" s="94"/>
      <c r="J39" s="94"/>
      <c r="K39" s="94"/>
      <c r="L39" s="94"/>
      <c r="M39" s="94"/>
      <c r="N39" s="94"/>
      <c r="O39" s="95"/>
      <c r="P39" s="94"/>
      <c r="Q39" s="94"/>
      <c r="R39" s="94"/>
      <c r="S39" s="94"/>
      <c r="T39" s="94"/>
      <c r="U39" s="94"/>
      <c r="V39" s="95"/>
      <c r="W39" s="67"/>
      <c r="X39" s="68"/>
      <c r="Y39" s="124"/>
      <c r="Z39" s="151"/>
      <c r="AA39" s="152"/>
      <c r="AB39" s="3"/>
    </row>
    <row r="40" spans="1:28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5">
        <f>SUM(I9:I39)</f>
        <v>0</v>
      </c>
      <c r="J40" s="5">
        <f t="shared" ref="J40:V40" si="8">SUM(J9:J39)</f>
        <v>-96.800000000000011</v>
      </c>
      <c r="K40" s="5">
        <f t="shared" si="8"/>
        <v>-82.1</v>
      </c>
      <c r="L40" s="5">
        <f t="shared" si="8"/>
        <v>-77.2</v>
      </c>
      <c r="M40" s="5">
        <f t="shared" si="8"/>
        <v>-75.3</v>
      </c>
      <c r="N40" s="5">
        <f t="shared" si="8"/>
        <v>-76.300000000000011</v>
      </c>
      <c r="O40" s="5">
        <f t="shared" si="8"/>
        <v>-76.399999999999991</v>
      </c>
      <c r="P40" s="5">
        <f t="shared" si="8"/>
        <v>-75.3</v>
      </c>
      <c r="Q40" s="5">
        <f t="shared" si="8"/>
        <v>-75.099999999999994</v>
      </c>
      <c r="R40" s="5">
        <f t="shared" si="8"/>
        <v>-75.499999999999986</v>
      </c>
      <c r="S40" s="5">
        <f t="shared" si="8"/>
        <v>-76.8</v>
      </c>
      <c r="T40" s="5">
        <f t="shared" si="8"/>
        <v>-81.3</v>
      </c>
      <c r="U40" s="5">
        <f t="shared" si="8"/>
        <v>-98.4</v>
      </c>
      <c r="V40" s="5">
        <f t="shared" si="8"/>
        <v>0</v>
      </c>
      <c r="W40" s="103">
        <f>SUM(W9:W38)</f>
        <v>109.9</v>
      </c>
      <c r="X40" s="103">
        <f>SUM(X9:X38)</f>
        <v>111.6</v>
      </c>
      <c r="Y40" s="103">
        <f>SUM(Y9:Y38)</f>
        <v>221.50000000000006</v>
      </c>
      <c r="Z40" s="104"/>
      <c r="AA40" s="104"/>
      <c r="AB40" s="100"/>
    </row>
    <row r="41" spans="1:28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8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  <row r="56" spans="1:28" ht="15">
      <c r="B56" s="105" t="s">
        <v>71</v>
      </c>
    </row>
  </sheetData>
  <sheetProtection selectLockedCells="1" selectUnlockedCells="1"/>
  <mergeCells count="2">
    <mergeCell ref="I5:W5"/>
    <mergeCell ref="I7:U7"/>
  </mergeCells>
  <pageMargins left="0" right="0" top="0.39374999999999999" bottom="0.98402777777777772" header="0.51180555555555551" footer="0.51180555555555551"/>
  <pageSetup paperSize="39" scale="50" firstPageNumber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55"/>
  <sheetViews>
    <sheetView topLeftCell="A4" zoomScale="70" zoomScaleNormal="70" workbookViewId="0">
      <selection activeCell="A31" sqref="A31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9" ht="18" customHeight="1">
      <c r="A1" s="1" t="s">
        <v>72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9" ht="18" customHeight="1">
      <c r="A2" s="3"/>
      <c r="B2" s="8" t="s">
        <v>73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153" t="s">
        <v>74</v>
      </c>
      <c r="W2" s="3"/>
      <c r="X2" s="3"/>
      <c r="Y2" s="3"/>
      <c r="Z2" s="3"/>
      <c r="AA2" s="3"/>
      <c r="AB2" s="3"/>
    </row>
    <row r="3" spans="1:29" ht="18" customHeight="1">
      <c r="A3" s="3"/>
      <c r="B3" s="153" t="s">
        <v>75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76</v>
      </c>
      <c r="W3" s="3"/>
      <c r="X3" s="6"/>
      <c r="Y3" s="6"/>
      <c r="Z3" s="6"/>
      <c r="AA3" s="6"/>
      <c r="AB3" s="3"/>
    </row>
    <row r="4" spans="1:29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9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9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9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9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53" t="s">
        <v>49</v>
      </c>
      <c r="Z8" s="51" t="s">
        <v>49</v>
      </c>
      <c r="AA8" s="54" t="s">
        <v>49</v>
      </c>
      <c r="AB8" s="154"/>
    </row>
    <row r="9" spans="1:29" ht="18" customHeight="1">
      <c r="A9" s="109">
        <v>1</v>
      </c>
      <c r="B9" s="56">
        <v>18.7</v>
      </c>
      <c r="C9" s="73">
        <f>'[1]cálculos teóricos'!K124</f>
        <v>0.97664731215234668</v>
      </c>
      <c r="D9" s="58">
        <f>IF(B9&gt;0,B9*C9*14.25*1.022,-999)</f>
        <v>265.97763854092415</v>
      </c>
      <c r="E9" s="59">
        <f>IF(B9&gt;0,D9*4.1868/100,-999)</f>
        <v>11.135951770431411</v>
      </c>
      <c r="F9" s="60">
        <f>IF(B9&gt;0,(7.86+1.25*D9)*4.1868/100,-999)</f>
        <v>14.249022193039263</v>
      </c>
      <c r="G9" s="61">
        <f>'[1]cálculos teóricos'!T124</f>
        <v>27.025832696871763</v>
      </c>
      <c r="H9" s="62">
        <f>IF(B9&gt;0,100*F9/G9,-999)</f>
        <v>52.72371198645282</v>
      </c>
      <c r="I9" s="63"/>
      <c r="J9" s="63"/>
      <c r="K9" s="63"/>
      <c r="L9" s="63">
        <v>0.5</v>
      </c>
      <c r="M9" s="63">
        <v>0.8</v>
      </c>
      <c r="N9" s="145">
        <v>1</v>
      </c>
      <c r="O9" s="64">
        <v>1</v>
      </c>
      <c r="P9" s="63">
        <v>1</v>
      </c>
      <c r="Q9" s="63">
        <v>1</v>
      </c>
      <c r="R9" s="63">
        <v>0.9</v>
      </c>
      <c r="S9" s="63"/>
      <c r="T9" s="63"/>
      <c r="U9" s="63"/>
      <c r="V9" s="64"/>
      <c r="W9" s="67">
        <f t="shared" ref="W9:W39" si="0">SUM(I9:O9)</f>
        <v>3.3</v>
      </c>
      <c r="X9" s="68">
        <f>SUM(P9:V9)</f>
        <v>2.9</v>
      </c>
      <c r="Y9" s="114">
        <f>W9+X9</f>
        <v>6.1999999999999993</v>
      </c>
      <c r="Z9" s="70">
        <f>'[1]cálculos teóricos'!I124</f>
        <v>11.112164410845079</v>
      </c>
      <c r="AA9" s="71">
        <f>100*Y9/Z9</f>
        <v>55.794710830133312</v>
      </c>
      <c r="AB9" s="155"/>
      <c r="AC9" s="156"/>
    </row>
    <row r="10" spans="1:29" ht="18" customHeight="1">
      <c r="A10" s="109">
        <v>2</v>
      </c>
      <c r="B10" s="56">
        <v>16.100000000000001</v>
      </c>
      <c r="C10" s="73">
        <f>'[1]cálculos teóricos'!K125</f>
        <v>0.97573017659260319</v>
      </c>
      <c r="D10" s="58">
        <f>IF(B10&gt;0,B10*C10*14.25*1.022,-999)</f>
        <v>228.78174747158269</v>
      </c>
      <c r="E10" s="59">
        <f>IF(B10&gt;0,D10*4.1868/100,-999)</f>
        <v>9.5786342031402238</v>
      </c>
      <c r="F10" s="60">
        <f>IF(B10&gt;0,(7.86+1.25*D10)*4.1868/100,-999)</f>
        <v>12.302375233925279</v>
      </c>
      <c r="G10" s="61">
        <f>'[1]cálculos teóricos'!T125</f>
        <v>26.855352608387982</v>
      </c>
      <c r="H10" s="74">
        <f>IF(B10&gt;0,100*F10/G10,-999)</f>
        <v>45.809769893256828</v>
      </c>
      <c r="I10" s="56"/>
      <c r="J10" s="81"/>
      <c r="K10" s="81"/>
      <c r="L10" s="81">
        <v>0.8</v>
      </c>
      <c r="M10" s="81">
        <v>1</v>
      </c>
      <c r="N10" s="81">
        <v>0.9</v>
      </c>
      <c r="O10" s="76">
        <v>0.6</v>
      </c>
      <c r="P10" s="78">
        <v>0.6</v>
      </c>
      <c r="Q10" s="78">
        <v>0.7</v>
      </c>
      <c r="R10" s="75">
        <v>0.8</v>
      </c>
      <c r="S10" s="75">
        <v>0.2</v>
      </c>
      <c r="T10" s="75"/>
      <c r="U10" s="75"/>
      <c r="V10" s="77"/>
      <c r="W10" s="67">
        <f t="shared" si="0"/>
        <v>3.3000000000000003</v>
      </c>
      <c r="X10" s="68">
        <f t="shared" ref="X10:X39" si="1">SUM(P10:V10)</f>
        <v>2.2999999999999998</v>
      </c>
      <c r="Y10" s="117">
        <f t="shared" ref="Y10:Y39" si="2">W10+X10</f>
        <v>5.6</v>
      </c>
      <c r="Z10" s="70">
        <f>'[1]cálculos teóricos'!I125</f>
        <v>11.093027134706757</v>
      </c>
      <c r="AA10" s="71">
        <f t="shared" ref="AA10:AA39" si="3">100*Y10/Z10</f>
        <v>50.482162641424345</v>
      </c>
      <c r="AB10" s="155"/>
      <c r="AC10" s="156"/>
    </row>
    <row r="11" spans="1:29" ht="18" customHeight="1">
      <c r="A11" s="109">
        <v>3</v>
      </c>
      <c r="B11" s="56">
        <v>20.399999999999999</v>
      </c>
      <c r="C11" s="73">
        <f>'[1]cálculos teóricos'!K126</f>
        <v>0.97481955853411284</v>
      </c>
      <c r="D11" s="58">
        <f t="shared" ref="D11:D39" si="4">IF(B11&gt;0,B11*C11*14.25*1.022,-999)</f>
        <v>289.61440667051568</v>
      </c>
      <c r="E11" s="59">
        <f t="shared" ref="E11:E39" si="5">IF(B11&gt;0,D11*4.1868/100,-999)</f>
        <v>12.12557597848115</v>
      </c>
      <c r="F11" s="60">
        <f t="shared" ref="F11:F39" si="6">IF(B11&gt;0,(7.86+1.25*D11)*4.1868/100,-999)</f>
        <v>15.486052453101436</v>
      </c>
      <c r="G11" s="61">
        <f>'[1]cálculos teóricos'!T126</f>
        <v>26.686764785681291</v>
      </c>
      <c r="H11" s="74">
        <f t="shared" ref="H11:H39" si="7">IF(B11&gt;0,100*F11/G11,-999)</f>
        <v>58.028961462613985</v>
      </c>
      <c r="I11" s="56"/>
      <c r="J11" s="81">
        <v>0.1</v>
      </c>
      <c r="K11" s="81">
        <v>0.9</v>
      </c>
      <c r="L11" s="81">
        <v>1</v>
      </c>
      <c r="M11" s="81">
        <v>1</v>
      </c>
      <c r="N11" s="81">
        <v>0.9</v>
      </c>
      <c r="O11" s="76">
        <v>0.7</v>
      </c>
      <c r="P11" s="78">
        <v>0.8</v>
      </c>
      <c r="Q11" s="78">
        <v>1</v>
      </c>
      <c r="R11" s="75">
        <v>1</v>
      </c>
      <c r="S11" s="75">
        <v>1</v>
      </c>
      <c r="T11" s="75">
        <v>0.8</v>
      </c>
      <c r="U11" s="75"/>
      <c r="V11" s="77"/>
      <c r="W11" s="67">
        <f t="shared" si="0"/>
        <v>4.5999999999999996</v>
      </c>
      <c r="X11" s="68">
        <f t="shared" si="1"/>
        <v>4.5999999999999996</v>
      </c>
      <c r="Y11" s="117">
        <f t="shared" si="2"/>
        <v>9.1999999999999993</v>
      </c>
      <c r="Z11" s="70">
        <f>'[1]cálculos teóricos'!I126</f>
        <v>11.074090851918852</v>
      </c>
      <c r="AA11" s="71">
        <f t="shared" si="3"/>
        <v>83.076797210904928</v>
      </c>
      <c r="AB11" s="155"/>
      <c r="AC11" s="156"/>
    </row>
    <row r="12" spans="1:29" ht="18" customHeight="1">
      <c r="A12" s="109">
        <v>4</v>
      </c>
      <c r="B12" s="56">
        <v>22</v>
      </c>
      <c r="C12" s="73">
        <f>'[1]cálculos teóricos'!K127</f>
        <v>0.97391597308657185</v>
      </c>
      <c r="D12" s="58">
        <f t="shared" si="4"/>
        <v>312.03975602901835</v>
      </c>
      <c r="E12" s="59">
        <f t="shared" si="5"/>
        <v>13.064480505422939</v>
      </c>
      <c r="F12" s="60">
        <f t="shared" si="6"/>
        <v>16.659683111778676</v>
      </c>
      <c r="G12" s="61">
        <f>'[1]cálculos teóricos'!T127</f>
        <v>26.520140742037025</v>
      </c>
      <c r="H12" s="74">
        <f t="shared" si="7"/>
        <v>62.8189845364261</v>
      </c>
      <c r="I12" s="56"/>
      <c r="J12" s="81"/>
      <c r="K12" s="81">
        <v>0.8</v>
      </c>
      <c r="L12" s="81">
        <v>1</v>
      </c>
      <c r="M12" s="81">
        <v>1</v>
      </c>
      <c r="N12" s="81">
        <v>1</v>
      </c>
      <c r="O12" s="76">
        <v>0.9</v>
      </c>
      <c r="P12" s="78">
        <v>1</v>
      </c>
      <c r="Q12" s="78">
        <v>1</v>
      </c>
      <c r="R12" s="75">
        <v>1</v>
      </c>
      <c r="S12" s="75">
        <v>1</v>
      </c>
      <c r="T12" s="75">
        <v>1</v>
      </c>
      <c r="U12" s="75"/>
      <c r="V12" s="77"/>
      <c r="W12" s="67">
        <f t="shared" si="0"/>
        <v>4.7</v>
      </c>
      <c r="X12" s="68">
        <f t="shared" si="1"/>
        <v>5</v>
      </c>
      <c r="Y12" s="117">
        <f t="shared" si="2"/>
        <v>9.6999999999999993</v>
      </c>
      <c r="Z12" s="70">
        <f>'[1]cálculos teóricos'!I127</f>
        <v>11.055362185063325</v>
      </c>
      <c r="AA12" s="71">
        <f t="shared" si="3"/>
        <v>87.740228113968726</v>
      </c>
      <c r="AB12" s="155"/>
      <c r="AC12" s="156"/>
    </row>
    <row r="13" spans="1:29" ht="18" customHeight="1">
      <c r="A13" s="72">
        <v>5</v>
      </c>
      <c r="B13" s="56">
        <v>24.5</v>
      </c>
      <c r="C13" s="73">
        <f>'[1]cálculos teóricos'!K128</f>
        <v>0.97301993739218018</v>
      </c>
      <c r="D13" s="58">
        <f t="shared" si="4"/>
        <v>347.1791085261699</v>
      </c>
      <c r="E13" s="59">
        <f t="shared" si="5"/>
        <v>14.535694915773682</v>
      </c>
      <c r="F13" s="60">
        <f t="shared" si="6"/>
        <v>18.498701124717101</v>
      </c>
      <c r="G13" s="61">
        <f>'[1]cálculos teóricos'!T128</f>
        <v>26.355551442021564</v>
      </c>
      <c r="H13" s="74">
        <f t="shared" si="7"/>
        <v>70.189011849786539</v>
      </c>
      <c r="I13" s="56"/>
      <c r="J13" s="81"/>
      <c r="K13" s="81">
        <v>0.4</v>
      </c>
      <c r="L13" s="81">
        <v>1</v>
      </c>
      <c r="M13" s="81">
        <v>1</v>
      </c>
      <c r="N13" s="81">
        <v>1</v>
      </c>
      <c r="O13" s="76">
        <v>1</v>
      </c>
      <c r="P13" s="78">
        <v>0.9</v>
      </c>
      <c r="Q13" s="78">
        <v>1</v>
      </c>
      <c r="R13" s="75">
        <v>1</v>
      </c>
      <c r="S13" s="75">
        <v>0.9</v>
      </c>
      <c r="T13" s="75">
        <v>0.1</v>
      </c>
      <c r="U13" s="75"/>
      <c r="V13" s="77"/>
      <c r="W13" s="67">
        <f t="shared" si="0"/>
        <v>4.4000000000000004</v>
      </c>
      <c r="X13" s="68">
        <f t="shared" si="1"/>
        <v>3.9</v>
      </c>
      <c r="Y13" s="117">
        <f t="shared" si="2"/>
        <v>8.3000000000000007</v>
      </c>
      <c r="Z13" s="70">
        <f>'[1]cálculos teóricos'!I128</f>
        <v>11.036847866959667</v>
      </c>
      <c r="AA13" s="71">
        <f t="shared" si="3"/>
        <v>75.202631222699026</v>
      </c>
      <c r="AB13" s="155"/>
      <c r="AC13" s="156"/>
    </row>
    <row r="14" spans="1:29" ht="18" customHeight="1">
      <c r="A14" s="109">
        <v>6</v>
      </c>
      <c r="B14" s="56">
        <v>14.1</v>
      </c>
      <c r="C14" s="73">
        <f>'[1]cálculos teóricos'!K129</f>
        <v>0.97213197020477449</v>
      </c>
      <c r="D14" s="58">
        <f t="shared" si="4"/>
        <v>199.62277966788898</v>
      </c>
      <c r="E14" s="59">
        <f t="shared" si="5"/>
        <v>8.3578065391351757</v>
      </c>
      <c r="F14" s="60">
        <f t="shared" si="6"/>
        <v>10.77634065391897</v>
      </c>
      <c r="G14" s="61">
        <f>'[1]cálculos teóricos'!T129</f>
        <v>26.193067257577663</v>
      </c>
      <c r="H14" s="74">
        <f t="shared" si="7"/>
        <v>41.141957709444547</v>
      </c>
      <c r="I14" s="56"/>
      <c r="J14" s="81"/>
      <c r="K14" s="81"/>
      <c r="L14" s="81">
        <v>0.5</v>
      </c>
      <c r="M14" s="81">
        <v>0.8</v>
      </c>
      <c r="N14" s="81">
        <v>1</v>
      </c>
      <c r="O14" s="76">
        <v>0.6</v>
      </c>
      <c r="P14" s="78">
        <v>0.4</v>
      </c>
      <c r="Q14" s="78">
        <v>0.1</v>
      </c>
      <c r="R14" s="75"/>
      <c r="S14" s="75">
        <v>0.2</v>
      </c>
      <c r="T14" s="75"/>
      <c r="U14" s="75"/>
      <c r="V14" s="77"/>
      <c r="W14" s="67">
        <f t="shared" si="0"/>
        <v>2.9</v>
      </c>
      <c r="X14" s="68">
        <f t="shared" si="1"/>
        <v>0.7</v>
      </c>
      <c r="Y14" s="117">
        <f t="shared" si="2"/>
        <v>3.5999999999999996</v>
      </c>
      <c r="Z14" s="70">
        <f>'[1]cálculos teóricos'!I129</f>
        <v>11.018554736668527</v>
      </c>
      <c r="AA14" s="71">
        <f t="shared" si="3"/>
        <v>32.672161513338942</v>
      </c>
      <c r="AB14" s="155"/>
      <c r="AC14" s="156"/>
    </row>
    <row r="15" spans="1:29" ht="18" customHeight="1">
      <c r="A15" s="72">
        <v>7</v>
      </c>
      <c r="B15" s="56">
        <v>8.6</v>
      </c>
      <c r="C15" s="73">
        <f>'[1]cálculos teóricos'!K130</f>
        <v>0.97125259145418985</v>
      </c>
      <c r="D15" s="58">
        <f t="shared" si="4"/>
        <v>121.64559919453062</v>
      </c>
      <c r="E15" s="59">
        <f t="shared" si="5"/>
        <v>5.0930579470766073</v>
      </c>
      <c r="F15" s="60">
        <f t="shared" si="6"/>
        <v>6.6954049138457599</v>
      </c>
      <c r="G15" s="61">
        <f>'[1]cálculos teóricos'!T130</f>
        <v>26.032757923837824</v>
      </c>
      <c r="H15" s="74">
        <f t="shared" si="7"/>
        <v>25.719153281546372</v>
      </c>
      <c r="I15" s="56"/>
      <c r="J15" s="81"/>
      <c r="K15" s="81"/>
      <c r="L15" s="81"/>
      <c r="M15" s="81"/>
      <c r="N15" s="81">
        <v>0.2</v>
      </c>
      <c r="O15" s="76">
        <v>0.2</v>
      </c>
      <c r="P15" s="78"/>
      <c r="Q15" s="78"/>
      <c r="R15" s="75"/>
      <c r="S15" s="75"/>
      <c r="T15" s="75"/>
      <c r="U15" s="75"/>
      <c r="V15" s="77"/>
      <c r="W15" s="67">
        <f t="shared" si="0"/>
        <v>0.4</v>
      </c>
      <c r="X15" s="68">
        <f t="shared" si="1"/>
        <v>0</v>
      </c>
      <c r="Y15" s="117">
        <f t="shared" si="2"/>
        <v>0.4</v>
      </c>
      <c r="Z15" s="70">
        <f>'[1]cálculos teóricos'!I130</f>
        <v>11.000489734974462</v>
      </c>
      <c r="AA15" s="71">
        <f t="shared" si="3"/>
        <v>3.6362017477118131</v>
      </c>
      <c r="AB15" s="155"/>
      <c r="AC15" s="156"/>
    </row>
    <row r="16" spans="1:29" ht="18" customHeight="1">
      <c r="A16" s="79">
        <v>8</v>
      </c>
      <c r="B16" s="75">
        <v>14.8</v>
      </c>
      <c r="C16" s="73">
        <f>'[1]cálculos teóricos'!K131</f>
        <v>0.97038232179618111</v>
      </c>
      <c r="D16" s="58">
        <f t="shared" si="4"/>
        <v>209.15601156348455</v>
      </c>
      <c r="E16" s="59">
        <f t="shared" si="5"/>
        <v>8.7569438921399705</v>
      </c>
      <c r="F16" s="60">
        <f t="shared" si="6"/>
        <v>11.275262345174966</v>
      </c>
      <c r="G16" s="61">
        <f>'[1]cálculos teóricos'!T131</f>
        <v>25.874692494713734</v>
      </c>
      <c r="H16" s="74">
        <f t="shared" si="7"/>
        <v>43.576410994946237</v>
      </c>
      <c r="I16" s="78"/>
      <c r="J16" s="80"/>
      <c r="K16" s="80"/>
      <c r="L16" s="80">
        <v>0.9</v>
      </c>
      <c r="M16" s="80">
        <v>0.8</v>
      </c>
      <c r="N16" s="81">
        <v>0.7</v>
      </c>
      <c r="O16" s="77"/>
      <c r="P16" s="81">
        <v>0.4</v>
      </c>
      <c r="Q16" s="81">
        <v>0.2</v>
      </c>
      <c r="R16" s="80">
        <v>0.7</v>
      </c>
      <c r="S16" s="80">
        <v>0.4</v>
      </c>
      <c r="T16" s="80">
        <v>0.1</v>
      </c>
      <c r="U16" s="80"/>
      <c r="V16" s="77"/>
      <c r="W16" s="67">
        <f t="shared" si="0"/>
        <v>2.4000000000000004</v>
      </c>
      <c r="X16" s="68">
        <f t="shared" si="1"/>
        <v>1.8000000000000003</v>
      </c>
      <c r="Y16" s="117">
        <f t="shared" si="2"/>
        <v>4.2000000000000011</v>
      </c>
      <c r="Z16" s="70">
        <f>'[1]cálculos teóricos'!I131</f>
        <v>10.982659899340732</v>
      </c>
      <c r="AA16" s="71">
        <f t="shared" si="3"/>
        <v>38.242101990721928</v>
      </c>
      <c r="AB16" s="155"/>
      <c r="AC16" s="156"/>
    </row>
    <row r="17" spans="1:29" ht="18" customHeight="1">
      <c r="A17" s="79">
        <v>9</v>
      </c>
      <c r="B17" s="75">
        <v>25</v>
      </c>
      <c r="C17" s="73">
        <f>'[1]cálculos teóricos'!K132</f>
        <v>0.96952168214831635</v>
      </c>
      <c r="D17" s="58">
        <f t="shared" si="4"/>
        <v>352.9907254491751</v>
      </c>
      <c r="E17" s="59">
        <f t="shared" si="5"/>
        <v>14.779015693106063</v>
      </c>
      <c r="F17" s="60">
        <f t="shared" si="6"/>
        <v>18.80285209638258</v>
      </c>
      <c r="G17" s="61">
        <f>'[1]cálculos teóricos'!T132</f>
        <v>25.718939298322645</v>
      </c>
      <c r="H17" s="74">
        <f t="shared" si="7"/>
        <v>73.108971868092851</v>
      </c>
      <c r="I17" s="78"/>
      <c r="J17" s="80"/>
      <c r="K17" s="80">
        <v>0.6</v>
      </c>
      <c r="L17" s="80">
        <v>1</v>
      </c>
      <c r="M17" s="80">
        <v>1</v>
      </c>
      <c r="N17" s="81">
        <v>1</v>
      </c>
      <c r="O17" s="77">
        <v>1</v>
      </c>
      <c r="P17" s="81">
        <v>1</v>
      </c>
      <c r="Q17" s="81">
        <v>1</v>
      </c>
      <c r="R17" s="80">
        <v>1</v>
      </c>
      <c r="S17" s="80">
        <v>1</v>
      </c>
      <c r="T17" s="80">
        <v>1</v>
      </c>
      <c r="U17" s="80"/>
      <c r="V17" s="77"/>
      <c r="W17" s="67">
        <f t="shared" si="0"/>
        <v>4.5999999999999996</v>
      </c>
      <c r="X17" s="68">
        <f t="shared" si="1"/>
        <v>5</v>
      </c>
      <c r="Y17" s="117">
        <f t="shared" si="2"/>
        <v>9.6</v>
      </c>
      <c r="Z17" s="70">
        <f>'[1]cálculos teóricos'!I132</f>
        <v>10.965072358330648</v>
      </c>
      <c r="AA17" s="71">
        <f t="shared" si="3"/>
        <v>87.55072184002924</v>
      </c>
      <c r="AB17" s="155"/>
      <c r="AC17" s="156"/>
    </row>
    <row r="18" spans="1:29" ht="18" customHeight="1">
      <c r="A18" s="79">
        <v>10</v>
      </c>
      <c r="B18" s="75">
        <v>25.1</v>
      </c>
      <c r="C18" s="73">
        <f>'[1]cálculos teóricos'!K133</f>
        <v>0.96867119321230488</v>
      </c>
      <c r="D18" s="58">
        <f t="shared" si="4"/>
        <v>354.09179735091982</v>
      </c>
      <c r="E18" s="59">
        <f t="shared" si="5"/>
        <v>14.825115371488309</v>
      </c>
      <c r="F18" s="60">
        <f t="shared" si="6"/>
        <v>18.86047669436039</v>
      </c>
      <c r="G18" s="61">
        <f>'[1]cálculos teóricos'!T133</f>
        <v>25.565565892314495</v>
      </c>
      <c r="H18" s="74">
        <f t="shared" si="7"/>
        <v>73.772967802876664</v>
      </c>
      <c r="I18" s="78"/>
      <c r="J18" s="80"/>
      <c r="K18" s="80">
        <v>0.5</v>
      </c>
      <c r="L18" s="80">
        <v>1</v>
      </c>
      <c r="M18" s="80">
        <v>1</v>
      </c>
      <c r="N18" s="81">
        <v>1</v>
      </c>
      <c r="O18" s="76">
        <v>1</v>
      </c>
      <c r="P18" s="81">
        <v>1</v>
      </c>
      <c r="Q18" s="81">
        <v>1</v>
      </c>
      <c r="R18" s="80">
        <v>1</v>
      </c>
      <c r="S18" s="80">
        <v>1</v>
      </c>
      <c r="T18" s="80">
        <v>1</v>
      </c>
      <c r="U18" s="80">
        <v>0.3</v>
      </c>
      <c r="V18" s="77"/>
      <c r="W18" s="67">
        <f t="shared" si="0"/>
        <v>4.5</v>
      </c>
      <c r="X18" s="68">
        <f t="shared" si="1"/>
        <v>5.3</v>
      </c>
      <c r="Y18" s="117">
        <f t="shared" si="2"/>
        <v>9.8000000000000007</v>
      </c>
      <c r="Z18" s="70">
        <f>'[1]cálculos teóricos'!I133</f>
        <v>10.947734325491757</v>
      </c>
      <c r="AA18" s="71">
        <f t="shared" si="3"/>
        <v>89.51623878176089</v>
      </c>
      <c r="AB18" s="155"/>
      <c r="AC18" s="156"/>
    </row>
    <row r="19" spans="1:29" ht="18" customHeight="1">
      <c r="A19" s="84">
        <v>11</v>
      </c>
      <c r="B19" s="75">
        <v>24</v>
      </c>
      <c r="C19" s="73">
        <f>'[1]cálculos teóricos'!K134</f>
        <v>0.9678313749832993</v>
      </c>
      <c r="D19" s="58">
        <f t="shared" si="4"/>
        <v>338.28029350966273</v>
      </c>
      <c r="E19" s="59">
        <f t="shared" si="5"/>
        <v>14.163119328662559</v>
      </c>
      <c r="F19" s="60">
        <f t="shared" si="6"/>
        <v>18.032981640828197</v>
      </c>
      <c r="G19" s="61">
        <f>'[1]cálculos teóricos'!T134</f>
        <v>25.414639019166131</v>
      </c>
      <c r="H19" s="74">
        <f t="shared" si="7"/>
        <v>70.955096498631562</v>
      </c>
      <c r="I19" s="78"/>
      <c r="J19" s="80">
        <v>0.3</v>
      </c>
      <c r="K19" s="80">
        <v>1</v>
      </c>
      <c r="L19" s="80">
        <v>1</v>
      </c>
      <c r="M19" s="80">
        <v>1</v>
      </c>
      <c r="N19" s="80">
        <v>1</v>
      </c>
      <c r="O19" s="77">
        <v>1</v>
      </c>
      <c r="P19" s="81">
        <v>1</v>
      </c>
      <c r="Q19" s="81">
        <v>1</v>
      </c>
      <c r="R19" s="80">
        <v>1</v>
      </c>
      <c r="S19" s="80">
        <v>1</v>
      </c>
      <c r="T19" s="80">
        <v>0.8</v>
      </c>
      <c r="U19" s="80"/>
      <c r="V19" s="77"/>
      <c r="W19" s="67">
        <f t="shared" si="0"/>
        <v>5.3</v>
      </c>
      <c r="X19" s="68">
        <f t="shared" si="1"/>
        <v>4.8</v>
      </c>
      <c r="Y19" s="117">
        <f t="shared" si="2"/>
        <v>10.1</v>
      </c>
      <c r="Z19" s="70">
        <f>'[1]cálculos teóricos'!I134</f>
        <v>10.930653092700721</v>
      </c>
      <c r="AA19" s="71">
        <f t="shared" si="3"/>
        <v>92.400700254082579</v>
      </c>
      <c r="AB19" s="155"/>
      <c r="AC19" s="156"/>
    </row>
    <row r="20" spans="1:29" ht="18" customHeight="1">
      <c r="A20" s="84">
        <v>12</v>
      </c>
      <c r="B20" s="75">
        <v>23.1</v>
      </c>
      <c r="C20" s="73">
        <f>'[1]cálculos teóricos'!K135</f>
        <v>0.96700274624676985</v>
      </c>
      <c r="D20" s="58">
        <f t="shared" si="4"/>
        <v>325.31601783368768</v>
      </c>
      <c r="E20" s="59">
        <f t="shared" si="5"/>
        <v>13.620331034660834</v>
      </c>
      <c r="F20" s="60">
        <f t="shared" si="6"/>
        <v>17.354496273326045</v>
      </c>
      <c r="G20" s="61">
        <f>'[1]cálculos teóricos'!T135</f>
        <v>25.26622456151059</v>
      </c>
      <c r="H20" s="74">
        <f t="shared" si="7"/>
        <v>68.686543298451838</v>
      </c>
      <c r="I20" s="78"/>
      <c r="J20" s="80"/>
      <c r="K20" s="80">
        <v>0.9</v>
      </c>
      <c r="L20" s="80">
        <v>1</v>
      </c>
      <c r="M20" s="80">
        <v>1</v>
      </c>
      <c r="N20" s="80">
        <v>1</v>
      </c>
      <c r="O20" s="77">
        <v>1</v>
      </c>
      <c r="P20" s="81">
        <v>1</v>
      </c>
      <c r="Q20" s="81">
        <v>1</v>
      </c>
      <c r="R20" s="80">
        <v>1</v>
      </c>
      <c r="S20" s="80">
        <v>1</v>
      </c>
      <c r="T20" s="80">
        <v>0.6</v>
      </c>
      <c r="U20" s="80"/>
      <c r="V20" s="77"/>
      <c r="W20" s="67">
        <f t="shared" si="0"/>
        <v>4.9000000000000004</v>
      </c>
      <c r="X20" s="68">
        <f t="shared" si="1"/>
        <v>4.5999999999999996</v>
      </c>
      <c r="Y20" s="117">
        <f t="shared" si="2"/>
        <v>9.5</v>
      </c>
      <c r="Z20" s="70">
        <f>'[1]cálculos teóricos'!I135</f>
        <v>10.913836022969011</v>
      </c>
      <c r="AA20" s="71">
        <f t="shared" si="3"/>
        <v>87.045471271572296</v>
      </c>
      <c r="AB20" s="155"/>
      <c r="AC20" s="156"/>
    </row>
    <row r="21" spans="1:29" ht="18" customHeight="1">
      <c r="A21" s="84">
        <v>13</v>
      </c>
      <c r="B21" s="75">
        <v>12.8</v>
      </c>
      <c r="C21" s="73">
        <f>'[1]cálculos teóricos'!K136</f>
        <v>0.96618582406361775</v>
      </c>
      <c r="D21" s="58">
        <f t="shared" si="4"/>
        <v>180.10940478400639</v>
      </c>
      <c r="E21" s="59">
        <f t="shared" si="5"/>
        <v>7.5408205594967797</v>
      </c>
      <c r="F21" s="60">
        <f t="shared" si="6"/>
        <v>9.7551081793709749</v>
      </c>
      <c r="G21" s="61">
        <f>'[1]cálculos teóricos'!T136</f>
        <v>25.120387497571706</v>
      </c>
      <c r="H21" s="74">
        <f t="shared" si="7"/>
        <v>38.833430337465792</v>
      </c>
      <c r="I21" s="78"/>
      <c r="J21" s="80"/>
      <c r="K21" s="80">
        <v>0.4</v>
      </c>
      <c r="L21" s="80">
        <v>0.4</v>
      </c>
      <c r="M21" s="80">
        <v>0.4</v>
      </c>
      <c r="N21" s="80">
        <v>0.2</v>
      </c>
      <c r="O21" s="77"/>
      <c r="P21" s="81"/>
      <c r="Q21" s="81">
        <v>0.7</v>
      </c>
      <c r="R21" s="80">
        <v>0.2</v>
      </c>
      <c r="S21" s="80"/>
      <c r="T21" s="80"/>
      <c r="U21" s="80"/>
      <c r="V21" s="77"/>
      <c r="W21" s="67">
        <f t="shared" si="0"/>
        <v>1.4000000000000001</v>
      </c>
      <c r="X21" s="68">
        <f t="shared" si="1"/>
        <v>0.89999999999999991</v>
      </c>
      <c r="Y21" s="117">
        <f t="shared" si="2"/>
        <v>2.2999999999999998</v>
      </c>
      <c r="Z21" s="70">
        <f>'[1]cálculos teóricos'!I136</f>
        <v>10.897290542711382</v>
      </c>
      <c r="AA21" s="71">
        <f t="shared" si="3"/>
        <v>21.106163876105398</v>
      </c>
      <c r="AB21" s="155"/>
      <c r="AC21" s="156"/>
    </row>
    <row r="22" spans="1:29" ht="18" customHeight="1">
      <c r="A22" s="84">
        <v>14</v>
      </c>
      <c r="B22" s="75">
        <v>9.1999999999999993</v>
      </c>
      <c r="C22" s="73">
        <f>'[1]cálculos teóricos'!K137</f>
        <v>0.96538112324425585</v>
      </c>
      <c r="D22" s="58">
        <f t="shared" si="4"/>
        <v>129.345817492983</v>
      </c>
      <c r="E22" s="59">
        <f t="shared" si="5"/>
        <v>5.4154506867962118</v>
      </c>
      <c r="F22" s="60">
        <f t="shared" si="6"/>
        <v>7.0983958384952652</v>
      </c>
      <c r="G22" s="61">
        <f>'[1]cálculos teóricos'!T137</f>
        <v>24.977191856775008</v>
      </c>
      <c r="H22" s="74">
        <f t="shared" si="7"/>
        <v>28.419511205259216</v>
      </c>
      <c r="I22" s="78"/>
      <c r="J22" s="80"/>
      <c r="K22" s="80"/>
      <c r="L22" s="80"/>
      <c r="M22" s="80"/>
      <c r="N22" s="80">
        <v>0.1</v>
      </c>
      <c r="O22" s="77"/>
      <c r="P22" s="81"/>
      <c r="Q22" s="81">
        <v>0.3</v>
      </c>
      <c r="R22" s="80"/>
      <c r="S22" s="80"/>
      <c r="T22" s="80"/>
      <c r="U22" s="80"/>
      <c r="V22" s="77"/>
      <c r="W22" s="67">
        <f t="shared" si="0"/>
        <v>0.1</v>
      </c>
      <c r="X22" s="68">
        <f t="shared" si="1"/>
        <v>0.3</v>
      </c>
      <c r="Y22" s="117">
        <f t="shared" si="2"/>
        <v>0.4</v>
      </c>
      <c r="Z22" s="70">
        <f>'[1]cálculos teóricos'!I137</f>
        <v>10.881024133481446</v>
      </c>
      <c r="AA22" s="71">
        <f t="shared" si="3"/>
        <v>3.6761245549412975</v>
      </c>
      <c r="AB22" s="155"/>
      <c r="AC22" s="156"/>
    </row>
    <row r="23" spans="1:29" ht="18" customHeight="1">
      <c r="A23" s="84">
        <v>15</v>
      </c>
      <c r="B23" s="75">
        <v>8.3000000000000007</v>
      </c>
      <c r="C23" s="73">
        <f>'[1]cálculos teóricos'!K138</f>
        <v>0.96458915581244764</v>
      </c>
      <c r="D23" s="58">
        <f t="shared" si="4"/>
        <v>116.59669161659903</v>
      </c>
      <c r="E23" s="59">
        <f t="shared" si="5"/>
        <v>4.8816702846037678</v>
      </c>
      <c r="F23" s="60">
        <f t="shared" si="6"/>
        <v>6.431170335754711</v>
      </c>
      <c r="G23" s="61">
        <f>'[1]cálculos teóricos'!T138</f>
        <v>24.836700675606831</v>
      </c>
      <c r="H23" s="74">
        <f t="shared" si="7"/>
        <v>25.893819069418644</v>
      </c>
      <c r="I23" s="78"/>
      <c r="J23" s="80"/>
      <c r="K23" s="80"/>
      <c r="L23" s="80"/>
      <c r="M23" s="80"/>
      <c r="N23" s="80"/>
      <c r="O23" s="77"/>
      <c r="P23" s="81"/>
      <c r="Q23" s="81"/>
      <c r="R23" s="80"/>
      <c r="S23" s="80"/>
      <c r="T23" s="80"/>
      <c r="U23" s="80"/>
      <c r="V23" s="77"/>
      <c r="W23" s="67">
        <f t="shared" si="0"/>
        <v>0</v>
      </c>
      <c r="X23" s="68">
        <f t="shared" si="1"/>
        <v>0</v>
      </c>
      <c r="Y23" s="117">
        <f t="shared" si="2"/>
        <v>0</v>
      </c>
      <c r="Z23" s="70">
        <f>'[1]cálculos teóricos'!I138</f>
        <v>10.865044323181046</v>
      </c>
      <c r="AA23" s="71">
        <f t="shared" si="3"/>
        <v>0</v>
      </c>
      <c r="AB23" s="155"/>
      <c r="AC23" s="156"/>
    </row>
    <row r="24" spans="1:29" ht="18" customHeight="1">
      <c r="A24" s="84">
        <v>16</v>
      </c>
      <c r="B24" s="75">
        <v>21.8</v>
      </c>
      <c r="C24" s="73">
        <f>'[1]cálculos teóricos'!K139</f>
        <v>0.96381043045975534</v>
      </c>
      <c r="D24" s="58">
        <f t="shared" si="4"/>
        <v>305.99467984721412</v>
      </c>
      <c r="E24" s="59">
        <f t="shared" si="5"/>
        <v>12.811385255843161</v>
      </c>
      <c r="F24" s="60">
        <f t="shared" si="6"/>
        <v>16.343314049803954</v>
      </c>
      <c r="G24" s="61">
        <f>'[1]cálculos teóricos'!T139</f>
        <v>24.698975953794339</v>
      </c>
      <c r="H24" s="74">
        <f t="shared" si="7"/>
        <v>66.170006725696823</v>
      </c>
      <c r="I24" s="78"/>
      <c r="J24" s="80"/>
      <c r="K24" s="80"/>
      <c r="L24" s="80">
        <v>0.7</v>
      </c>
      <c r="M24" s="80">
        <v>1</v>
      </c>
      <c r="N24" s="80">
        <v>1</v>
      </c>
      <c r="O24" s="77">
        <v>1</v>
      </c>
      <c r="P24" s="81">
        <v>1</v>
      </c>
      <c r="Q24" s="81">
        <v>1</v>
      </c>
      <c r="R24" s="80">
        <v>1</v>
      </c>
      <c r="S24" s="80">
        <v>1</v>
      </c>
      <c r="T24" s="80">
        <v>1</v>
      </c>
      <c r="U24" s="80"/>
      <c r="V24" s="77"/>
      <c r="W24" s="67">
        <f t="shared" si="0"/>
        <v>3.7</v>
      </c>
      <c r="X24" s="68">
        <f t="shared" si="1"/>
        <v>5</v>
      </c>
      <c r="Y24" s="117">
        <f t="shared" si="2"/>
        <v>8.6999999999999993</v>
      </c>
      <c r="Z24" s="70">
        <f>'[1]cálculos teóricos'!I139</f>
        <v>10.849358676752436</v>
      </c>
      <c r="AA24" s="71">
        <f t="shared" si="3"/>
        <v>80.189071623579053</v>
      </c>
      <c r="AB24" s="155"/>
      <c r="AC24" s="156"/>
    </row>
    <row r="25" spans="1:29" ht="18" customHeight="1">
      <c r="A25" s="84">
        <v>17</v>
      </c>
      <c r="B25" s="75">
        <v>22.4</v>
      </c>
      <c r="C25" s="73">
        <f>'[1]cálculos teóricos'!K140</f>
        <v>0.96304545199151148</v>
      </c>
      <c r="D25" s="58">
        <f t="shared" si="4"/>
        <v>314.16699865775564</v>
      </c>
      <c r="E25" s="59">
        <f t="shared" si="5"/>
        <v>13.153543899802912</v>
      </c>
      <c r="F25" s="60">
        <f t="shared" si="6"/>
        <v>16.77101235475364</v>
      </c>
      <c r="G25" s="61">
        <f>'[1]cálculos teóricos'!T140</f>
        <v>24.564078610878632</v>
      </c>
      <c r="H25" s="74">
        <f t="shared" si="7"/>
        <v>68.274542759875004</v>
      </c>
      <c r="I25" s="78"/>
      <c r="J25" s="80"/>
      <c r="K25" s="80"/>
      <c r="L25" s="80">
        <v>0.3</v>
      </c>
      <c r="M25" s="80">
        <v>1</v>
      </c>
      <c r="N25" s="80">
        <v>1</v>
      </c>
      <c r="O25" s="77">
        <v>1</v>
      </c>
      <c r="P25" s="81">
        <v>1</v>
      </c>
      <c r="Q25" s="81">
        <v>1</v>
      </c>
      <c r="R25" s="80">
        <v>1</v>
      </c>
      <c r="S25" s="80">
        <v>1</v>
      </c>
      <c r="T25" s="80">
        <v>1</v>
      </c>
      <c r="U25" s="80"/>
      <c r="V25" s="77"/>
      <c r="W25" s="67">
        <f t="shared" si="0"/>
        <v>3.3</v>
      </c>
      <c r="X25" s="68">
        <f t="shared" si="1"/>
        <v>5</v>
      </c>
      <c r="Y25" s="117">
        <f t="shared" si="2"/>
        <v>8.3000000000000007</v>
      </c>
      <c r="Z25" s="70">
        <f>'[1]cálculos teóricos'!I140</f>
        <v>10.833974786365069</v>
      </c>
      <c r="AA25" s="71">
        <f t="shared" si="3"/>
        <v>76.61084840667931</v>
      </c>
      <c r="AB25" s="155"/>
      <c r="AC25" s="156"/>
    </row>
    <row r="26" spans="1:29" ht="18" customHeight="1">
      <c r="A26" s="84">
        <v>18</v>
      </c>
      <c r="B26" s="75">
        <v>20</v>
      </c>
      <c r="C26" s="73">
        <f>'[1]cálculos teóricos'!K141</f>
        <v>0.96229472076527511</v>
      </c>
      <c r="D26" s="58">
        <f t="shared" si="4"/>
        <v>280.28758331730171</v>
      </c>
      <c r="E26" s="59">
        <f t="shared" si="5"/>
        <v>11.735080538328786</v>
      </c>
      <c r="F26" s="60">
        <f t="shared" si="6"/>
        <v>14.997933152910985</v>
      </c>
      <c r="G26" s="61">
        <f>'[1]cálculos teóricos'!T141</f>
        <v>24.432068443253335</v>
      </c>
      <c r="H26" s="74">
        <f t="shared" si="7"/>
        <v>61.386260388659437</v>
      </c>
      <c r="I26" s="78"/>
      <c r="J26" s="80"/>
      <c r="K26" s="80"/>
      <c r="L26" s="80"/>
      <c r="M26" s="80"/>
      <c r="N26" s="80">
        <v>0.9</v>
      </c>
      <c r="O26" s="77">
        <v>1</v>
      </c>
      <c r="P26" s="81">
        <v>1</v>
      </c>
      <c r="Q26" s="81">
        <v>1</v>
      </c>
      <c r="R26" s="80">
        <v>1</v>
      </c>
      <c r="S26" s="80">
        <v>1</v>
      </c>
      <c r="T26" s="80">
        <v>0.9</v>
      </c>
      <c r="U26" s="80"/>
      <c r="V26" s="77"/>
      <c r="W26" s="67">
        <f t="shared" si="0"/>
        <v>1.9</v>
      </c>
      <c r="X26" s="68">
        <f t="shared" si="1"/>
        <v>4.9000000000000004</v>
      </c>
      <c r="Y26" s="117">
        <f t="shared" si="2"/>
        <v>6.8000000000000007</v>
      </c>
      <c r="Z26" s="70">
        <f>'[1]cálculos teóricos'!I141</f>
        <v>10.818900261111278</v>
      </c>
      <c r="AA26" s="71">
        <f t="shared" si="3"/>
        <v>62.852968748059517</v>
      </c>
      <c r="AB26" s="155"/>
      <c r="AC26" s="156"/>
    </row>
    <row r="27" spans="1:29" ht="18" customHeight="1">
      <c r="A27" s="84">
        <v>19</v>
      </c>
      <c r="B27" s="75">
        <v>22.8</v>
      </c>
      <c r="C27" s="73">
        <f>'[1]cálculos teóricos'!K142</f>
        <v>0.96155873212279996</v>
      </c>
      <c r="D27" s="58">
        <f t="shared" si="4"/>
        <v>319.28346157216504</v>
      </c>
      <c r="E27" s="59">
        <f t="shared" si="5"/>
        <v>13.367759969103407</v>
      </c>
      <c r="F27" s="60">
        <f t="shared" si="6"/>
        <v>17.038782441379254</v>
      </c>
      <c r="G27" s="61">
        <f>'[1]cálculos teóricos'!T142</f>
        <v>24.3030040817398</v>
      </c>
      <c r="H27" s="74">
        <f t="shared" si="7"/>
        <v>70.109778956015731</v>
      </c>
      <c r="I27" s="78"/>
      <c r="J27" s="80"/>
      <c r="K27" s="80">
        <v>0.5</v>
      </c>
      <c r="L27" s="80">
        <v>1</v>
      </c>
      <c r="M27" s="80">
        <v>1</v>
      </c>
      <c r="N27" s="80">
        <v>1</v>
      </c>
      <c r="O27" s="77">
        <v>1</v>
      </c>
      <c r="P27" s="81">
        <v>1</v>
      </c>
      <c r="Q27" s="81">
        <v>1</v>
      </c>
      <c r="R27" s="80">
        <v>1</v>
      </c>
      <c r="S27" s="80">
        <v>1</v>
      </c>
      <c r="T27" s="80">
        <v>0.7</v>
      </c>
      <c r="U27" s="80"/>
      <c r="V27" s="77"/>
      <c r="W27" s="67">
        <f t="shared" si="0"/>
        <v>4.5</v>
      </c>
      <c r="X27" s="68">
        <f t="shared" si="1"/>
        <v>4.7</v>
      </c>
      <c r="Y27" s="117">
        <f t="shared" si="2"/>
        <v>9.1999999999999993</v>
      </c>
      <c r="Z27" s="70">
        <f>'[1]cálculos teóricos'!I142</f>
        <v>10.804142716228</v>
      </c>
      <c r="AA27" s="71">
        <f t="shared" si="3"/>
        <v>85.152521969017016</v>
      </c>
      <c r="AB27" s="155"/>
      <c r="AC27" s="156"/>
    </row>
    <row r="28" spans="1:29" ht="18" customHeight="1">
      <c r="A28" s="84">
        <v>20</v>
      </c>
      <c r="B28" s="75">
        <v>20.100000000000001</v>
      </c>
      <c r="C28" s="73">
        <f>'[1]cálculos teóricos'!K143</f>
        <v>0.9608379758165817</v>
      </c>
      <c r="D28" s="58">
        <f t="shared" si="4"/>
        <v>281.26259360217625</v>
      </c>
      <c r="E28" s="59">
        <f t="shared" si="5"/>
        <v>11.775902268935916</v>
      </c>
      <c r="F28" s="60">
        <f t="shared" si="6"/>
        <v>15.048960316169897</v>
      </c>
      <c r="G28" s="61">
        <f>'[1]cálculos teóricos'!T143</f>
        <v>24.176942949769266</v>
      </c>
      <c r="H28" s="74">
        <f t="shared" si="7"/>
        <v>62.245091728247289</v>
      </c>
      <c r="I28" s="78"/>
      <c r="J28" s="80"/>
      <c r="K28" s="80">
        <v>0.2</v>
      </c>
      <c r="L28" s="80">
        <v>0.8</v>
      </c>
      <c r="M28" s="80">
        <v>1</v>
      </c>
      <c r="N28" s="80">
        <v>1</v>
      </c>
      <c r="O28" s="77">
        <v>1</v>
      </c>
      <c r="P28" s="81">
        <v>1</v>
      </c>
      <c r="Q28" s="81">
        <v>1</v>
      </c>
      <c r="R28" s="80">
        <v>1</v>
      </c>
      <c r="S28" s="80">
        <v>1</v>
      </c>
      <c r="T28" s="80">
        <v>0.4</v>
      </c>
      <c r="U28" s="80"/>
      <c r="V28" s="77"/>
      <c r="W28" s="67">
        <f t="shared" si="0"/>
        <v>4</v>
      </c>
      <c r="X28" s="68">
        <f t="shared" si="1"/>
        <v>4.4000000000000004</v>
      </c>
      <c r="Y28" s="117">
        <f t="shared" si="2"/>
        <v>8.4</v>
      </c>
      <c r="Z28" s="70">
        <f>'[1]cálculos teóricos'!I143</f>
        <v>10.78970976186449</v>
      </c>
      <c r="AA28" s="71">
        <f t="shared" si="3"/>
        <v>77.851955107163676</v>
      </c>
      <c r="AB28" s="155"/>
      <c r="AC28" s="156"/>
    </row>
    <row r="29" spans="1:29" ht="18" customHeight="1">
      <c r="A29" s="84">
        <v>21</v>
      </c>
      <c r="B29" s="75">
        <v>20.6</v>
      </c>
      <c r="C29" s="73">
        <f>'[1]cálculos teóricos'!K144</f>
        <v>0.96013293543210909</v>
      </c>
      <c r="D29" s="58">
        <f t="shared" si="4"/>
        <v>288.04765770640972</v>
      </c>
      <c r="E29" s="59">
        <f t="shared" si="5"/>
        <v>12.059979332851963</v>
      </c>
      <c r="F29" s="60">
        <f t="shared" si="6"/>
        <v>15.404056646064952</v>
      </c>
      <c r="G29" s="61">
        <f>'[1]cálculos teóricos'!T144</f>
        <v>24.053941222240866</v>
      </c>
      <c r="H29" s="74">
        <f t="shared" si="7"/>
        <v>64.039637013089489</v>
      </c>
      <c r="I29" s="78"/>
      <c r="J29" s="80">
        <v>0.1</v>
      </c>
      <c r="K29" s="80">
        <v>1</v>
      </c>
      <c r="L29" s="80">
        <v>1</v>
      </c>
      <c r="M29" s="80">
        <v>1</v>
      </c>
      <c r="N29" s="80">
        <v>1</v>
      </c>
      <c r="O29" s="77">
        <v>1</v>
      </c>
      <c r="P29" s="81">
        <v>1</v>
      </c>
      <c r="Q29" s="81">
        <v>1</v>
      </c>
      <c r="R29" s="80">
        <v>1</v>
      </c>
      <c r="S29" s="80">
        <v>1</v>
      </c>
      <c r="T29" s="80"/>
      <c r="U29" s="80"/>
      <c r="V29" s="77"/>
      <c r="W29" s="67">
        <f t="shared" si="0"/>
        <v>5.0999999999999996</v>
      </c>
      <c r="X29" s="68">
        <f t="shared" si="1"/>
        <v>4</v>
      </c>
      <c r="Y29" s="117">
        <f t="shared" si="2"/>
        <v>9.1</v>
      </c>
      <c r="Z29" s="70">
        <f>'[1]cálculos teóricos'!I144</f>
        <v>10.775608991418745</v>
      </c>
      <c r="AA29" s="71">
        <f t="shared" si="3"/>
        <v>84.449983358220109</v>
      </c>
      <c r="AB29" s="155"/>
      <c r="AC29" s="156"/>
    </row>
    <row r="30" spans="1:29" ht="18" customHeight="1">
      <c r="A30" s="84">
        <v>22</v>
      </c>
      <c r="B30" s="75">
        <v>16.399999999999999</v>
      </c>
      <c r="C30" s="73">
        <f>'[1]cálculos teóricos'!K145</f>
        <v>0.95944408780698176</v>
      </c>
      <c r="D30" s="58">
        <f t="shared" si="4"/>
        <v>229.15496915354245</v>
      </c>
      <c r="E30" s="59">
        <f t="shared" si="5"/>
        <v>9.5942602485205146</v>
      </c>
      <c r="F30" s="60">
        <f t="shared" si="6"/>
        <v>12.321907790650647</v>
      </c>
      <c r="G30" s="61">
        <f>'[1]cálculos teóricos'!T145</f>
        <v>23.934053785122181</v>
      </c>
      <c r="H30" s="74">
        <f t="shared" si="7"/>
        <v>51.482744633548684</v>
      </c>
      <c r="I30" s="78"/>
      <c r="J30" s="80"/>
      <c r="K30" s="80">
        <v>0.4</v>
      </c>
      <c r="L30" s="80">
        <v>0.9</v>
      </c>
      <c r="M30" s="80">
        <v>0.1</v>
      </c>
      <c r="N30" s="80">
        <v>0.2</v>
      </c>
      <c r="O30" s="77"/>
      <c r="P30" s="81">
        <v>0.2</v>
      </c>
      <c r="Q30" s="81">
        <v>0.9</v>
      </c>
      <c r="R30" s="80">
        <v>0.8</v>
      </c>
      <c r="S30" s="80">
        <v>0.8</v>
      </c>
      <c r="T30" s="80"/>
      <c r="U30" s="150"/>
      <c r="V30" s="77"/>
      <c r="W30" s="67">
        <f t="shared" si="0"/>
        <v>1.6</v>
      </c>
      <c r="X30" s="68">
        <f t="shared" si="1"/>
        <v>2.7</v>
      </c>
      <c r="Y30" s="117">
        <f t="shared" si="2"/>
        <v>4.3000000000000007</v>
      </c>
      <c r="Z30" s="70">
        <f>'[1]cálculos teóricos'!I145</f>
        <v>10.761847969468413</v>
      </c>
      <c r="AA30" s="71">
        <f t="shared" si="3"/>
        <v>39.955963066930423</v>
      </c>
      <c r="AB30" s="155"/>
      <c r="AC30" s="156"/>
    </row>
    <row r="31" spans="1:29" ht="18" customHeight="1">
      <c r="A31" s="84">
        <v>23</v>
      </c>
      <c r="B31" s="75">
        <v>5.8</v>
      </c>
      <c r="C31" s="73">
        <f>'[1]cálculos teóricos'!K146</f>
        <v>0.95877190244810251</v>
      </c>
      <c r="D31" s="58">
        <f t="shared" si="4"/>
        <v>80.98583268755705</v>
      </c>
      <c r="E31" s="59">
        <f t="shared" si="5"/>
        <v>3.3907148429626388</v>
      </c>
      <c r="F31" s="60">
        <f t="shared" si="6"/>
        <v>4.567476033703298</v>
      </c>
      <c r="G31" s="61">
        <f>'[1]cálculos teóricos'!T146</f>
        <v>23.81733419585737</v>
      </c>
      <c r="H31" s="74">
        <f t="shared" si="7"/>
        <v>19.177108555237616</v>
      </c>
      <c r="I31" s="78"/>
      <c r="J31" s="80"/>
      <c r="K31" s="80">
        <v>0.1</v>
      </c>
      <c r="L31" s="80">
        <v>0.8</v>
      </c>
      <c r="M31" s="80"/>
      <c r="N31" s="80"/>
      <c r="O31" s="77"/>
      <c r="P31" s="81"/>
      <c r="Q31" s="81"/>
      <c r="R31" s="80"/>
      <c r="S31" s="80"/>
      <c r="T31" s="80"/>
      <c r="U31" s="80"/>
      <c r="V31" s="77"/>
      <c r="W31" s="67">
        <f t="shared" si="0"/>
        <v>0.9</v>
      </c>
      <c r="X31" s="68">
        <f t="shared" si="1"/>
        <v>0</v>
      </c>
      <c r="Y31" s="117">
        <f t="shared" si="2"/>
        <v>0.9</v>
      </c>
      <c r="Z31" s="70">
        <f>'[1]cálculos teóricos'!I146</f>
        <v>10.748434219324782</v>
      </c>
      <c r="AA31" s="71">
        <f t="shared" si="3"/>
        <v>8.3733126298700853</v>
      </c>
      <c r="AB31" s="155"/>
      <c r="AC31" s="156"/>
    </row>
    <row r="32" spans="1:29" ht="18" customHeight="1">
      <c r="A32" s="84">
        <v>24</v>
      </c>
      <c r="B32" s="75">
        <v>14.1</v>
      </c>
      <c r="C32" s="73">
        <f>'[1]cálculos teóricos'!K147</f>
        <v>0.95811684094818839</v>
      </c>
      <c r="D32" s="58">
        <f t="shared" si="4"/>
        <v>196.74483804540006</v>
      </c>
      <c r="E32" s="59">
        <f t="shared" si="5"/>
        <v>8.2373128792848096</v>
      </c>
      <c r="F32" s="60">
        <f t="shared" si="6"/>
        <v>10.625723579106012</v>
      </c>
      <c r="G32" s="61">
        <f>'[1]cálculos teóricos'!T147</f>
        <v>23.703834644645326</v>
      </c>
      <c r="H32" s="74">
        <f t="shared" si="7"/>
        <v>44.827023721692861</v>
      </c>
      <c r="I32" s="78"/>
      <c r="J32" s="80"/>
      <c r="K32" s="80"/>
      <c r="L32" s="80"/>
      <c r="M32" s="80"/>
      <c r="N32" s="80"/>
      <c r="O32" s="77">
        <v>0.1</v>
      </c>
      <c r="P32" s="81"/>
      <c r="Q32" s="81">
        <v>0.3</v>
      </c>
      <c r="R32" s="80">
        <v>0.6</v>
      </c>
      <c r="S32" s="80">
        <v>0.5</v>
      </c>
      <c r="T32" s="80">
        <v>0.3</v>
      </c>
      <c r="U32" s="80"/>
      <c r="V32" s="77"/>
      <c r="W32" s="67">
        <f t="shared" si="0"/>
        <v>0.1</v>
      </c>
      <c r="X32" s="68">
        <f t="shared" si="1"/>
        <v>1.7</v>
      </c>
      <c r="Y32" s="117">
        <f t="shared" si="2"/>
        <v>1.8</v>
      </c>
      <c r="Z32" s="70">
        <f>'[1]cálculos teóricos'!I147</f>
        <v>10.735375210241287</v>
      </c>
      <c r="AA32" s="71">
        <f t="shared" si="3"/>
        <v>16.766996632617403</v>
      </c>
      <c r="AB32" s="155"/>
      <c r="AC32" s="156"/>
    </row>
    <row r="33" spans="1:29" ht="18" customHeight="1">
      <c r="A33" s="84">
        <v>25</v>
      </c>
      <c r="B33" s="75">
        <v>24.6</v>
      </c>
      <c r="C33" s="73">
        <f>'[1]cálculos teóricos'!K148</f>
        <v>0.95747935640287785</v>
      </c>
      <c r="D33" s="58">
        <f t="shared" si="4"/>
        <v>343.02856493154343</v>
      </c>
      <c r="E33" s="59">
        <f t="shared" si="5"/>
        <v>14.361919956553859</v>
      </c>
      <c r="F33" s="60">
        <f t="shared" si="6"/>
        <v>18.281482425692325</v>
      </c>
      <c r="G33" s="61">
        <f>'[1]cálculos teóricos'!T148</f>
        <v>23.593605916647533</v>
      </c>
      <c r="H33" s="74">
        <f t="shared" si="7"/>
        <v>77.484902012341408</v>
      </c>
      <c r="I33" s="78"/>
      <c r="J33" s="80"/>
      <c r="K33" s="80">
        <v>0.7</v>
      </c>
      <c r="L33" s="80">
        <v>1</v>
      </c>
      <c r="M33" s="80">
        <v>1</v>
      </c>
      <c r="N33" s="80">
        <v>1</v>
      </c>
      <c r="O33" s="77">
        <v>1</v>
      </c>
      <c r="P33" s="81">
        <v>1</v>
      </c>
      <c r="Q33" s="81">
        <v>1</v>
      </c>
      <c r="R33" s="80">
        <v>1</v>
      </c>
      <c r="S33" s="80">
        <v>1</v>
      </c>
      <c r="T33" s="80">
        <v>1</v>
      </c>
      <c r="U33" s="80"/>
      <c r="V33" s="77"/>
      <c r="W33" s="67">
        <f t="shared" si="0"/>
        <v>4.7</v>
      </c>
      <c r="X33" s="68">
        <f t="shared" si="1"/>
        <v>5</v>
      </c>
      <c r="Y33" s="117">
        <f t="shared" si="2"/>
        <v>9.6999999999999993</v>
      </c>
      <c r="Z33" s="70">
        <f>'[1]cálculos teóricos'!I148</f>
        <v>10.722678344310896</v>
      </c>
      <c r="AA33" s="71">
        <f t="shared" si="3"/>
        <v>90.462472980423797</v>
      </c>
      <c r="AB33" s="155"/>
      <c r="AC33" s="156"/>
    </row>
    <row r="34" spans="1:29" ht="18" customHeight="1">
      <c r="A34" s="84">
        <v>26</v>
      </c>
      <c r="B34" s="75">
        <v>24.4</v>
      </c>
      <c r="C34" s="73">
        <f>'[1]cálculos teóricos'!K149</f>
        <v>0.95685989282974016</v>
      </c>
      <c r="D34" s="58">
        <f t="shared" si="4"/>
        <v>340.01958880111243</v>
      </c>
      <c r="E34" s="59">
        <f t="shared" si="5"/>
        <v>14.235940143924974</v>
      </c>
      <c r="F34" s="60">
        <f t="shared" si="6"/>
        <v>18.124007659906219</v>
      </c>
      <c r="G34" s="61">
        <f>'[1]cálculos teóricos'!T149</f>
        <v>23.486697355182486</v>
      </c>
      <c r="H34" s="74">
        <f t="shared" si="7"/>
        <v>77.167118841027872</v>
      </c>
      <c r="I34" s="78"/>
      <c r="J34" s="80"/>
      <c r="K34" s="80">
        <v>1</v>
      </c>
      <c r="L34" s="80">
        <v>1</v>
      </c>
      <c r="M34" s="80">
        <v>1</v>
      </c>
      <c r="N34" s="80">
        <v>1</v>
      </c>
      <c r="O34" s="77">
        <v>1</v>
      </c>
      <c r="P34" s="81">
        <v>1</v>
      </c>
      <c r="Q34" s="81">
        <v>1</v>
      </c>
      <c r="R34" s="80">
        <v>1</v>
      </c>
      <c r="S34" s="80">
        <v>1</v>
      </c>
      <c r="T34" s="80">
        <v>1</v>
      </c>
      <c r="U34" s="80"/>
      <c r="V34" s="77"/>
      <c r="W34" s="67">
        <f t="shared" si="0"/>
        <v>5</v>
      </c>
      <c r="X34" s="68">
        <f t="shared" si="1"/>
        <v>5</v>
      </c>
      <c r="Y34" s="117">
        <f t="shared" si="2"/>
        <v>10</v>
      </c>
      <c r="Z34" s="70">
        <f>'[1]cálculos teóricos'!I149</f>
        <v>10.710350943089647</v>
      </c>
      <c r="AA34" s="71">
        <f t="shared" si="3"/>
        <v>93.367622154828013</v>
      </c>
      <c r="AB34" s="155"/>
      <c r="AC34" s="156"/>
    </row>
    <row r="35" spans="1:29" ht="18" customHeight="1">
      <c r="A35" s="84">
        <v>27</v>
      </c>
      <c r="B35" s="75">
        <v>23</v>
      </c>
      <c r="C35" s="73">
        <f>'[1]cálculos teóricos'!K150</f>
        <v>0.95625888459052066</v>
      </c>
      <c r="D35" s="58">
        <f t="shared" si="4"/>
        <v>320.30895411188311</v>
      </c>
      <c r="E35" s="59">
        <f t="shared" si="5"/>
        <v>13.410695290756321</v>
      </c>
      <c r="F35" s="60">
        <f t="shared" si="6"/>
        <v>17.092451593445404</v>
      </c>
      <c r="G35" s="61">
        <f>'[1]cálculos teóricos'!T150</f>
        <v>23.38315682596054</v>
      </c>
      <c r="H35" s="74">
        <f t="shared" si="7"/>
        <v>73.097279895368757</v>
      </c>
      <c r="I35" s="78"/>
      <c r="J35" s="80">
        <v>0.2</v>
      </c>
      <c r="K35" s="80">
        <v>1</v>
      </c>
      <c r="L35" s="80">
        <v>1</v>
      </c>
      <c r="M35" s="80">
        <v>1</v>
      </c>
      <c r="N35" s="80">
        <v>1</v>
      </c>
      <c r="O35" s="77">
        <v>1</v>
      </c>
      <c r="P35" s="81">
        <v>1</v>
      </c>
      <c r="Q35" s="81">
        <v>1</v>
      </c>
      <c r="R35" s="80">
        <v>1</v>
      </c>
      <c r="S35" s="80">
        <v>1</v>
      </c>
      <c r="T35" s="80">
        <v>0.7</v>
      </c>
      <c r="U35" s="80"/>
      <c r="V35" s="77"/>
      <c r="W35" s="67">
        <f t="shared" si="0"/>
        <v>5.2</v>
      </c>
      <c r="X35" s="68">
        <f t="shared" si="1"/>
        <v>4.7</v>
      </c>
      <c r="Y35" s="117">
        <f t="shared" si="2"/>
        <v>9.9</v>
      </c>
      <c r="Z35" s="70">
        <f>'[1]cálculos teóricos'!I150</f>
        <v>10.698400233986028</v>
      </c>
      <c r="AA35" s="71">
        <f t="shared" si="3"/>
        <v>92.537199800679375</v>
      </c>
      <c r="AB35" s="155"/>
      <c r="AC35" s="156"/>
    </row>
    <row r="36" spans="1:29" ht="18" customHeight="1">
      <c r="A36" s="84">
        <v>28</v>
      </c>
      <c r="B36" s="75">
        <v>23.4</v>
      </c>
      <c r="C36" s="73">
        <f>'[1]cálculos teóricos'!K151</f>
        <v>0.95567675581796974</v>
      </c>
      <c r="D36" s="58">
        <f t="shared" si="4"/>
        <v>325.681163340507</v>
      </c>
      <c r="E36" s="59">
        <f t="shared" si="5"/>
        <v>13.635618946740346</v>
      </c>
      <c r="F36" s="60">
        <f t="shared" si="6"/>
        <v>17.373606163425436</v>
      </c>
      <c r="G36" s="61">
        <f>'[1]cálculos teóricos'!T151</f>
        <v>23.283030682409645</v>
      </c>
      <c r="H36" s="74">
        <f t="shared" si="7"/>
        <v>74.619178235036273</v>
      </c>
      <c r="I36" s="78"/>
      <c r="J36" s="80"/>
      <c r="K36" s="80">
        <v>0.3</v>
      </c>
      <c r="L36" s="80">
        <v>1</v>
      </c>
      <c r="M36" s="80">
        <v>1</v>
      </c>
      <c r="N36" s="80">
        <v>1</v>
      </c>
      <c r="O36" s="77">
        <v>1</v>
      </c>
      <c r="P36" s="81">
        <v>1</v>
      </c>
      <c r="Q36" s="81">
        <v>1</v>
      </c>
      <c r="R36" s="80">
        <v>1</v>
      </c>
      <c r="S36" s="80">
        <v>1</v>
      </c>
      <c r="T36" s="80">
        <v>0.7</v>
      </c>
      <c r="U36" s="80"/>
      <c r="V36" s="77"/>
      <c r="W36" s="67">
        <f t="shared" si="0"/>
        <v>4.3</v>
      </c>
      <c r="X36" s="68">
        <f t="shared" si="1"/>
        <v>4.7</v>
      </c>
      <c r="Y36" s="117">
        <f t="shared" si="2"/>
        <v>9</v>
      </c>
      <c r="Z36" s="70">
        <f>'[1]cálculos teóricos'!I151</f>
        <v>10.686833336458804</v>
      </c>
      <c r="AA36" s="71">
        <f t="shared" si="3"/>
        <v>84.215779517174042</v>
      </c>
      <c r="AB36" s="155"/>
      <c r="AC36" s="156"/>
    </row>
    <row r="37" spans="1:29" ht="18" customHeight="1">
      <c r="A37" s="84">
        <v>29</v>
      </c>
      <c r="B37" s="75">
        <v>22.1</v>
      </c>
      <c r="C37" s="73">
        <f>'[1]cálculos teóricos'!K152</f>
        <v>0.95511391984862659</v>
      </c>
      <c r="D37" s="58">
        <f t="shared" si="4"/>
        <v>307.40661473491201</v>
      </c>
      <c r="E37" s="59">
        <f t="shared" si="5"/>
        <v>12.870500145721296</v>
      </c>
      <c r="F37" s="60">
        <f t="shared" si="6"/>
        <v>16.417207662151622</v>
      </c>
      <c r="G37" s="61">
        <f>'[1]cálculos teóricos'!T152</f>
        <v>23.186363732139114</v>
      </c>
      <c r="H37" s="74">
        <f t="shared" si="7"/>
        <v>70.805443457248018</v>
      </c>
      <c r="I37" s="78"/>
      <c r="J37" s="80"/>
      <c r="K37" s="80">
        <v>0.6</v>
      </c>
      <c r="L37" s="80">
        <v>1</v>
      </c>
      <c r="M37" s="80">
        <v>1</v>
      </c>
      <c r="N37" s="80">
        <v>1</v>
      </c>
      <c r="O37" s="77">
        <v>1</v>
      </c>
      <c r="P37" s="81">
        <v>1</v>
      </c>
      <c r="Q37" s="81">
        <v>1</v>
      </c>
      <c r="R37" s="80">
        <v>1</v>
      </c>
      <c r="S37" s="80">
        <v>1</v>
      </c>
      <c r="T37" s="80">
        <v>0.6</v>
      </c>
      <c r="U37" s="80"/>
      <c r="V37" s="77"/>
      <c r="W37" s="67">
        <f t="shared" si="0"/>
        <v>4.5999999999999996</v>
      </c>
      <c r="X37" s="68">
        <f t="shared" si="1"/>
        <v>4.5999999999999996</v>
      </c>
      <c r="Y37" s="117">
        <f t="shared" si="2"/>
        <v>9.1999999999999993</v>
      </c>
      <c r="Z37" s="70">
        <f>'[1]cálculos teóricos'!I152</f>
        <v>10.675657248068191</v>
      </c>
      <c r="AA37" s="71">
        <f t="shared" si="3"/>
        <v>86.177363943234326</v>
      </c>
      <c r="AB37" s="155"/>
      <c r="AC37" s="156"/>
    </row>
    <row r="38" spans="1:29" ht="18" customHeight="1" thickBot="1">
      <c r="A38" s="79">
        <v>30</v>
      </c>
      <c r="B38" s="75">
        <v>22.1</v>
      </c>
      <c r="C38" s="73">
        <f>'[1]cálculos teóricos'!K153</f>
        <v>0.95457077866293116</v>
      </c>
      <c r="D38" s="58">
        <f t="shared" si="4"/>
        <v>307.23180292477292</v>
      </c>
      <c r="E38" s="59">
        <f t="shared" si="5"/>
        <v>12.863181124854393</v>
      </c>
      <c r="F38" s="60">
        <f t="shared" si="6"/>
        <v>16.408058886067991</v>
      </c>
      <c r="G38" s="61">
        <f>'[1]cálculos teóricos'!T153</f>
        <v>23.093199204585154</v>
      </c>
      <c r="H38" s="74">
        <f t="shared" si="7"/>
        <v>71.051475980903376</v>
      </c>
      <c r="I38" s="78"/>
      <c r="J38" s="80"/>
      <c r="K38" s="80">
        <v>0.4</v>
      </c>
      <c r="L38" s="80">
        <v>1</v>
      </c>
      <c r="M38" s="80">
        <v>1</v>
      </c>
      <c r="N38" s="80">
        <v>1</v>
      </c>
      <c r="O38" s="77">
        <v>1</v>
      </c>
      <c r="P38" s="81">
        <v>1</v>
      </c>
      <c r="Q38" s="81">
        <v>1</v>
      </c>
      <c r="R38" s="80">
        <v>1</v>
      </c>
      <c r="S38" s="80">
        <v>1</v>
      </c>
      <c r="T38" s="80">
        <v>0.6</v>
      </c>
      <c r="U38" s="80"/>
      <c r="V38" s="77"/>
      <c r="W38" s="67">
        <f t="shared" si="0"/>
        <v>4.4000000000000004</v>
      </c>
      <c r="X38" s="68">
        <f t="shared" si="1"/>
        <v>4.5999999999999996</v>
      </c>
      <c r="Y38" s="120">
        <f t="shared" si="2"/>
        <v>9</v>
      </c>
      <c r="Z38" s="70">
        <f>'[1]cálculos teóricos'!I153</f>
        <v>10.66487883042762</v>
      </c>
      <c r="AA38" s="71">
        <f t="shared" si="3"/>
        <v>84.389144434743997</v>
      </c>
      <c r="AB38" s="155"/>
      <c r="AC38" s="156"/>
    </row>
    <row r="39" spans="1:29" ht="18" customHeight="1" thickTop="1" thickBot="1">
      <c r="A39" s="86">
        <v>31</v>
      </c>
      <c r="B39" s="87">
        <v>22.8</v>
      </c>
      <c r="C39" s="88">
        <f>'[1]cálculos teóricos'!K154</f>
        <v>0.95404772233404822</v>
      </c>
      <c r="D39" s="89">
        <f t="shared" si="4"/>
        <v>316.7894472960316</v>
      </c>
      <c r="E39" s="90">
        <f t="shared" si="5"/>
        <v>13.263340579390251</v>
      </c>
      <c r="F39" s="91">
        <f t="shared" si="6"/>
        <v>16.908258204237814</v>
      </c>
      <c r="G39" s="92">
        <f>'[1]cálculos teóricos'!T154</f>
        <v>23.003578719878121</v>
      </c>
      <c r="H39" s="93">
        <f t="shared" si="7"/>
        <v>73.50272933674816</v>
      </c>
      <c r="I39" s="94"/>
      <c r="J39" s="87"/>
      <c r="K39" s="87">
        <v>0.5</v>
      </c>
      <c r="L39" s="87">
        <v>1</v>
      </c>
      <c r="M39" s="87">
        <v>1</v>
      </c>
      <c r="N39" s="87">
        <v>1</v>
      </c>
      <c r="O39" s="95">
        <v>1</v>
      </c>
      <c r="P39" s="94">
        <v>1</v>
      </c>
      <c r="Q39" s="94">
        <v>1</v>
      </c>
      <c r="R39" s="87">
        <v>1</v>
      </c>
      <c r="S39" s="87">
        <v>1</v>
      </c>
      <c r="T39" s="87">
        <v>0.9</v>
      </c>
      <c r="U39" s="87"/>
      <c r="V39" s="95"/>
      <c r="W39" s="67">
        <f t="shared" si="0"/>
        <v>4.5</v>
      </c>
      <c r="X39" s="68">
        <f t="shared" si="1"/>
        <v>4.9000000000000004</v>
      </c>
      <c r="Y39" s="124">
        <f t="shared" si="2"/>
        <v>9.4</v>
      </c>
      <c r="Z39" s="98">
        <f>'[1]cálculos teóricos'!I154</f>
        <v>10.654504795105451</v>
      </c>
      <c r="AA39" s="99">
        <f t="shared" si="3"/>
        <v>88.225592655589637</v>
      </c>
      <c r="AB39" s="155"/>
      <c r="AC39" s="156"/>
    </row>
    <row r="40" spans="1:29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5">
        <f>SUM(I9:I39)</f>
        <v>0</v>
      </c>
      <c r="J40" s="5">
        <f t="shared" ref="J40:V40" si="8">SUM(J9:J39)</f>
        <v>0.7</v>
      </c>
      <c r="K40" s="5">
        <f t="shared" si="8"/>
        <v>12.200000000000001</v>
      </c>
      <c r="L40" s="5">
        <f t="shared" si="8"/>
        <v>22.6</v>
      </c>
      <c r="M40" s="5">
        <f t="shared" si="8"/>
        <v>22.9</v>
      </c>
      <c r="N40" s="5">
        <f t="shared" si="8"/>
        <v>24.099999999999998</v>
      </c>
      <c r="O40" s="5">
        <f t="shared" si="8"/>
        <v>22.1</v>
      </c>
      <c r="P40" s="5">
        <f t="shared" si="8"/>
        <v>22.3</v>
      </c>
      <c r="Q40" s="5">
        <f t="shared" si="8"/>
        <v>24.2</v>
      </c>
      <c r="R40" s="5">
        <f t="shared" si="8"/>
        <v>24</v>
      </c>
      <c r="S40" s="5">
        <f t="shared" si="8"/>
        <v>22</v>
      </c>
      <c r="T40" s="5">
        <f t="shared" si="8"/>
        <v>15.199999999999998</v>
      </c>
      <c r="U40" s="5">
        <f t="shared" si="8"/>
        <v>0.3</v>
      </c>
      <c r="V40" s="5">
        <f t="shared" si="8"/>
        <v>0</v>
      </c>
      <c r="W40" s="103">
        <f>SUM(I40:O40)</f>
        <v>104.6</v>
      </c>
      <c r="X40" s="103">
        <f>SUM(P40:V40)</f>
        <v>108</v>
      </c>
      <c r="Y40" s="103">
        <f>W40+X40</f>
        <v>212.6</v>
      </c>
      <c r="Z40" s="101"/>
      <c r="AA40" s="101"/>
      <c r="AB40" s="100"/>
    </row>
    <row r="41" spans="1:29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9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9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9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9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9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9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9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</sheetData>
  <sheetProtection selectLockedCells="1" selectUnlockedCells="1"/>
  <mergeCells count="2">
    <mergeCell ref="I5:W5"/>
    <mergeCell ref="I7:U7"/>
  </mergeCells>
  <pageMargins left="0" right="0" top="0.39374999999999999" bottom="0.98402777777777772" header="0.51180555555555551" footer="0.51180555555555551"/>
  <pageSetup paperSize="39" scale="50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55"/>
  <sheetViews>
    <sheetView zoomScale="70" zoomScaleNormal="70" workbookViewId="0">
      <selection activeCell="A31" sqref="A31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77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78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79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80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81</v>
      </c>
      <c r="W3" s="3"/>
      <c r="X3" s="157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126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158" t="s">
        <v>49</v>
      </c>
      <c r="Z8" s="51" t="s">
        <v>49</v>
      </c>
      <c r="AA8" s="54" t="s">
        <v>49</v>
      </c>
      <c r="AB8" s="3"/>
    </row>
    <row r="9" spans="1:28" ht="18" customHeight="1">
      <c r="A9" s="72">
        <v>1</v>
      </c>
      <c r="B9" s="56">
        <v>21.6</v>
      </c>
      <c r="C9" s="73">
        <f>'[1]cálculos teóricos'!K155</f>
        <v>0.95354512848678641</v>
      </c>
      <c r="D9" s="58">
        <f>IF(B9&gt;0,B9*C9*14.25*1.022,-999)</f>
        <v>299.95821674029395</v>
      </c>
      <c r="E9" s="59">
        <f>IF(B9&gt;0,D9*4.1868/100,-999)</f>
        <v>12.558650618482627</v>
      </c>
      <c r="F9" s="60">
        <f>IF(B9&gt;0,(7.86+1.25*D9)*4.1868/100,-999)</f>
        <v>16.027395753103281</v>
      </c>
      <c r="G9" s="61">
        <f>'[1]cálculos teóricos'!T155</f>
        <v>22.917542258968254</v>
      </c>
      <c r="H9" s="62">
        <f>IF(B9&gt;0,100*F9/G9,-999)</f>
        <v>69.935054867549454</v>
      </c>
      <c r="I9" s="159"/>
      <c r="J9" s="63">
        <v>0.1</v>
      </c>
      <c r="K9" s="63">
        <v>1</v>
      </c>
      <c r="L9" s="160">
        <v>1</v>
      </c>
      <c r="M9" s="160">
        <v>1</v>
      </c>
      <c r="N9" s="160">
        <v>1</v>
      </c>
      <c r="O9" s="161">
        <v>1</v>
      </c>
      <c r="P9" s="160">
        <v>1</v>
      </c>
      <c r="Q9" s="160">
        <v>1</v>
      </c>
      <c r="R9" s="160">
        <v>1</v>
      </c>
      <c r="S9" s="63">
        <v>1</v>
      </c>
      <c r="T9" s="63">
        <v>0.5</v>
      </c>
      <c r="U9" s="63"/>
      <c r="V9" s="64"/>
      <c r="W9" s="67">
        <f t="shared" ref="W9:W38" si="0">SUM(I9:O9)</f>
        <v>5.0999999999999996</v>
      </c>
      <c r="X9" s="68">
        <f>SUM(P9:V9)</f>
        <v>4.5</v>
      </c>
      <c r="Y9" s="114">
        <f>W9+X9</f>
        <v>9.6</v>
      </c>
      <c r="Z9" s="70">
        <f>'[1]cálculos teóricos'!I155</f>
        <v>10.64454168952793</v>
      </c>
      <c r="AA9" s="71">
        <f>100*Y9/Z9</f>
        <v>90.187067513150453</v>
      </c>
      <c r="AB9" s="3"/>
    </row>
    <row r="10" spans="1:28" ht="18" customHeight="1">
      <c r="A10" s="72">
        <v>2</v>
      </c>
      <c r="B10" s="56">
        <v>6.1</v>
      </c>
      <c r="C10" s="73">
        <f>'[1]cálculos teóricos'!K156</f>
        <v>0.95306336176798911</v>
      </c>
      <c r="D10" s="58">
        <f>IF(B10&gt;0,B10*C10*14.25*1.022,-999)</f>
        <v>84.667623441559456</v>
      </c>
      <c r="E10" s="59">
        <f>IF(B10&gt;0,D10*4.1868/100,-999)</f>
        <v>3.544864058251211</v>
      </c>
      <c r="F10" s="60">
        <f>IF(B10&gt;0,(7.86+1.25*D10)*4.1868/100,-999)</f>
        <v>4.7601625528140135</v>
      </c>
      <c r="G10" s="61">
        <f>'[1]cálculos teóricos'!T156</f>
        <v>22.835128135042794</v>
      </c>
      <c r="H10" s="74">
        <f>IF(B10&gt;0,100*F10/G10,-999)</f>
        <v>20.845788666756228</v>
      </c>
      <c r="I10" s="162"/>
      <c r="J10" s="78"/>
      <c r="K10" s="75"/>
      <c r="L10" s="75"/>
      <c r="M10" s="78"/>
      <c r="N10" s="78"/>
      <c r="O10" s="76"/>
      <c r="P10" s="78"/>
      <c r="Q10" s="78"/>
      <c r="R10" s="78"/>
      <c r="S10" s="75"/>
      <c r="T10" s="81"/>
      <c r="U10" s="81"/>
      <c r="V10" s="77"/>
      <c r="W10" s="67">
        <f t="shared" si="0"/>
        <v>0</v>
      </c>
      <c r="X10" s="68">
        <f t="shared" ref="X10:X38" si="1">SUM(P10:V10)</f>
        <v>0</v>
      </c>
      <c r="Y10" s="117">
        <f t="shared" ref="Y10:Y38" si="2">W10+X10</f>
        <v>0</v>
      </c>
      <c r="Z10" s="70">
        <f>'[1]cálculos teóricos'!I156</f>
        <v>10.634995882936208</v>
      </c>
      <c r="AA10" s="71">
        <f t="shared" ref="AA10:AA38" si="3">100*Y10/Z10</f>
        <v>0</v>
      </c>
      <c r="AB10" s="3"/>
    </row>
    <row r="11" spans="1:28" ht="18" customHeight="1">
      <c r="A11" s="72">
        <v>3</v>
      </c>
      <c r="B11" s="56">
        <v>12.9</v>
      </c>
      <c r="C11" s="73">
        <f>'[1]cálculos teóricos'!K157</f>
        <v>0.95260277332976384</v>
      </c>
      <c r="D11" s="58">
        <f t="shared" ref="D11:D38" si="4">IF(B11&gt;0,B11*C11*14.25*1.022,-999)</f>
        <v>178.96467331310541</v>
      </c>
      <c r="E11" s="59">
        <f t="shared" ref="E11:E38" si="5">IF(B11&gt;0,D11*4.1868/100,-999)</f>
        <v>7.4928929422730972</v>
      </c>
      <c r="F11" s="60">
        <f t="shared" ref="F11:F38" si="6">IF(B11&gt;0,(7.86+1.25*D11)*4.1868/100,-999)</f>
        <v>9.695198657841372</v>
      </c>
      <c r="G11" s="61">
        <f>'[1]cálculos teóricos'!T157</f>
        <v>22.756372966264053</v>
      </c>
      <c r="H11" s="74">
        <f t="shared" ref="H11:H38" si="7">IF(B11&gt;0,100*F11/G11,-999)</f>
        <v>42.60432307123083</v>
      </c>
      <c r="I11" s="162"/>
      <c r="J11" s="78"/>
      <c r="K11" s="75"/>
      <c r="L11" s="75"/>
      <c r="M11" s="78">
        <v>0.2</v>
      </c>
      <c r="N11" s="78">
        <v>0.4</v>
      </c>
      <c r="O11" s="76">
        <v>0.7</v>
      </c>
      <c r="P11" s="78">
        <v>0.9</v>
      </c>
      <c r="Q11" s="78">
        <v>0.5</v>
      </c>
      <c r="R11" s="78"/>
      <c r="S11" s="75">
        <v>0.5</v>
      </c>
      <c r="T11" s="81"/>
      <c r="U11" s="81"/>
      <c r="V11" s="77"/>
      <c r="W11" s="67">
        <f t="shared" si="0"/>
        <v>1.3</v>
      </c>
      <c r="X11" s="68">
        <f t="shared" si="1"/>
        <v>1.9</v>
      </c>
      <c r="Y11" s="117">
        <f t="shared" si="2"/>
        <v>3.2</v>
      </c>
      <c r="Z11" s="70">
        <f>'[1]cálculos teóricos'!I157</f>
        <v>10.625873552451839</v>
      </c>
      <c r="AA11" s="71">
        <f t="shared" si="3"/>
        <v>30.115171088796032</v>
      </c>
      <c r="AB11" s="3"/>
    </row>
    <row r="12" spans="1:28" ht="18" customHeight="1">
      <c r="A12" s="72">
        <v>4</v>
      </c>
      <c r="B12" s="56">
        <v>10</v>
      </c>
      <c r="C12" s="73">
        <f>'[1]cálculos teóricos'!K158</f>
        <v>0.95216370032690345</v>
      </c>
      <c r="D12" s="58">
        <f t="shared" si="4"/>
        <v>138.66836049710858</v>
      </c>
      <c r="E12" s="59">
        <f t="shared" si="5"/>
        <v>5.8057669172929423</v>
      </c>
      <c r="F12" s="60">
        <f t="shared" si="6"/>
        <v>7.5862911266161781</v>
      </c>
      <c r="G12" s="61">
        <f>'[1]cálculos teóricos'!T158</f>
        <v>22.681311649854528</v>
      </c>
      <c r="H12" s="74">
        <f t="shared" si="7"/>
        <v>33.447321053255024</v>
      </c>
      <c r="I12" s="162"/>
      <c r="J12" s="78"/>
      <c r="K12" s="75"/>
      <c r="L12" s="75"/>
      <c r="M12" s="78"/>
      <c r="N12" s="78">
        <v>0.5</v>
      </c>
      <c r="O12" s="76">
        <v>0.4</v>
      </c>
      <c r="P12" s="78"/>
      <c r="Q12" s="78">
        <v>0.3</v>
      </c>
      <c r="R12" s="78"/>
      <c r="S12" s="75"/>
      <c r="T12" s="81"/>
      <c r="U12" s="81"/>
      <c r="V12" s="77"/>
      <c r="W12" s="67">
        <f t="shared" si="0"/>
        <v>0.9</v>
      </c>
      <c r="X12" s="68">
        <f t="shared" si="1"/>
        <v>0.3</v>
      </c>
      <c r="Y12" s="117">
        <f t="shared" si="2"/>
        <v>1.2</v>
      </c>
      <c r="Z12" s="70">
        <f>'[1]cálculos teóricos'!I158</f>
        <v>10.617180669306048</v>
      </c>
      <c r="AA12" s="71">
        <f t="shared" si="3"/>
        <v>11.302435527627066</v>
      </c>
      <c r="AB12" s="3"/>
    </row>
    <row r="13" spans="1:28" ht="18" customHeight="1">
      <c r="A13" s="72">
        <v>5</v>
      </c>
      <c r="B13" s="56">
        <v>10.9</v>
      </c>
      <c r="C13" s="73">
        <f>'[1]cálculos teóricos'!K159</f>
        <v>0.95174646542982722</v>
      </c>
      <c r="D13" s="58">
        <f t="shared" si="4"/>
        <v>151.08228017723144</v>
      </c>
      <c r="E13" s="59">
        <f t="shared" si="5"/>
        <v>6.3255129064603262</v>
      </c>
      <c r="F13" s="60">
        <f t="shared" si="6"/>
        <v>8.2359736130754087</v>
      </c>
      <c r="G13" s="61">
        <f>'[1]cálculos teóricos'!T159</f>
        <v>22.609977337551737</v>
      </c>
      <c r="H13" s="74">
        <f t="shared" si="7"/>
        <v>36.426279823804634</v>
      </c>
      <c r="I13" s="162"/>
      <c r="J13" s="78"/>
      <c r="K13" s="75"/>
      <c r="L13" s="75"/>
      <c r="M13" s="78"/>
      <c r="N13" s="78"/>
      <c r="O13" s="76">
        <v>0.1</v>
      </c>
      <c r="P13" s="78"/>
      <c r="Q13" s="78">
        <v>0.5</v>
      </c>
      <c r="R13" s="78">
        <v>0.2</v>
      </c>
      <c r="S13" s="75">
        <v>0.1</v>
      </c>
      <c r="T13" s="81"/>
      <c r="U13" s="81"/>
      <c r="V13" s="77"/>
      <c r="W13" s="67">
        <f t="shared" si="0"/>
        <v>0.1</v>
      </c>
      <c r="X13" s="68">
        <f t="shared" si="1"/>
        <v>0.79999999999999993</v>
      </c>
      <c r="Y13" s="117">
        <f t="shared" si="2"/>
        <v>0.89999999999999991</v>
      </c>
      <c r="Z13" s="70">
        <f>'[1]cálculos teóricos'!I159</f>
        <v>10.608922985289027</v>
      </c>
      <c r="AA13" s="71">
        <f t="shared" si="3"/>
        <v>8.4834247665667313</v>
      </c>
      <c r="AB13" s="3"/>
    </row>
    <row r="14" spans="1:28" ht="18" customHeight="1">
      <c r="A14" s="72">
        <v>6</v>
      </c>
      <c r="B14" s="56">
        <v>11.9</v>
      </c>
      <c r="C14" s="73">
        <f>'[1]cálculos teóricos'!K160</f>
        <v>0.95135137635435019</v>
      </c>
      <c r="D14" s="58">
        <f t="shared" si="4"/>
        <v>164.8745686574853</v>
      </c>
      <c r="E14" s="59">
        <f t="shared" si="5"/>
        <v>6.9029684405515948</v>
      </c>
      <c r="F14" s="60">
        <f t="shared" si="6"/>
        <v>8.9577930306894924</v>
      </c>
      <c r="G14" s="61">
        <f>'[1]cálculos teóricos'!T160</f>
        <v>22.542401412452758</v>
      </c>
      <c r="H14" s="74">
        <f t="shared" si="7"/>
        <v>39.737527811660186</v>
      </c>
      <c r="I14" s="162"/>
      <c r="J14" s="78"/>
      <c r="K14" s="75"/>
      <c r="L14" s="75"/>
      <c r="M14" s="75"/>
      <c r="N14" s="75"/>
      <c r="O14" s="76">
        <v>0.3</v>
      </c>
      <c r="P14" s="78">
        <v>0.2</v>
      </c>
      <c r="Q14" s="78">
        <v>0.1</v>
      </c>
      <c r="R14" s="75"/>
      <c r="S14" s="75"/>
      <c r="T14" s="81"/>
      <c r="U14" s="81"/>
      <c r="V14" s="77"/>
      <c r="W14" s="67">
        <f t="shared" si="0"/>
        <v>0.3</v>
      </c>
      <c r="X14" s="68">
        <f t="shared" si="1"/>
        <v>0.30000000000000004</v>
      </c>
      <c r="Y14" s="117">
        <f t="shared" si="2"/>
        <v>0.60000000000000009</v>
      </c>
      <c r="Z14" s="70">
        <f>'[1]cálculos teóricos'!I160</f>
        <v>10.601106019475857</v>
      </c>
      <c r="AA14" s="71">
        <f t="shared" si="3"/>
        <v>5.6597868080718001</v>
      </c>
      <c r="AB14" s="3"/>
    </row>
    <row r="15" spans="1:28" ht="18" customHeight="1">
      <c r="A15" s="72">
        <v>7</v>
      </c>
      <c r="B15" s="56">
        <v>20.7</v>
      </c>
      <c r="C15" s="73">
        <f>'[1]cálculos teóricos'!K161</f>
        <v>0.9509787254095502</v>
      </c>
      <c r="D15" s="58">
        <f t="shared" si="4"/>
        <v>286.68627841729108</v>
      </c>
      <c r="E15" s="59">
        <f t="shared" si="5"/>
        <v>12.002981104775142</v>
      </c>
      <c r="F15" s="60">
        <f t="shared" si="6"/>
        <v>15.332808860968928</v>
      </c>
      <c r="G15" s="61">
        <f>'[1]cálculos teóricos'!T161</f>
        <v>22.478613467264381</v>
      </c>
      <c r="H15" s="74">
        <f t="shared" si="7"/>
        <v>68.210652241954818</v>
      </c>
      <c r="I15" s="162"/>
      <c r="J15" s="78"/>
      <c r="K15" s="75">
        <v>0.8</v>
      </c>
      <c r="L15" s="75">
        <v>1</v>
      </c>
      <c r="M15" s="75">
        <v>1</v>
      </c>
      <c r="N15" s="75">
        <v>1</v>
      </c>
      <c r="O15" s="76">
        <v>1</v>
      </c>
      <c r="P15" s="78">
        <v>1</v>
      </c>
      <c r="Q15" s="78">
        <v>1</v>
      </c>
      <c r="R15" s="75">
        <v>1</v>
      </c>
      <c r="S15" s="81">
        <v>1</v>
      </c>
      <c r="T15" s="81">
        <v>0.7</v>
      </c>
      <c r="U15" s="81"/>
      <c r="V15" s="77"/>
      <c r="W15" s="67">
        <f t="shared" si="0"/>
        <v>4.8</v>
      </c>
      <c r="X15" s="68">
        <f t="shared" si="1"/>
        <v>4.7</v>
      </c>
      <c r="Y15" s="117">
        <f t="shared" si="2"/>
        <v>9.5</v>
      </c>
      <c r="Z15" s="70">
        <f>'[1]cálculos teóricos'!I161</f>
        <v>10.593735045285838</v>
      </c>
      <c r="AA15" s="71">
        <f t="shared" si="3"/>
        <v>89.67564281520761</v>
      </c>
      <c r="AB15" s="3"/>
    </row>
    <row r="16" spans="1:28" ht="18" customHeight="1">
      <c r="A16" s="79">
        <v>8</v>
      </c>
      <c r="B16" s="75">
        <v>18.2</v>
      </c>
      <c r="C16" s="73">
        <f>'[1]cálculos teóricos'!K162</f>
        <v>0.95062878906497217</v>
      </c>
      <c r="D16" s="58">
        <f t="shared" si="4"/>
        <v>251.96957912576855</v>
      </c>
      <c r="E16" s="59">
        <f t="shared" si="5"/>
        <v>10.549462338837678</v>
      </c>
      <c r="F16" s="60">
        <f t="shared" si="6"/>
        <v>13.515910403547098</v>
      </c>
      <c r="G16" s="61">
        <f>'[1]cálculos teóricos'!T162</f>
        <v>22.418641283973457</v>
      </c>
      <c r="H16" s="74">
        <f t="shared" si="7"/>
        <v>60.288713452091741</v>
      </c>
      <c r="I16" s="163"/>
      <c r="J16" s="81"/>
      <c r="K16" s="80">
        <v>0.1</v>
      </c>
      <c r="L16" s="75">
        <v>1</v>
      </c>
      <c r="M16" s="75">
        <v>1</v>
      </c>
      <c r="N16" s="75">
        <v>1</v>
      </c>
      <c r="O16" s="76">
        <v>1</v>
      </c>
      <c r="P16" s="78">
        <v>1</v>
      </c>
      <c r="Q16" s="78">
        <v>1</v>
      </c>
      <c r="R16" s="80">
        <v>0.6</v>
      </c>
      <c r="S16" s="80">
        <v>0.4</v>
      </c>
      <c r="T16" s="80">
        <v>0.4</v>
      </c>
      <c r="U16" s="80"/>
      <c r="V16" s="77"/>
      <c r="W16" s="67">
        <f t="shared" si="0"/>
        <v>4.0999999999999996</v>
      </c>
      <c r="X16" s="68">
        <f t="shared" si="1"/>
        <v>3.4</v>
      </c>
      <c r="Y16" s="117">
        <f t="shared" si="2"/>
        <v>7.5</v>
      </c>
      <c r="Z16" s="70">
        <f>'[1]cálculos teóricos'!I162</f>
        <v>10.586815077931689</v>
      </c>
      <c r="AA16" s="71">
        <f t="shared" si="3"/>
        <v>70.842835591166761</v>
      </c>
      <c r="AB16" s="3"/>
    </row>
    <row r="17" spans="1:28" ht="18" customHeight="1">
      <c r="A17" s="79">
        <v>9</v>
      </c>
      <c r="B17" s="75">
        <v>11</v>
      </c>
      <c r="C17" s="73">
        <f>'[1]cálculos teóricos'!K163</f>
        <v>0.95030182753836612</v>
      </c>
      <c r="D17" s="58">
        <f t="shared" si="4"/>
        <v>152.23692731890497</v>
      </c>
      <c r="E17" s="59">
        <f t="shared" si="5"/>
        <v>6.3738556729879132</v>
      </c>
      <c r="F17" s="60">
        <f t="shared" si="6"/>
        <v>8.2964020712348923</v>
      </c>
      <c r="G17" s="61">
        <f>'[1]cálculos teóricos'!T163</f>
        <v>22.362510814947974</v>
      </c>
      <c r="H17" s="74">
        <f t="shared" si="7"/>
        <v>37.099600039943873</v>
      </c>
      <c r="I17" s="163"/>
      <c r="J17" s="81"/>
      <c r="K17" s="80">
        <v>0.3</v>
      </c>
      <c r="L17" s="80">
        <v>0.6</v>
      </c>
      <c r="M17" s="80">
        <v>0.1</v>
      </c>
      <c r="N17" s="80"/>
      <c r="O17" s="77">
        <v>0.6</v>
      </c>
      <c r="P17" s="81"/>
      <c r="Q17" s="81"/>
      <c r="R17" s="80">
        <v>0.2</v>
      </c>
      <c r="S17" s="80"/>
      <c r="T17" s="80"/>
      <c r="U17" s="80"/>
      <c r="V17" s="77"/>
      <c r="W17" s="67">
        <f t="shared" si="0"/>
        <v>1.5999999999999999</v>
      </c>
      <c r="X17" s="68">
        <f t="shared" si="1"/>
        <v>0.2</v>
      </c>
      <c r="Y17" s="117">
        <f t="shared" si="2"/>
        <v>1.7999999999999998</v>
      </c>
      <c r="Z17" s="70">
        <f>'[1]cálculos teóricos'!I163</f>
        <v>10.580350862314617</v>
      </c>
      <c r="AA17" s="71">
        <f t="shared" si="3"/>
        <v>17.012668326636398</v>
      </c>
      <c r="AB17" s="3"/>
    </row>
    <row r="18" spans="1:28" ht="18" customHeight="1">
      <c r="A18" s="79">
        <v>10</v>
      </c>
      <c r="B18" s="75">
        <v>11.1</v>
      </c>
      <c r="C18" s="73">
        <f>'[1]cálculos teóricos'!K164</f>
        <v>0.94999808440510503</v>
      </c>
      <c r="D18" s="58">
        <f t="shared" si="4"/>
        <v>153.57179783479461</v>
      </c>
      <c r="E18" s="59">
        <f t="shared" si="5"/>
        <v>6.4297440317471803</v>
      </c>
      <c r="F18" s="60">
        <f t="shared" si="6"/>
        <v>8.3662625196839766</v>
      </c>
      <c r="G18" s="61">
        <f>'[1]cálculos teóricos'!T164</f>
        <v>22.310246165477785</v>
      </c>
      <c r="H18" s="74">
        <f t="shared" si="7"/>
        <v>37.499642351009484</v>
      </c>
      <c r="I18" s="163"/>
      <c r="J18" s="81"/>
      <c r="K18" s="80"/>
      <c r="L18" s="80">
        <v>0.1</v>
      </c>
      <c r="M18" s="80">
        <v>0.7</v>
      </c>
      <c r="N18" s="80">
        <v>0.2</v>
      </c>
      <c r="O18" s="77"/>
      <c r="P18" s="78">
        <v>0.4</v>
      </c>
      <c r="Q18" s="81">
        <v>0.2</v>
      </c>
      <c r="R18" s="80"/>
      <c r="S18" s="80"/>
      <c r="T18" s="80"/>
      <c r="U18" s="80"/>
      <c r="V18" s="77"/>
      <c r="W18" s="67">
        <f t="shared" si="0"/>
        <v>1</v>
      </c>
      <c r="X18" s="68">
        <f t="shared" si="1"/>
        <v>0.60000000000000009</v>
      </c>
      <c r="Y18" s="117">
        <f t="shared" si="2"/>
        <v>1.6</v>
      </c>
      <c r="Z18" s="70">
        <f>'[1]cálculos teóricos'!I164</f>
        <v>10.57434686142002</v>
      </c>
      <c r="AA18" s="71">
        <f t="shared" si="3"/>
        <v>15.130958166669572</v>
      </c>
      <c r="AB18" s="3"/>
    </row>
    <row r="19" spans="1:28" ht="18" customHeight="1">
      <c r="A19" s="79">
        <v>11</v>
      </c>
      <c r="B19" s="75">
        <v>18.8</v>
      </c>
      <c r="C19" s="73">
        <f>'[1]cálculos teóricos'!K165</f>
        <v>0.94971778623038505</v>
      </c>
      <c r="D19" s="58">
        <f t="shared" si="4"/>
        <v>260.0268416196048</v>
      </c>
      <c r="E19" s="59">
        <f t="shared" si="5"/>
        <v>10.886803804929613</v>
      </c>
      <c r="F19" s="60">
        <f t="shared" si="6"/>
        <v>13.937587236162017</v>
      </c>
      <c r="G19" s="61">
        <f>'[1]cálculos teóricos'!T165</f>
        <v>22.261869577761775</v>
      </c>
      <c r="H19" s="74">
        <f t="shared" si="7"/>
        <v>62.607442683451893</v>
      </c>
      <c r="I19" s="163"/>
      <c r="J19" s="81"/>
      <c r="K19" s="80">
        <v>0.5</v>
      </c>
      <c r="L19" s="80">
        <v>1</v>
      </c>
      <c r="M19" s="80">
        <v>1</v>
      </c>
      <c r="N19" s="80">
        <v>1</v>
      </c>
      <c r="O19" s="77">
        <v>1</v>
      </c>
      <c r="P19" s="78">
        <v>0.9</v>
      </c>
      <c r="Q19" s="81">
        <v>1</v>
      </c>
      <c r="R19" s="80">
        <v>1</v>
      </c>
      <c r="S19" s="80">
        <v>1</v>
      </c>
      <c r="T19" s="80">
        <v>0.2</v>
      </c>
      <c r="U19" s="80"/>
      <c r="V19" s="77"/>
      <c r="W19" s="67">
        <f t="shared" si="0"/>
        <v>4.5</v>
      </c>
      <c r="X19" s="68">
        <f t="shared" si="1"/>
        <v>4.0999999999999996</v>
      </c>
      <c r="Y19" s="117">
        <f t="shared" si="2"/>
        <v>8.6</v>
      </c>
      <c r="Z19" s="70">
        <f>'[1]cálculos teóricos'!I165</f>
        <v>10.568807245267474</v>
      </c>
      <c r="AA19" s="71">
        <f t="shared" si="3"/>
        <v>81.371528502905846</v>
      </c>
      <c r="AB19" s="3"/>
    </row>
    <row r="20" spans="1:28" ht="18" customHeight="1">
      <c r="A20" s="79">
        <v>12</v>
      </c>
      <c r="B20" s="75">
        <v>20</v>
      </c>
      <c r="C20" s="73">
        <f>'[1]cálculos teóricos'!K166</f>
        <v>0.94946114222524891</v>
      </c>
      <c r="D20" s="58">
        <f t="shared" si="4"/>
        <v>276.54954689594831</v>
      </c>
      <c r="E20" s="59">
        <f t="shared" si="5"/>
        <v>11.578576429439563</v>
      </c>
      <c r="F20" s="60">
        <f t="shared" si="6"/>
        <v>14.802303016799456</v>
      </c>
      <c r="G20" s="61">
        <f>'[1]cálculos teóricos'!T166</f>
        <v>22.217401416345737</v>
      </c>
      <c r="H20" s="74">
        <f t="shared" si="7"/>
        <v>66.624816914498098</v>
      </c>
      <c r="I20" s="163"/>
      <c r="J20" s="81"/>
      <c r="K20" s="80">
        <v>0.2</v>
      </c>
      <c r="L20" s="80">
        <v>1</v>
      </c>
      <c r="M20" s="80">
        <v>1</v>
      </c>
      <c r="N20" s="80">
        <v>1</v>
      </c>
      <c r="O20" s="77">
        <v>1</v>
      </c>
      <c r="P20" s="78">
        <v>1</v>
      </c>
      <c r="Q20" s="81">
        <v>1</v>
      </c>
      <c r="R20" s="80">
        <v>1</v>
      </c>
      <c r="S20" s="80">
        <v>1</v>
      </c>
      <c r="T20" s="80">
        <v>0.6</v>
      </c>
      <c r="U20" s="80"/>
      <c r="V20" s="77"/>
      <c r="W20" s="67">
        <f t="shared" si="0"/>
        <v>4.2</v>
      </c>
      <c r="X20" s="68">
        <f t="shared" si="1"/>
        <v>4.5999999999999996</v>
      </c>
      <c r="Y20" s="117">
        <f t="shared" si="2"/>
        <v>8.8000000000000007</v>
      </c>
      <c r="Z20" s="70">
        <f>'[1]cálculos teóricos'!I166</f>
        <v>10.563735880466673</v>
      </c>
      <c r="AA20" s="71">
        <f t="shared" si="3"/>
        <v>83.303862379520652</v>
      </c>
      <c r="AB20" s="3"/>
    </row>
    <row r="21" spans="1:28" ht="18" customHeight="1">
      <c r="A21" s="79">
        <v>13</v>
      </c>
      <c r="B21" s="75">
        <v>19.7</v>
      </c>
      <c r="C21" s="73">
        <f>'[1]cálculos teóricos'!K167</f>
        <v>0.9492283439274154</v>
      </c>
      <c r="D21" s="58">
        <f t="shared" si="4"/>
        <v>272.33451363970221</v>
      </c>
      <c r="E21" s="59">
        <f t="shared" si="5"/>
        <v>11.402101417067051</v>
      </c>
      <c r="F21" s="60">
        <f t="shared" si="6"/>
        <v>14.581709251333816</v>
      </c>
      <c r="G21" s="61">
        <f>'[1]cálculos teóricos'!T167</f>
        <v>22.176860155014239</v>
      </c>
      <c r="H21" s="74">
        <f t="shared" si="7"/>
        <v>65.751910547340756</v>
      </c>
      <c r="I21" s="163"/>
      <c r="J21" s="81"/>
      <c r="K21" s="80">
        <v>0.3</v>
      </c>
      <c r="L21" s="80">
        <v>1</v>
      </c>
      <c r="M21" s="80">
        <v>1</v>
      </c>
      <c r="N21" s="80">
        <v>1</v>
      </c>
      <c r="O21" s="77">
        <v>1</v>
      </c>
      <c r="P21" s="78">
        <v>1</v>
      </c>
      <c r="Q21" s="81">
        <v>1</v>
      </c>
      <c r="R21" s="80">
        <v>1</v>
      </c>
      <c r="S21" s="80">
        <v>1</v>
      </c>
      <c r="T21" s="80">
        <v>0.4</v>
      </c>
      <c r="U21" s="80"/>
      <c r="V21" s="77"/>
      <c r="W21" s="67">
        <f t="shared" si="0"/>
        <v>4.3</v>
      </c>
      <c r="X21" s="68">
        <f t="shared" si="1"/>
        <v>4.4000000000000004</v>
      </c>
      <c r="Y21" s="117">
        <f t="shared" si="2"/>
        <v>8.6999999999999993</v>
      </c>
      <c r="Z21" s="70">
        <f>'[1]cálculos teóricos'!I167</f>
        <v>10.559136320429129</v>
      </c>
      <c r="AA21" s="71">
        <f t="shared" si="3"/>
        <v>82.393102390086639</v>
      </c>
      <c r="AB21" s="3"/>
    </row>
    <row r="22" spans="1:28" ht="18" customHeight="1">
      <c r="A22" s="79">
        <v>14</v>
      </c>
      <c r="B22" s="75">
        <v>5</v>
      </c>
      <c r="C22" s="73">
        <f>'[1]cálculos teóricos'!K168</f>
        <v>0.94901956490783757</v>
      </c>
      <c r="D22" s="58">
        <f t="shared" si="4"/>
        <v>69.105232167676462</v>
      </c>
      <c r="E22" s="59">
        <f t="shared" si="5"/>
        <v>2.8932978603962778</v>
      </c>
      <c r="F22" s="60">
        <f t="shared" si="6"/>
        <v>3.9457048054953474</v>
      </c>
      <c r="G22" s="61">
        <f>'[1]cálculos teóricos'!T168</f>
        <v>22.140262365137801</v>
      </c>
      <c r="H22" s="74">
        <f t="shared" si="7"/>
        <v>17.821400399067898</v>
      </c>
      <c r="I22" s="163"/>
      <c r="J22" s="81"/>
      <c r="K22" s="80"/>
      <c r="L22" s="80"/>
      <c r="M22" s="80"/>
      <c r="N22" s="80"/>
      <c r="O22" s="77"/>
      <c r="P22" s="78"/>
      <c r="Q22" s="81"/>
      <c r="R22" s="80"/>
      <c r="S22" s="80"/>
      <c r="T22" s="80"/>
      <c r="U22" s="80"/>
      <c r="V22" s="77"/>
      <c r="W22" s="67">
        <f t="shared" si="0"/>
        <v>0</v>
      </c>
      <c r="X22" s="68">
        <f t="shared" si="1"/>
        <v>0</v>
      </c>
      <c r="Y22" s="117">
        <f t="shared" si="2"/>
        <v>0</v>
      </c>
      <c r="Z22" s="70">
        <f>'[1]cálculos teóricos'!I168</f>
        <v>10.555011796282567</v>
      </c>
      <c r="AA22" s="71">
        <f t="shared" si="3"/>
        <v>0</v>
      </c>
      <c r="AB22" s="3"/>
    </row>
    <row r="23" spans="1:28" ht="18" customHeight="1">
      <c r="A23" s="79">
        <v>15</v>
      </c>
      <c r="B23" s="75">
        <v>11.3</v>
      </c>
      <c r="C23" s="73">
        <f>'[1]cálculos teóricos'!K169</f>
        <v>0.94883496050383698</v>
      </c>
      <c r="D23" s="58">
        <f t="shared" si="4"/>
        <v>156.14744480446322</v>
      </c>
      <c r="E23" s="59">
        <f t="shared" si="5"/>
        <v>6.5375812190732656</v>
      </c>
      <c r="F23" s="60">
        <f t="shared" si="6"/>
        <v>8.5010590038415828</v>
      </c>
      <c r="G23" s="61">
        <f>'[1]cálculos teóricos'!T169</f>
        <v>22.107622705475894</v>
      </c>
      <c r="H23" s="74">
        <f t="shared" si="7"/>
        <v>38.453067148354826</v>
      </c>
      <c r="I23" s="163"/>
      <c r="J23" s="81"/>
      <c r="K23" s="80"/>
      <c r="L23" s="80"/>
      <c r="M23" s="80"/>
      <c r="N23" s="80">
        <v>0.1</v>
      </c>
      <c r="O23" s="77">
        <v>0.2</v>
      </c>
      <c r="P23" s="78">
        <v>0.7</v>
      </c>
      <c r="Q23" s="81">
        <v>0.8</v>
      </c>
      <c r="R23" s="80">
        <v>0.8</v>
      </c>
      <c r="S23" s="80"/>
      <c r="T23" s="80"/>
      <c r="U23" s="80"/>
      <c r="V23" s="77"/>
      <c r="W23" s="67">
        <f t="shared" si="0"/>
        <v>0.30000000000000004</v>
      </c>
      <c r="X23" s="68">
        <f t="shared" si="1"/>
        <v>2.2999999999999998</v>
      </c>
      <c r="Y23" s="117">
        <f t="shared" si="2"/>
        <v>2.5999999999999996</v>
      </c>
      <c r="Z23" s="70">
        <f>'[1]cálculos teóricos'!I169</f>
        <v>10.551365208532534</v>
      </c>
      <c r="AA23" s="71">
        <f t="shared" si="3"/>
        <v>24.64136108090986</v>
      </c>
      <c r="AB23" s="3"/>
    </row>
    <row r="24" spans="1:28" ht="18" customHeight="1">
      <c r="A24" s="79">
        <v>16</v>
      </c>
      <c r="B24" s="75">
        <v>14.7</v>
      </c>
      <c r="C24" s="73">
        <f>'[1]cálculos teóricos'!K170</f>
        <v>0.9486746675795964</v>
      </c>
      <c r="D24" s="58">
        <f t="shared" si="4"/>
        <v>203.09554576304313</v>
      </c>
      <c r="E24" s="59">
        <f t="shared" si="5"/>
        <v>8.5032043100070887</v>
      </c>
      <c r="F24" s="60">
        <f t="shared" si="6"/>
        <v>10.958087867508862</v>
      </c>
      <c r="G24" s="61">
        <f>'[1]cálculos teóricos'!T170</f>
        <v>22.078953913434933</v>
      </c>
      <c r="H24" s="74">
        <f t="shared" si="7"/>
        <v>49.631372530022446</v>
      </c>
      <c r="I24" s="163"/>
      <c r="J24" s="81"/>
      <c r="K24" s="80"/>
      <c r="L24" s="80">
        <v>0.1</v>
      </c>
      <c r="M24" s="80">
        <v>0.1</v>
      </c>
      <c r="N24" s="80"/>
      <c r="O24" s="77">
        <v>0.2</v>
      </c>
      <c r="P24" s="81">
        <v>1</v>
      </c>
      <c r="Q24" s="80">
        <v>1</v>
      </c>
      <c r="R24" s="80">
        <v>1</v>
      </c>
      <c r="S24" s="80">
        <v>0.6</v>
      </c>
      <c r="T24" s="80"/>
      <c r="U24" s="80"/>
      <c r="V24" s="77"/>
      <c r="W24" s="67">
        <f t="shared" si="0"/>
        <v>0.4</v>
      </c>
      <c r="X24" s="68">
        <f t="shared" si="1"/>
        <v>3.6</v>
      </c>
      <c r="Y24" s="117">
        <f t="shared" si="2"/>
        <v>4</v>
      </c>
      <c r="Z24" s="70">
        <f>'[1]cálculos teóricos'!I170</f>
        <v>10.54819911951218</v>
      </c>
      <c r="AA24" s="71">
        <f t="shared" si="3"/>
        <v>37.921165069786689</v>
      </c>
      <c r="AB24" s="3"/>
    </row>
    <row r="25" spans="1:28" ht="18" customHeight="1">
      <c r="A25" s="84">
        <v>17</v>
      </c>
      <c r="B25" s="75">
        <v>19.2</v>
      </c>
      <c r="C25" s="73">
        <f>'[1]cálculos teóricos'!K171</f>
        <v>0.94853880431471793</v>
      </c>
      <c r="D25" s="58">
        <f t="shared" si="4"/>
        <v>265.22966163143798</v>
      </c>
      <c r="E25" s="59">
        <f t="shared" si="5"/>
        <v>11.104635473185045</v>
      </c>
      <c r="F25" s="60">
        <f t="shared" si="6"/>
        <v>14.209876821481307</v>
      </c>
      <c r="G25" s="61">
        <f>'[1]cálculos teóricos'!T171</f>
        <v>22.054266797780116</v>
      </c>
      <c r="H25" s="74">
        <f t="shared" si="7"/>
        <v>64.431417973557885</v>
      </c>
      <c r="I25" s="163"/>
      <c r="J25" s="81"/>
      <c r="K25" s="80"/>
      <c r="L25" s="80">
        <v>0.1</v>
      </c>
      <c r="M25" s="80">
        <v>1</v>
      </c>
      <c r="N25" s="80">
        <v>1</v>
      </c>
      <c r="O25" s="77">
        <v>1</v>
      </c>
      <c r="P25" s="81">
        <v>1</v>
      </c>
      <c r="Q25" s="80">
        <v>1</v>
      </c>
      <c r="R25" s="80">
        <v>1</v>
      </c>
      <c r="S25" s="80">
        <v>1</v>
      </c>
      <c r="T25" s="80">
        <v>0.3</v>
      </c>
      <c r="U25" s="80"/>
      <c r="V25" s="77"/>
      <c r="W25" s="67">
        <f t="shared" si="0"/>
        <v>3.1</v>
      </c>
      <c r="X25" s="68">
        <f t="shared" si="1"/>
        <v>4.3</v>
      </c>
      <c r="Y25" s="117">
        <f t="shared" si="2"/>
        <v>7.4</v>
      </c>
      <c r="Z25" s="70">
        <f>'[1]cálculos teóricos'!I171</f>
        <v>10.545515746657909</v>
      </c>
      <c r="AA25" s="71">
        <f t="shared" si="3"/>
        <v>70.172006545485573</v>
      </c>
      <c r="AB25" s="3"/>
    </row>
    <row r="26" spans="1:28" ht="18" customHeight="1">
      <c r="A26" s="84">
        <v>18</v>
      </c>
      <c r="B26" s="75">
        <v>20.399999999999999</v>
      </c>
      <c r="C26" s="73">
        <f>'[1]cálculos teóricos'!K172</f>
        <v>0.94842747002147099</v>
      </c>
      <c r="D26" s="58">
        <f t="shared" si="4"/>
        <v>281.77343857701692</v>
      </c>
      <c r="E26" s="59">
        <f t="shared" si="5"/>
        <v>11.797290326342543</v>
      </c>
      <c r="F26" s="60">
        <f t="shared" si="6"/>
        <v>15.075695387928178</v>
      </c>
      <c r="G26" s="61">
        <f>'[1]cálculos teóricos'!T172</f>
        <v>22.033570232799129</v>
      </c>
      <c r="H26" s="74">
        <f t="shared" si="7"/>
        <v>68.421482440855314</v>
      </c>
      <c r="I26" s="163"/>
      <c r="J26" s="81"/>
      <c r="K26" s="80">
        <v>1</v>
      </c>
      <c r="L26" s="80">
        <v>1</v>
      </c>
      <c r="M26" s="80">
        <v>1</v>
      </c>
      <c r="N26" s="80">
        <v>1</v>
      </c>
      <c r="O26" s="77">
        <v>1</v>
      </c>
      <c r="P26" s="81">
        <v>1</v>
      </c>
      <c r="Q26" s="80">
        <v>1</v>
      </c>
      <c r="R26" s="80">
        <v>1</v>
      </c>
      <c r="S26" s="80">
        <v>0.5</v>
      </c>
      <c r="T26" s="80">
        <v>0.1</v>
      </c>
      <c r="U26" s="80"/>
      <c r="V26" s="77"/>
      <c r="W26" s="67">
        <f t="shared" si="0"/>
        <v>5</v>
      </c>
      <c r="X26" s="68">
        <f t="shared" si="1"/>
        <v>3.6</v>
      </c>
      <c r="Y26" s="117">
        <f t="shared" si="2"/>
        <v>8.6</v>
      </c>
      <c r="Z26" s="70">
        <f>'[1]cálculos teóricos'!I172</f>
        <v>10.543316956644638</v>
      </c>
      <c r="AA26" s="71">
        <f t="shared" si="3"/>
        <v>81.568258218587317</v>
      </c>
      <c r="AB26" s="3"/>
    </row>
    <row r="27" spans="1:28" ht="18" customHeight="1">
      <c r="A27" s="84">
        <v>19</v>
      </c>
      <c r="B27" s="75">
        <v>20.5</v>
      </c>
      <c r="C27" s="73">
        <f>'[1]cálculos teóricos'!K173</f>
        <v>0.94834074499127929</v>
      </c>
      <c r="D27" s="58">
        <f t="shared" si="4"/>
        <v>283.12878901345016</v>
      </c>
      <c r="E27" s="59">
        <f t="shared" si="5"/>
        <v>11.854036138415131</v>
      </c>
      <c r="F27" s="60">
        <f t="shared" si="6"/>
        <v>15.146627653018914</v>
      </c>
      <c r="G27" s="61">
        <f>'[1]cálculos teóricos'!T173</f>
        <v>22.016871153915464</v>
      </c>
      <c r="H27" s="74">
        <f t="shared" si="7"/>
        <v>68.795550226605428</v>
      </c>
      <c r="I27" s="163"/>
      <c r="J27" s="81"/>
      <c r="K27" s="80">
        <v>0.8</v>
      </c>
      <c r="L27" s="80">
        <v>1</v>
      </c>
      <c r="M27" s="80">
        <v>1</v>
      </c>
      <c r="N27" s="80">
        <v>1</v>
      </c>
      <c r="O27" s="77">
        <v>1</v>
      </c>
      <c r="P27" s="81">
        <v>1</v>
      </c>
      <c r="Q27" s="80">
        <v>1</v>
      </c>
      <c r="R27" s="80">
        <v>1</v>
      </c>
      <c r="S27" s="80">
        <v>1</v>
      </c>
      <c r="T27" s="80">
        <v>0.3</v>
      </c>
      <c r="U27" s="80"/>
      <c r="V27" s="77"/>
      <c r="W27" s="67">
        <f t="shared" si="0"/>
        <v>4.8</v>
      </c>
      <c r="X27" s="68">
        <f t="shared" si="1"/>
        <v>4.3</v>
      </c>
      <c r="Y27" s="117">
        <f t="shared" si="2"/>
        <v>9.1</v>
      </c>
      <c r="Z27" s="70">
        <f>'[1]cálculos teóricos'!I173</f>
        <v>10.541604260410397</v>
      </c>
      <c r="AA27" s="71">
        <f t="shared" si="3"/>
        <v>86.324621710336586</v>
      </c>
      <c r="AB27" s="3"/>
    </row>
    <row r="28" spans="1:28" ht="18" customHeight="1">
      <c r="A28" s="84">
        <v>20</v>
      </c>
      <c r="B28" s="75">
        <v>21.1</v>
      </c>
      <c r="C28" s="73">
        <f>'[1]cálculos teóricos'!K174</f>
        <v>0.94827869037091239</v>
      </c>
      <c r="D28" s="58">
        <f t="shared" si="4"/>
        <v>291.39641652227414</v>
      </c>
      <c r="E28" s="59">
        <f t="shared" si="5"/>
        <v>12.200185166954572</v>
      </c>
      <c r="F28" s="60">
        <f t="shared" si="6"/>
        <v>15.579313938693216</v>
      </c>
      <c r="G28" s="61">
        <f>'[1]cálculos teóricos'!T174</f>
        <v>22.004174554749007</v>
      </c>
      <c r="H28" s="74">
        <f t="shared" si="7"/>
        <v>70.801628572478506</v>
      </c>
      <c r="I28" s="163"/>
      <c r="J28" s="81"/>
      <c r="K28" s="80">
        <v>1</v>
      </c>
      <c r="L28" s="80">
        <v>1</v>
      </c>
      <c r="M28" s="80">
        <v>1</v>
      </c>
      <c r="N28" s="80">
        <v>1</v>
      </c>
      <c r="O28" s="77">
        <v>1</v>
      </c>
      <c r="P28" s="81">
        <v>1</v>
      </c>
      <c r="Q28" s="80">
        <v>1</v>
      </c>
      <c r="R28" s="80">
        <v>1</v>
      </c>
      <c r="S28" s="80">
        <v>1</v>
      </c>
      <c r="T28" s="80">
        <v>0.5</v>
      </c>
      <c r="U28" s="80"/>
      <c r="V28" s="77"/>
      <c r="W28" s="67">
        <f t="shared" si="0"/>
        <v>5</v>
      </c>
      <c r="X28" s="68">
        <f t="shared" si="1"/>
        <v>4.5</v>
      </c>
      <c r="Y28" s="117">
        <f t="shared" si="2"/>
        <v>9.5</v>
      </c>
      <c r="Z28" s="70">
        <f>'[1]cálculos teóricos'!I174</f>
        <v>10.540378809095687</v>
      </c>
      <c r="AA28" s="71">
        <f t="shared" si="3"/>
        <v>90.129588054293592</v>
      </c>
      <c r="AB28" s="3"/>
    </row>
    <row r="29" spans="1:28" ht="18" customHeight="1">
      <c r="A29" s="84">
        <v>21</v>
      </c>
      <c r="B29" s="75">
        <v>19.399999999999999</v>
      </c>
      <c r="C29" s="73">
        <f>'[1]cálculos teóricos'!K175</f>
        <v>0.94824134806875726</v>
      </c>
      <c r="D29" s="58">
        <f t="shared" si="4"/>
        <v>267.90842972842734</v>
      </c>
      <c r="E29" s="59">
        <f t="shared" si="5"/>
        <v>11.216790135869797</v>
      </c>
      <c r="F29" s="60">
        <f t="shared" si="6"/>
        <v>14.350070149837245</v>
      </c>
      <c r="G29" s="61">
        <f>'[1]cálculos teóricos'!T175</f>
        <v>21.995483485621605</v>
      </c>
      <c r="H29" s="74">
        <f t="shared" si="7"/>
        <v>65.24098531054274</v>
      </c>
      <c r="I29" s="163"/>
      <c r="J29" s="81"/>
      <c r="K29" s="80">
        <v>0.7</v>
      </c>
      <c r="L29" s="80">
        <v>1</v>
      </c>
      <c r="M29" s="80">
        <v>1</v>
      </c>
      <c r="N29" s="80">
        <v>1</v>
      </c>
      <c r="O29" s="77">
        <v>1</v>
      </c>
      <c r="P29" s="81">
        <v>1</v>
      </c>
      <c r="Q29" s="80">
        <v>1</v>
      </c>
      <c r="R29" s="80">
        <v>1</v>
      </c>
      <c r="S29" s="80">
        <v>1</v>
      </c>
      <c r="T29" s="80">
        <v>0.5</v>
      </c>
      <c r="U29" s="80"/>
      <c r="V29" s="77"/>
      <c r="W29" s="67">
        <f t="shared" si="0"/>
        <v>4.7</v>
      </c>
      <c r="X29" s="68">
        <f t="shared" si="1"/>
        <v>4.5</v>
      </c>
      <c r="Y29" s="117">
        <f t="shared" si="2"/>
        <v>9.1999999999999993</v>
      </c>
      <c r="Z29" s="70">
        <f>'[1]cálculos teóricos'!I175</f>
        <v>10.539641390918483</v>
      </c>
      <c r="AA29" s="71">
        <f t="shared" si="3"/>
        <v>87.289497419971127</v>
      </c>
      <c r="AB29" s="3"/>
    </row>
    <row r="30" spans="1:28" ht="18" customHeight="1">
      <c r="A30" s="84">
        <v>22</v>
      </c>
      <c r="B30" s="75">
        <v>19</v>
      </c>
      <c r="C30" s="73">
        <f>'[1]cálculos teóricos'!K176</f>
        <v>0.94822874069146967</v>
      </c>
      <c r="D30" s="58">
        <f t="shared" si="4"/>
        <v>262.38105603614412</v>
      </c>
      <c r="E30" s="59">
        <f t="shared" si="5"/>
        <v>10.985370054121281</v>
      </c>
      <c r="F30" s="60">
        <f t="shared" si="6"/>
        <v>14.060795047651602</v>
      </c>
      <c r="G30" s="61">
        <f>'[1]cálculos teóricos'!T176</f>
        <v>21.990799053505</v>
      </c>
      <c r="H30" s="74">
        <f t="shared" si="7"/>
        <v>63.939445826596845</v>
      </c>
      <c r="I30" s="163"/>
      <c r="J30" s="81"/>
      <c r="K30" s="80">
        <v>0.5</v>
      </c>
      <c r="L30" s="80">
        <v>1</v>
      </c>
      <c r="M30" s="80">
        <v>1</v>
      </c>
      <c r="N30" s="80">
        <v>1</v>
      </c>
      <c r="O30" s="77">
        <v>1</v>
      </c>
      <c r="P30" s="81">
        <v>1</v>
      </c>
      <c r="Q30" s="80">
        <v>1</v>
      </c>
      <c r="R30" s="80">
        <v>1</v>
      </c>
      <c r="S30" s="80">
        <v>1</v>
      </c>
      <c r="T30" s="80">
        <v>0.3</v>
      </c>
      <c r="U30" s="80"/>
      <c r="V30" s="77"/>
      <c r="W30" s="67">
        <f t="shared" si="0"/>
        <v>4.5</v>
      </c>
      <c r="X30" s="68">
        <f t="shared" si="1"/>
        <v>4.3</v>
      </c>
      <c r="Y30" s="117">
        <f t="shared" si="2"/>
        <v>8.8000000000000007</v>
      </c>
      <c r="Z30" s="70">
        <f>'[1]cálculos teóricos'!I176</f>
        <v>10.539392429001008</v>
      </c>
      <c r="AA30" s="71">
        <f t="shared" si="3"/>
        <v>83.49627418545721</v>
      </c>
      <c r="AB30" s="3"/>
    </row>
    <row r="31" spans="1:28" ht="18" customHeight="1">
      <c r="A31" s="84">
        <v>23</v>
      </c>
      <c r="B31" s="75">
        <v>18.5</v>
      </c>
      <c r="C31" s="73">
        <f>'[1]cálculos teóricos'!K177</f>
        <v>0.9482408715112014</v>
      </c>
      <c r="D31" s="58">
        <f t="shared" si="4"/>
        <v>255.47955974668758</v>
      </c>
      <c r="E31" s="59">
        <f t="shared" si="5"/>
        <v>10.696418207474315</v>
      </c>
      <c r="F31" s="60">
        <f t="shared" si="6"/>
        <v>13.699605239342894</v>
      </c>
      <c r="G31" s="61">
        <f>'[1]cálculos teóricos'!T177</f>
        <v>21.990120423409326</v>
      </c>
      <c r="H31" s="74">
        <f t="shared" si="7"/>
        <v>62.29890958104594</v>
      </c>
      <c r="I31" s="163"/>
      <c r="J31" s="81"/>
      <c r="K31" s="80">
        <v>0.9</v>
      </c>
      <c r="L31" s="80">
        <v>1</v>
      </c>
      <c r="M31" s="80">
        <v>1</v>
      </c>
      <c r="N31" s="80">
        <v>1</v>
      </c>
      <c r="O31" s="77">
        <v>1</v>
      </c>
      <c r="P31" s="81">
        <v>1</v>
      </c>
      <c r="Q31" s="80">
        <v>1</v>
      </c>
      <c r="R31" s="80">
        <v>1</v>
      </c>
      <c r="S31" s="80">
        <v>0.7</v>
      </c>
      <c r="T31" s="80"/>
      <c r="U31" s="80"/>
      <c r="V31" s="77"/>
      <c r="W31" s="67">
        <f t="shared" si="0"/>
        <v>4.9000000000000004</v>
      </c>
      <c r="X31" s="68">
        <f t="shared" si="1"/>
        <v>3.7</v>
      </c>
      <c r="Y31" s="117">
        <f t="shared" si="2"/>
        <v>8.6000000000000014</v>
      </c>
      <c r="Z31" s="70">
        <f>'[1]cálculos teóricos'!I177</f>
        <v>10.539631980159754</v>
      </c>
      <c r="AA31" s="71">
        <f t="shared" si="3"/>
        <v>81.596776967061103</v>
      </c>
      <c r="AB31" s="3"/>
    </row>
    <row r="32" spans="1:28" ht="18" customHeight="1">
      <c r="A32" s="84">
        <v>24</v>
      </c>
      <c r="B32" s="75">
        <v>20.399999999999999</v>
      </c>
      <c r="C32" s="73">
        <f>'[1]cálculos teóricos'!K178</f>
        <v>0.94827772446352887</v>
      </c>
      <c r="D32" s="58">
        <f t="shared" si="4"/>
        <v>281.72894986058191</v>
      </c>
      <c r="E32" s="59">
        <f t="shared" si="5"/>
        <v>11.795427672762845</v>
      </c>
      <c r="F32" s="60">
        <f t="shared" si="6"/>
        <v>15.073367070953555</v>
      </c>
      <c r="G32" s="61">
        <f>'[1]cálculos teóricos'!T178</f>
        <v>21.993444821210002</v>
      </c>
      <c r="H32" s="74">
        <f t="shared" si="7"/>
        <v>68.535725956022702</v>
      </c>
      <c r="I32" s="163"/>
      <c r="J32" s="81"/>
      <c r="K32" s="80">
        <v>1</v>
      </c>
      <c r="L32" s="80">
        <v>1</v>
      </c>
      <c r="M32" s="80">
        <v>1</v>
      </c>
      <c r="N32" s="80">
        <v>1</v>
      </c>
      <c r="O32" s="77">
        <v>1</v>
      </c>
      <c r="P32" s="81">
        <v>1</v>
      </c>
      <c r="Q32" s="80">
        <v>1</v>
      </c>
      <c r="R32" s="80">
        <v>0.9</v>
      </c>
      <c r="S32" s="80">
        <v>0.5</v>
      </c>
      <c r="T32" s="80"/>
      <c r="U32" s="80"/>
      <c r="V32" s="77"/>
      <c r="W32" s="67">
        <f t="shared" si="0"/>
        <v>5</v>
      </c>
      <c r="X32" s="68">
        <f t="shared" si="1"/>
        <v>3.4</v>
      </c>
      <c r="Y32" s="117">
        <f t="shared" si="2"/>
        <v>8.4</v>
      </c>
      <c r="Z32" s="70">
        <f>'[1]cálculos teóricos'!I178</f>
        <v>10.540359734665067</v>
      </c>
      <c r="AA32" s="71">
        <f t="shared" si="3"/>
        <v>79.693674708028553</v>
      </c>
      <c r="AB32" s="3"/>
    </row>
    <row r="33" spans="1:28" ht="18" customHeight="1">
      <c r="A33" s="84">
        <v>25</v>
      </c>
      <c r="B33" s="75">
        <v>17.899999999999999</v>
      </c>
      <c r="C33" s="73">
        <f>'[1]cálculos teóricos'!K179</f>
        <v>0.94833926417610326</v>
      </c>
      <c r="D33" s="58">
        <f t="shared" si="4"/>
        <v>247.21938584153332</v>
      </c>
      <c r="E33" s="59">
        <f t="shared" si="5"/>
        <v>10.350581246413316</v>
      </c>
      <c r="F33" s="60">
        <f t="shared" si="6"/>
        <v>13.267309038016647</v>
      </c>
      <c r="G33" s="61">
        <f>'[1]cálculos teóricos'!T179</f>
        <v>22.000767537911535</v>
      </c>
      <c r="H33" s="74">
        <f t="shared" si="7"/>
        <v>60.303846286974</v>
      </c>
      <c r="I33" s="163"/>
      <c r="J33" s="81"/>
      <c r="K33" s="80">
        <v>0.5</v>
      </c>
      <c r="L33" s="80">
        <v>1</v>
      </c>
      <c r="M33" s="80">
        <v>1</v>
      </c>
      <c r="N33" s="80">
        <v>1</v>
      </c>
      <c r="O33" s="77">
        <v>1</v>
      </c>
      <c r="P33" s="81">
        <v>1</v>
      </c>
      <c r="Q33" s="80">
        <v>0.5</v>
      </c>
      <c r="R33" s="80">
        <v>0.4</v>
      </c>
      <c r="S33" s="80"/>
      <c r="T33" s="80"/>
      <c r="U33" s="80"/>
      <c r="V33" s="77"/>
      <c r="W33" s="67">
        <f t="shared" si="0"/>
        <v>4.5</v>
      </c>
      <c r="X33" s="68">
        <f t="shared" si="1"/>
        <v>1.9</v>
      </c>
      <c r="Y33" s="117">
        <f t="shared" si="2"/>
        <v>6.4</v>
      </c>
      <c r="Z33" s="70">
        <f>'[1]cálculos teóricos'!I179</f>
        <v>10.541575016971914</v>
      </c>
      <c r="AA33" s="71">
        <f t="shared" si="3"/>
        <v>60.711990283197849</v>
      </c>
      <c r="AB33" s="3"/>
    </row>
    <row r="34" spans="1:28" ht="18" customHeight="1">
      <c r="A34" s="84">
        <v>26</v>
      </c>
      <c r="B34" s="75">
        <v>5.8</v>
      </c>
      <c r="C34" s="73">
        <f>'[1]cálculos teóricos'!K180</f>
        <v>0.94842543602796126</v>
      </c>
      <c r="D34" s="58">
        <f t="shared" si="4"/>
        <v>80.111884258040647</v>
      </c>
      <c r="E34" s="59">
        <f t="shared" si="5"/>
        <v>3.3541243701156458</v>
      </c>
      <c r="F34" s="60">
        <f t="shared" si="6"/>
        <v>4.521737942644557</v>
      </c>
      <c r="G34" s="61">
        <f>'[1]cálculos teóricos'!T180</f>
        <v>22.012081935346771</v>
      </c>
      <c r="H34" s="74">
        <f t="shared" si="7"/>
        <v>20.54207301211067</v>
      </c>
      <c r="I34" s="163"/>
      <c r="J34" s="81"/>
      <c r="K34" s="80"/>
      <c r="L34" s="80"/>
      <c r="M34" s="80"/>
      <c r="N34" s="80"/>
      <c r="O34" s="77"/>
      <c r="P34" s="81"/>
      <c r="Q34" s="80"/>
      <c r="R34" s="80"/>
      <c r="S34" s="80"/>
      <c r="T34" s="80"/>
      <c r="U34" s="80"/>
      <c r="V34" s="77"/>
      <c r="W34" s="67">
        <f t="shared" si="0"/>
        <v>0</v>
      </c>
      <c r="X34" s="68">
        <f t="shared" si="1"/>
        <v>0</v>
      </c>
      <c r="Y34" s="117">
        <f t="shared" si="2"/>
        <v>0</v>
      </c>
      <c r="Z34" s="70">
        <f>'[1]cálculos teóricos'!I180</f>
        <v>10.543276787418177</v>
      </c>
      <c r="AA34" s="71">
        <f t="shared" si="3"/>
        <v>0</v>
      </c>
      <c r="AB34" s="3"/>
    </row>
    <row r="35" spans="1:28" ht="18" customHeight="1">
      <c r="A35" s="84">
        <v>27</v>
      </c>
      <c r="B35" s="75">
        <v>2.8</v>
      </c>
      <c r="C35" s="73">
        <f>'[1]cálculos teóricos'!K181</f>
        <v>0.94853616623934689</v>
      </c>
      <c r="D35" s="58">
        <f t="shared" si="4"/>
        <v>38.67921807967484</v>
      </c>
      <c r="E35" s="59">
        <f t="shared" si="5"/>
        <v>1.6194215025598262</v>
      </c>
      <c r="F35" s="60">
        <f t="shared" si="6"/>
        <v>2.3533593581997829</v>
      </c>
      <c r="G35" s="61">
        <f>'[1]cálculos teóricos'!T181</f>
        <v>22.027379453310431</v>
      </c>
      <c r="H35" s="74">
        <f t="shared" si="7"/>
        <v>10.683791792791327</v>
      </c>
      <c r="I35" s="163"/>
      <c r="J35" s="81"/>
      <c r="K35" s="80"/>
      <c r="L35" s="80"/>
      <c r="M35" s="80"/>
      <c r="N35" s="80"/>
      <c r="O35" s="77"/>
      <c r="P35" s="81"/>
      <c r="Q35" s="80"/>
      <c r="R35" s="80"/>
      <c r="S35" s="80"/>
      <c r="T35" s="80"/>
      <c r="U35" s="80"/>
      <c r="V35" s="77"/>
      <c r="W35" s="67">
        <f t="shared" si="0"/>
        <v>0</v>
      </c>
      <c r="X35" s="68">
        <f t="shared" si="1"/>
        <v>0</v>
      </c>
      <c r="Y35" s="117">
        <f t="shared" si="2"/>
        <v>0</v>
      </c>
      <c r="Z35" s="70">
        <f>'[1]cálculos teóricos'!I181</f>
        <v>10.545463644882119</v>
      </c>
      <c r="AA35" s="71">
        <f t="shared" si="3"/>
        <v>0</v>
      </c>
      <c r="AB35" s="3"/>
    </row>
    <row r="36" spans="1:28" ht="18" customHeight="1">
      <c r="A36" s="84">
        <v>28</v>
      </c>
      <c r="B36" s="75">
        <v>11</v>
      </c>
      <c r="C36" s="73">
        <f>'[1]cálculos teóricos'!K182</f>
        <v>0.94867136199179813</v>
      </c>
      <c r="D36" s="58">
        <f t="shared" si="4"/>
        <v>151.97572918404308</v>
      </c>
      <c r="E36" s="59">
        <f t="shared" si="5"/>
        <v>6.3629198294775158</v>
      </c>
      <c r="F36" s="60">
        <f t="shared" si="6"/>
        <v>8.2827322668468941</v>
      </c>
      <c r="G36" s="61">
        <f>'[1]cálculos teóricos'!T182</f>
        <v>22.046649618125883</v>
      </c>
      <c r="H36" s="74">
        <f t="shared" si="7"/>
        <v>37.569120071818801</v>
      </c>
      <c r="I36" s="163"/>
      <c r="J36" s="81"/>
      <c r="K36" s="80"/>
      <c r="L36" s="80">
        <v>0.1</v>
      </c>
      <c r="M36" s="80">
        <v>0.2</v>
      </c>
      <c r="N36" s="80">
        <v>0.4</v>
      </c>
      <c r="O36" s="77"/>
      <c r="P36" s="81">
        <v>0.2</v>
      </c>
      <c r="Q36" s="80">
        <v>0.2</v>
      </c>
      <c r="R36" s="80"/>
      <c r="S36" s="80"/>
      <c r="T36" s="80">
        <v>0.1</v>
      </c>
      <c r="U36" s="80"/>
      <c r="V36" s="77"/>
      <c r="W36" s="67">
        <f t="shared" si="0"/>
        <v>0.70000000000000007</v>
      </c>
      <c r="X36" s="68">
        <f t="shared" si="1"/>
        <v>0.5</v>
      </c>
      <c r="Y36" s="117">
        <f t="shared" si="2"/>
        <v>1.2000000000000002</v>
      </c>
      <c r="Z36" s="70">
        <f>'[1]cálculos teóricos'!I182</f>
        <v>10.548133830385645</v>
      </c>
      <c r="AA36" s="71">
        <f t="shared" si="3"/>
        <v>11.376419936417584</v>
      </c>
      <c r="AB36" s="3"/>
    </row>
    <row r="37" spans="1:28" ht="18" customHeight="1">
      <c r="A37" s="84">
        <v>29</v>
      </c>
      <c r="B37" s="75">
        <v>16.899999999999999</v>
      </c>
      <c r="C37" s="73">
        <f>'[1]cálculos teóricos'!K183</f>
        <v>0.94883091157817412</v>
      </c>
      <c r="D37" s="58">
        <f t="shared" si="4"/>
        <v>233.52925277499168</v>
      </c>
      <c r="E37" s="59">
        <f t="shared" si="5"/>
        <v>9.7774027551833509</v>
      </c>
      <c r="F37" s="60">
        <f t="shared" si="6"/>
        <v>12.550835923979189</v>
      </c>
      <c r="G37" s="61">
        <f>'[1]cálculos teóricos'!T183</f>
        <v>22.069880052644166</v>
      </c>
      <c r="H37" s="74">
        <f t="shared" si="7"/>
        <v>56.868618651488724</v>
      </c>
      <c r="I37" s="163"/>
      <c r="J37" s="81"/>
      <c r="K37" s="80">
        <v>0.6</v>
      </c>
      <c r="L37" s="80">
        <v>1</v>
      </c>
      <c r="M37" s="80">
        <v>1</v>
      </c>
      <c r="N37" s="80">
        <v>0.8</v>
      </c>
      <c r="O37" s="77">
        <v>0.9</v>
      </c>
      <c r="P37" s="81">
        <v>1</v>
      </c>
      <c r="Q37" s="80">
        <v>1</v>
      </c>
      <c r="R37" s="80">
        <v>0.6</v>
      </c>
      <c r="S37" s="80">
        <v>0.5</v>
      </c>
      <c r="T37" s="80"/>
      <c r="U37" s="80"/>
      <c r="V37" s="77"/>
      <c r="W37" s="67">
        <f t="shared" si="0"/>
        <v>4.3000000000000007</v>
      </c>
      <c r="X37" s="68">
        <f t="shared" si="1"/>
        <v>3.1</v>
      </c>
      <c r="Y37" s="117">
        <f t="shared" si="2"/>
        <v>7.4</v>
      </c>
      <c r="Z37" s="70">
        <f>'[1]cálculos teóricos'!I183</f>
        <v>10.551285231625181</v>
      </c>
      <c r="AA37" s="71">
        <f t="shared" si="3"/>
        <v>70.133636211635249</v>
      </c>
      <c r="AB37" s="3"/>
    </row>
    <row r="38" spans="1:28" ht="18" customHeight="1" thickBot="1">
      <c r="A38" s="79">
        <v>30</v>
      </c>
      <c r="B38" s="75">
        <v>20.100000000000001</v>
      </c>
      <c r="C38" s="73">
        <f>'[1]cálculos teóricos'!K184</f>
        <v>0.94901468458220362</v>
      </c>
      <c r="D38" s="58">
        <f t="shared" si="4"/>
        <v>277.80160471414973</v>
      </c>
      <c r="E38" s="59">
        <f t="shared" si="5"/>
        <v>11.63099758617202</v>
      </c>
      <c r="F38" s="60">
        <f t="shared" si="6"/>
        <v>14.867829462715026</v>
      </c>
      <c r="G38" s="61">
        <f>'[1]cálculos teóricos'!T184</f>
        <v>22.097056487674202</v>
      </c>
      <c r="H38" s="74">
        <f t="shared" si="7"/>
        <v>67.284208061867162</v>
      </c>
      <c r="I38" s="163"/>
      <c r="J38" s="81"/>
      <c r="K38" s="80">
        <v>0.9</v>
      </c>
      <c r="L38" s="80">
        <v>0.8</v>
      </c>
      <c r="M38" s="80">
        <v>1</v>
      </c>
      <c r="N38" s="80">
        <v>1</v>
      </c>
      <c r="O38" s="77">
        <v>0.9</v>
      </c>
      <c r="P38" s="81">
        <v>0.9</v>
      </c>
      <c r="Q38" s="80">
        <v>1</v>
      </c>
      <c r="R38" s="80">
        <v>1</v>
      </c>
      <c r="S38" s="80">
        <v>1</v>
      </c>
      <c r="T38" s="80">
        <v>0.5</v>
      </c>
      <c r="U38" s="80"/>
      <c r="V38" s="77"/>
      <c r="W38" s="67">
        <f t="shared" si="0"/>
        <v>4.6000000000000005</v>
      </c>
      <c r="X38" s="68">
        <f t="shared" si="1"/>
        <v>4.4000000000000004</v>
      </c>
      <c r="Y38" s="120">
        <f t="shared" si="2"/>
        <v>9</v>
      </c>
      <c r="Z38" s="70">
        <f>'[1]cálculos teóricos'!I184</f>
        <v>10.554915388407521</v>
      </c>
      <c r="AA38" s="71">
        <f t="shared" si="3"/>
        <v>85.268329198400906</v>
      </c>
      <c r="AB38" s="3"/>
    </row>
    <row r="39" spans="1:28" ht="18" customHeight="1" thickTop="1" thickBot="1">
      <c r="A39" s="86"/>
      <c r="B39" s="87"/>
      <c r="C39" s="88"/>
      <c r="D39" s="89"/>
      <c r="E39" s="119"/>
      <c r="F39" s="91"/>
      <c r="G39" s="92"/>
      <c r="H39" s="93"/>
      <c r="I39" s="94"/>
      <c r="J39" s="87"/>
      <c r="K39" s="87"/>
      <c r="L39" s="87"/>
      <c r="M39" s="87"/>
      <c r="N39" s="87"/>
      <c r="O39" s="95"/>
      <c r="P39" s="94"/>
      <c r="Q39" s="87"/>
      <c r="R39" s="87"/>
      <c r="S39" s="87"/>
      <c r="T39" s="87"/>
      <c r="U39" s="87"/>
      <c r="V39" s="95"/>
      <c r="W39" s="67"/>
      <c r="X39" s="68"/>
      <c r="Y39" s="124"/>
      <c r="Z39" s="164"/>
      <c r="AA39" s="122"/>
      <c r="AB39" s="3"/>
    </row>
    <row r="40" spans="1:28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103">
        <f>SUM(I9:I39)</f>
        <v>0</v>
      </c>
      <c r="J40" s="103">
        <f t="shared" ref="J40:AA40" si="8">SUM(J9:J39)</f>
        <v>0.1</v>
      </c>
      <c r="K40" s="103">
        <f t="shared" si="8"/>
        <v>11.1</v>
      </c>
      <c r="L40" s="103">
        <f t="shared" si="8"/>
        <v>16.799999999999997</v>
      </c>
      <c r="M40" s="103">
        <f t="shared" si="8"/>
        <v>18.3</v>
      </c>
      <c r="N40" s="103">
        <f t="shared" si="8"/>
        <v>18.399999999999999</v>
      </c>
      <c r="O40" s="103">
        <f t="shared" si="8"/>
        <v>19.299999999999997</v>
      </c>
      <c r="P40" s="103">
        <f t="shared" si="8"/>
        <v>20.2</v>
      </c>
      <c r="Q40" s="103">
        <f t="shared" si="8"/>
        <v>20.099999999999998</v>
      </c>
      <c r="R40" s="103">
        <f t="shared" si="8"/>
        <v>17.700000000000003</v>
      </c>
      <c r="S40" s="103">
        <f t="shared" si="8"/>
        <v>14.799999999999999</v>
      </c>
      <c r="T40" s="103">
        <f t="shared" si="8"/>
        <v>5.3999999999999995</v>
      </c>
      <c r="U40" s="103">
        <f t="shared" si="8"/>
        <v>0</v>
      </c>
      <c r="V40" s="103">
        <f t="shared" si="8"/>
        <v>0</v>
      </c>
      <c r="W40" s="103">
        <f t="shared" si="8"/>
        <v>84</v>
      </c>
      <c r="X40" s="103">
        <f t="shared" si="8"/>
        <v>78.2</v>
      </c>
      <c r="Y40" s="103">
        <f t="shared" si="8"/>
        <v>162.19999999999999</v>
      </c>
      <c r="Z40" s="103">
        <f t="shared" si="8"/>
        <v>317.02861542367316</v>
      </c>
      <c r="AA40" s="103">
        <f t="shared" si="8"/>
        <v>1535.8020834659744</v>
      </c>
      <c r="AB40" s="100"/>
    </row>
    <row r="41" spans="1:28" s="105" customFormat="1" ht="15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8" s="105" customFormat="1" ht="15">
      <c r="A42" s="100"/>
      <c r="B42" s="100" t="s">
        <v>50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 t="s">
        <v>51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 s="105" customFormat="1" ht="1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 t="s">
        <v>52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 t="s">
        <v>53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 ht="15">
      <c r="A50" s="3"/>
      <c r="B50" s="100" t="s">
        <v>54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">
      <c r="A52" s="3"/>
      <c r="B52" s="100" t="s">
        <v>55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">
      <c r="A54" s="3"/>
      <c r="B54" s="100" t="s">
        <v>56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</sheetData>
  <sheetProtection selectLockedCells="1" selectUnlockedCells="1"/>
  <mergeCells count="2">
    <mergeCell ref="I5:W5"/>
    <mergeCell ref="I7:U7"/>
  </mergeCells>
  <pageMargins left="0" right="0" top="0.39374999999999999" bottom="0.98402777777777772" header="0.51180555555555551" footer="0.51180555555555551"/>
  <pageSetup scale="50" firstPageNumber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55"/>
  <sheetViews>
    <sheetView topLeftCell="A5" zoomScale="70" zoomScaleNormal="70" workbookViewId="0">
      <selection activeCell="A31" sqref="A31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82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83</v>
      </c>
      <c r="C2" s="3"/>
      <c r="D2" s="3"/>
      <c r="E2" s="165"/>
      <c r="F2" s="165"/>
      <c r="G2" s="165"/>
      <c r="H2" s="3"/>
      <c r="I2" s="3"/>
      <c r="J2" s="3"/>
      <c r="K2" s="3"/>
      <c r="L2" s="3"/>
      <c r="M2" s="3"/>
      <c r="N2" s="3"/>
      <c r="O2" s="3"/>
      <c r="P2" s="3"/>
      <c r="Q2" s="3"/>
      <c r="R2" s="165" t="s">
        <v>84</v>
      </c>
      <c r="S2" s="165"/>
      <c r="T2" s="3"/>
      <c r="U2" s="3"/>
      <c r="V2" s="8" t="s">
        <v>59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85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86</v>
      </c>
      <c r="W3" s="3"/>
      <c r="X3" s="144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52" t="s">
        <v>38</v>
      </c>
      <c r="O8" s="166" t="s">
        <v>39</v>
      </c>
      <c r="P8" s="167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158" t="s">
        <v>49</v>
      </c>
      <c r="Z8" s="51" t="s">
        <v>49</v>
      </c>
      <c r="AA8" s="54" t="s">
        <v>49</v>
      </c>
      <c r="AB8" s="3"/>
    </row>
    <row r="9" spans="1:28" ht="18" customHeight="1">
      <c r="A9" s="109">
        <v>1</v>
      </c>
      <c r="B9" s="56">
        <v>17.8</v>
      </c>
      <c r="C9" s="73">
        <f>'[1]cálculos teóricos'!K185</f>
        <v>0.94922253208705598</v>
      </c>
      <c r="D9" s="58">
        <f>IF(B9&gt;0,B9*C9*14.25*1.022,-999)</f>
        <v>246.06724175968714</v>
      </c>
      <c r="E9" s="59">
        <f>IF(B9&gt;0,D9*4.1868/100,-999)</f>
        <v>10.302343277994581</v>
      </c>
      <c r="F9" s="60">
        <f>IF(B9&gt;0,(7.86+1.25*D9)*4.1868/100,-999)</f>
        <v>13.207011577493224</v>
      </c>
      <c r="G9" s="61">
        <f>'[1]cálculos teóricos'!T185</f>
        <v>22.12816277484286</v>
      </c>
      <c r="H9" s="62">
        <f>IF(B9&gt;0,100*F9/G9,-999)</f>
        <v>59.684175825514338</v>
      </c>
      <c r="I9" s="159"/>
      <c r="J9" s="63"/>
      <c r="K9" s="160">
        <v>0.8</v>
      </c>
      <c r="L9" s="160">
        <v>0.3</v>
      </c>
      <c r="M9" s="160">
        <v>0.1</v>
      </c>
      <c r="N9" s="168">
        <v>0.5</v>
      </c>
      <c r="O9" s="169">
        <v>1</v>
      </c>
      <c r="P9" s="170">
        <v>0.5</v>
      </c>
      <c r="Q9" s="160">
        <v>1</v>
      </c>
      <c r="R9" s="160">
        <v>1</v>
      </c>
      <c r="S9" s="160">
        <v>1</v>
      </c>
      <c r="T9" s="160">
        <v>0.6</v>
      </c>
      <c r="U9" s="63"/>
      <c r="V9" s="64"/>
      <c r="W9" s="67">
        <f t="shared" ref="W9:W39" si="0">SUM(I9:O9)</f>
        <v>2.7</v>
      </c>
      <c r="X9" s="68">
        <f>SUM(P9:V9)</f>
        <v>4.0999999999999996</v>
      </c>
      <c r="Y9" s="114">
        <f>W9+X9</f>
        <v>6.8</v>
      </c>
      <c r="Z9" s="70">
        <f>'[1]cálculos teóricos'!I185</f>
        <v>10.559021498963354</v>
      </c>
      <c r="AA9" s="71">
        <f>100*Y9/Z9</f>
        <v>64.399906759045805</v>
      </c>
      <c r="AB9" s="3"/>
    </row>
    <row r="10" spans="1:28" ht="18" customHeight="1">
      <c r="A10" s="109">
        <v>2</v>
      </c>
      <c r="B10" s="56">
        <v>18.600000000000001</v>
      </c>
      <c r="C10" s="73">
        <f>'[1]cálculos teóricos'!K186</f>
        <v>0.94945428691235023</v>
      </c>
      <c r="D10" s="58">
        <f>IF(B10&gt;0,B10*C10*14.25*1.022,-999)</f>
        <v>257.18922163853301</v>
      </c>
      <c r="E10" s="59">
        <f>IF(B10&gt;0,D10*4.1868/100,-999)</f>
        <v>10.767998331562101</v>
      </c>
      <c r="F10" s="60">
        <f>IF(B10&gt;0,(7.86+1.25*D10)*4.1868/100,-999)</f>
        <v>13.789080394452625</v>
      </c>
      <c r="G10" s="61">
        <f>'[1]cálculos teóricos'!T186</f>
        <v>22.16318090088307</v>
      </c>
      <c r="H10" s="74">
        <f>IF(B10&gt;0,100*F10/G10,-999)</f>
        <v>62.216161371959082</v>
      </c>
      <c r="I10" s="162"/>
      <c r="J10" s="78"/>
      <c r="K10" s="75">
        <v>0.2</v>
      </c>
      <c r="L10" s="75">
        <v>0.9</v>
      </c>
      <c r="M10" s="78">
        <v>0.8</v>
      </c>
      <c r="N10" s="75">
        <v>0.6</v>
      </c>
      <c r="O10" s="171">
        <v>1</v>
      </c>
      <c r="P10" s="172">
        <v>1</v>
      </c>
      <c r="Q10" s="78">
        <v>1</v>
      </c>
      <c r="R10" s="78">
        <v>1</v>
      </c>
      <c r="S10" s="78">
        <v>1</v>
      </c>
      <c r="T10" s="78">
        <v>0.5</v>
      </c>
      <c r="U10" s="81"/>
      <c r="V10" s="77"/>
      <c r="W10" s="67">
        <f t="shared" si="0"/>
        <v>3.5</v>
      </c>
      <c r="X10" s="68">
        <f t="shared" ref="X10:X39" si="1">SUM(P10:V10)</f>
        <v>4.5</v>
      </c>
      <c r="Y10" s="117">
        <f t="shared" ref="Y10:Y39" si="2">W10+X10</f>
        <v>8</v>
      </c>
      <c r="Z10" s="70">
        <f>'[1]cálculos teóricos'!I186</f>
        <v>10.563600427107158</v>
      </c>
      <c r="AA10" s="71">
        <f t="shared" ref="AA10:AA39" si="3">100*Y10/Z10</f>
        <v>75.731755050780549</v>
      </c>
      <c r="AB10" s="3"/>
    </row>
    <row r="11" spans="1:28" ht="18" customHeight="1">
      <c r="A11" s="109">
        <v>3</v>
      </c>
      <c r="B11" s="56">
        <v>13.4</v>
      </c>
      <c r="C11" s="73">
        <f>'[1]cálculos teóricos'!K187</f>
        <v>0.94970976387893824</v>
      </c>
      <c r="D11" s="58">
        <f t="shared" ref="D11:D39" si="4">IF(B11&gt;0,B11*C11*14.25*1.022,-999)</f>
        <v>185.33671515976229</v>
      </c>
      <c r="E11" s="59">
        <f t="shared" ref="E11:E39" si="5">IF(B11&gt;0,D11*4.1868/100,-999)</f>
        <v>7.759677590308927</v>
      </c>
      <c r="F11" s="60">
        <f t="shared" ref="F11:F39" si="6">IF(B11&gt;0,(7.86+1.25*D11)*4.1868/100,-999)</f>
        <v>10.02867946788616</v>
      </c>
      <c r="G11" s="61">
        <f>'[1]cálculos teóricos'!T187</f>
        <v>22.20209100334764</v>
      </c>
      <c r="H11" s="74">
        <f t="shared" ref="H11:H39" si="7">IF(B11&gt;0,100*F11/G11,-999)</f>
        <v>45.169977306975419</v>
      </c>
      <c r="I11" s="162"/>
      <c r="J11" s="78"/>
      <c r="K11" s="75"/>
      <c r="L11" s="78"/>
      <c r="M11" s="78">
        <v>0.2</v>
      </c>
      <c r="N11" s="75">
        <v>0.3</v>
      </c>
      <c r="O11" s="171">
        <v>0.5</v>
      </c>
      <c r="P11" s="172">
        <v>1</v>
      </c>
      <c r="Q11" s="78">
        <v>0.8</v>
      </c>
      <c r="R11" s="78">
        <v>1</v>
      </c>
      <c r="S11" s="78">
        <v>1</v>
      </c>
      <c r="T11" s="81">
        <v>0.3</v>
      </c>
      <c r="U11" s="81"/>
      <c r="V11" s="77"/>
      <c r="W11" s="67">
        <f t="shared" si="0"/>
        <v>1</v>
      </c>
      <c r="X11" s="68">
        <f t="shared" si="1"/>
        <v>4.0999999999999996</v>
      </c>
      <c r="Y11" s="117">
        <f t="shared" si="2"/>
        <v>5.0999999999999996</v>
      </c>
      <c r="Z11" s="70">
        <f>'[1]cálculos teóricos'!I187</f>
        <v>10.568648710207977</v>
      </c>
      <c r="AA11" s="71">
        <f t="shared" si="3"/>
        <v>48.255932615813457</v>
      </c>
      <c r="AB11" s="3"/>
    </row>
    <row r="12" spans="1:28" ht="18" customHeight="1">
      <c r="A12" s="72">
        <v>4</v>
      </c>
      <c r="B12" s="56">
        <v>22.6</v>
      </c>
      <c r="C12" s="73">
        <f>'[1]cálculos teóricos'!K188</f>
        <v>0.9499887601007182</v>
      </c>
      <c r="D12" s="58">
        <f t="shared" si="4"/>
        <v>312.67464555462595</v>
      </c>
      <c r="E12" s="59">
        <f t="shared" si="5"/>
        <v>13.091062060081079</v>
      </c>
      <c r="F12" s="60">
        <f t="shared" si="6"/>
        <v>16.692910055101347</v>
      </c>
      <c r="G12" s="61">
        <f>'[1]cálculos teóricos'!T188</f>
        <v>22.244871387745548</v>
      </c>
      <c r="H12" s="74">
        <f t="shared" si="7"/>
        <v>75.041611902945348</v>
      </c>
      <c r="I12" s="162"/>
      <c r="J12" s="78"/>
      <c r="K12" s="75">
        <v>0.6</v>
      </c>
      <c r="L12" s="75">
        <v>1</v>
      </c>
      <c r="M12" s="78">
        <v>1</v>
      </c>
      <c r="N12" s="75">
        <v>1</v>
      </c>
      <c r="O12" s="171">
        <v>1</v>
      </c>
      <c r="P12" s="172">
        <v>1</v>
      </c>
      <c r="Q12" s="78">
        <v>1</v>
      </c>
      <c r="R12" s="78">
        <v>1</v>
      </c>
      <c r="S12" s="75">
        <v>1</v>
      </c>
      <c r="T12" s="81">
        <v>0.8</v>
      </c>
      <c r="U12" s="81"/>
      <c r="V12" s="77"/>
      <c r="W12" s="67">
        <f t="shared" si="0"/>
        <v>4.5999999999999996</v>
      </c>
      <c r="X12" s="68">
        <f t="shared" si="1"/>
        <v>4.8</v>
      </c>
      <c r="Y12" s="117">
        <f t="shared" si="2"/>
        <v>9.3999999999999986</v>
      </c>
      <c r="Z12" s="70">
        <f>'[1]cálculos teóricos'!I188</f>
        <v>10.57416256793211</v>
      </c>
      <c r="AA12" s="71">
        <f t="shared" si="3"/>
        <v>88.895928539126572</v>
      </c>
      <c r="AB12" s="3"/>
    </row>
    <row r="13" spans="1:28" ht="18" customHeight="1">
      <c r="A13" s="72">
        <v>5</v>
      </c>
      <c r="B13" s="56">
        <v>21.9</v>
      </c>
      <c r="C13" s="73">
        <f>'[1]cálculos teóricos'!K189</f>
        <v>0.95029105530266378</v>
      </c>
      <c r="D13" s="58">
        <f t="shared" si="4"/>
        <v>303.08644686741746</v>
      </c>
      <c r="E13" s="59">
        <f t="shared" si="5"/>
        <v>12.689623357445035</v>
      </c>
      <c r="F13" s="60">
        <f t="shared" si="6"/>
        <v>16.191111676806294</v>
      </c>
      <c r="G13" s="61">
        <f>'[1]cálculos teóricos'!T189</f>
        <v>22.291498546096314</v>
      </c>
      <c r="H13" s="74">
        <f t="shared" si="7"/>
        <v>72.633572136592321</v>
      </c>
      <c r="I13" s="162"/>
      <c r="J13" s="78"/>
      <c r="K13" s="75"/>
      <c r="L13" s="75">
        <v>0.8</v>
      </c>
      <c r="M13" s="78">
        <v>1</v>
      </c>
      <c r="N13" s="75">
        <v>1</v>
      </c>
      <c r="O13" s="171">
        <v>1</v>
      </c>
      <c r="P13" s="172">
        <v>1</v>
      </c>
      <c r="Q13" s="78">
        <v>1</v>
      </c>
      <c r="R13" s="78">
        <v>1</v>
      </c>
      <c r="S13" s="75">
        <v>1</v>
      </c>
      <c r="T13" s="81">
        <v>0.4</v>
      </c>
      <c r="U13" s="81"/>
      <c r="V13" s="77"/>
      <c r="W13" s="67">
        <f t="shared" si="0"/>
        <v>3.8</v>
      </c>
      <c r="X13" s="68">
        <f t="shared" si="1"/>
        <v>4.4000000000000004</v>
      </c>
      <c r="Y13" s="117">
        <f t="shared" si="2"/>
        <v>8.1999999999999993</v>
      </c>
      <c r="Z13" s="70">
        <f>'[1]cálculos teóricos'!I189</f>
        <v>10.580137911715219</v>
      </c>
      <c r="AA13" s="71">
        <f t="shared" si="3"/>
        <v>77.50371562662022</v>
      </c>
      <c r="AB13" s="3"/>
    </row>
    <row r="14" spans="1:28" ht="18" customHeight="1">
      <c r="A14" s="72">
        <v>6</v>
      </c>
      <c r="B14" s="56">
        <v>16</v>
      </c>
      <c r="C14" s="73">
        <f>'[1]cálculos teóricos'!K190</f>
        <v>0.95061641216417903</v>
      </c>
      <c r="D14" s="58">
        <f t="shared" si="4"/>
        <v>221.50883389684833</v>
      </c>
      <c r="E14" s="59">
        <f t="shared" si="5"/>
        <v>9.274131857593245</v>
      </c>
      <c r="F14" s="60">
        <f t="shared" si="6"/>
        <v>11.921747301991557</v>
      </c>
      <c r="G14" s="61">
        <f>'[1]cálculos teóricos'!T190</f>
        <v>22.341947176896817</v>
      </c>
      <c r="H14" s="74">
        <f t="shared" si="7"/>
        <v>53.360377265234526</v>
      </c>
      <c r="I14" s="162"/>
      <c r="J14" s="78"/>
      <c r="K14" s="75">
        <v>0.5</v>
      </c>
      <c r="L14" s="75">
        <v>1</v>
      </c>
      <c r="M14" s="78">
        <v>1</v>
      </c>
      <c r="N14" s="75">
        <v>0.7</v>
      </c>
      <c r="O14" s="171">
        <v>1</v>
      </c>
      <c r="P14" s="172">
        <v>0.9</v>
      </c>
      <c r="Q14" s="78">
        <v>0.6</v>
      </c>
      <c r="R14" s="78">
        <v>0.2</v>
      </c>
      <c r="S14" s="75"/>
      <c r="T14" s="81"/>
      <c r="U14" s="81"/>
      <c r="V14" s="77"/>
      <c r="W14" s="67">
        <f t="shared" si="0"/>
        <v>4.2</v>
      </c>
      <c r="X14" s="68">
        <f t="shared" si="1"/>
        <v>1.7</v>
      </c>
      <c r="Y14" s="117">
        <f t="shared" si="2"/>
        <v>5.9</v>
      </c>
      <c r="Z14" s="70">
        <f>'[1]cálculos teóricos'!I190</f>
        <v>10.586570354918337</v>
      </c>
      <c r="AA14" s="71">
        <f t="shared" si="3"/>
        <v>55.730985599684438</v>
      </c>
      <c r="AB14" s="3"/>
    </row>
    <row r="15" spans="1:28" ht="18" customHeight="1">
      <c r="A15" s="72">
        <v>7</v>
      </c>
      <c r="B15" s="56">
        <v>21.5</v>
      </c>
      <c r="C15" s="73">
        <f>'[1]cálculos teóricos'!K191</f>
        <v>0.95096457668682222</v>
      </c>
      <c r="D15" s="58">
        <f t="shared" si="4"/>
        <v>297.76151117043855</v>
      </c>
      <c r="E15" s="59">
        <f t="shared" si="5"/>
        <v>12.466678949683921</v>
      </c>
      <c r="F15" s="60">
        <f t="shared" si="6"/>
        <v>15.9124311671049</v>
      </c>
      <c r="G15" s="61">
        <f>'[1]cálculos teóricos'!T191</f>
        <v>22.396190206493252</v>
      </c>
      <c r="H15" s="74">
        <f t="shared" si="7"/>
        <v>71.049723280575918</v>
      </c>
      <c r="I15" s="162"/>
      <c r="J15" s="78"/>
      <c r="K15" s="75">
        <v>0.5</v>
      </c>
      <c r="L15" s="75">
        <v>1</v>
      </c>
      <c r="M15" s="75">
        <v>1</v>
      </c>
      <c r="N15" s="75">
        <v>1</v>
      </c>
      <c r="O15" s="171">
        <v>1</v>
      </c>
      <c r="P15" s="172">
        <v>1</v>
      </c>
      <c r="Q15" s="78">
        <v>1</v>
      </c>
      <c r="R15" s="75">
        <v>1</v>
      </c>
      <c r="S15" s="81">
        <v>1</v>
      </c>
      <c r="T15" s="81">
        <v>0.7</v>
      </c>
      <c r="U15" s="81"/>
      <c r="V15" s="77"/>
      <c r="W15" s="67">
        <f t="shared" si="0"/>
        <v>4.5</v>
      </c>
      <c r="X15" s="68">
        <f t="shared" si="1"/>
        <v>4.7</v>
      </c>
      <c r="Y15" s="117">
        <f t="shared" si="2"/>
        <v>9.1999999999999993</v>
      </c>
      <c r="Z15" s="70">
        <f>'[1]cálculos teóricos'!I191</f>
        <v>10.593455223619625</v>
      </c>
      <c r="AA15" s="71">
        <f t="shared" si="3"/>
        <v>86.846074352466999</v>
      </c>
      <c r="AB15" s="3"/>
    </row>
    <row r="16" spans="1:28" ht="18" customHeight="1">
      <c r="A16" s="79">
        <v>8</v>
      </c>
      <c r="B16" s="75">
        <v>21.5</v>
      </c>
      <c r="C16" s="73">
        <f>'[1]cálculos teóricos'!K192</f>
        <v>0.95133527858537681</v>
      </c>
      <c r="D16" s="58">
        <f t="shared" si="4"/>
        <v>297.87758358807986</v>
      </c>
      <c r="E16" s="59">
        <f t="shared" si="5"/>
        <v>12.471538669665726</v>
      </c>
      <c r="F16" s="60">
        <f t="shared" si="6"/>
        <v>15.91850581708216</v>
      </c>
      <c r="G16" s="61">
        <f>'[1]cálculos teóricos'!T192</f>
        <v>22.454198811849096</v>
      </c>
      <c r="H16" s="74">
        <f t="shared" si="7"/>
        <v>70.893225585416801</v>
      </c>
      <c r="I16" s="163"/>
      <c r="J16" s="81"/>
      <c r="K16" s="75">
        <v>0.8</v>
      </c>
      <c r="L16" s="75">
        <v>1</v>
      </c>
      <c r="M16" s="78">
        <v>1</v>
      </c>
      <c r="N16" s="75">
        <v>1</v>
      </c>
      <c r="O16" s="171">
        <v>1</v>
      </c>
      <c r="P16" s="172">
        <v>1</v>
      </c>
      <c r="Q16" s="78">
        <v>1</v>
      </c>
      <c r="R16" s="78">
        <v>1</v>
      </c>
      <c r="S16" s="75">
        <v>1</v>
      </c>
      <c r="T16" s="80">
        <v>0.2</v>
      </c>
      <c r="U16" s="80"/>
      <c r="V16" s="77"/>
      <c r="W16" s="67">
        <f t="shared" si="0"/>
        <v>4.8</v>
      </c>
      <c r="X16" s="68">
        <f t="shared" si="1"/>
        <v>4.2</v>
      </c>
      <c r="Y16" s="117">
        <f t="shared" si="2"/>
        <v>9</v>
      </c>
      <c r="Z16" s="70">
        <f>'[1]cálculos teóricos'!I192</f>
        <v>10.600787567991276</v>
      </c>
      <c r="AA16" s="71">
        <f t="shared" si="3"/>
        <v>84.899352451653684</v>
      </c>
      <c r="AB16" s="3"/>
    </row>
    <row r="17" spans="1:28" ht="18" customHeight="1">
      <c r="A17" s="79">
        <v>9</v>
      </c>
      <c r="B17" s="75">
        <v>20.100000000000001</v>
      </c>
      <c r="C17" s="73">
        <f>'[1]cálculos teóricos'!K193</f>
        <v>0.95172823170119347</v>
      </c>
      <c r="D17" s="58">
        <f t="shared" si="4"/>
        <v>278.59593145784464</v>
      </c>
      <c r="E17" s="59">
        <f t="shared" si="5"/>
        <v>11.664254458277039</v>
      </c>
      <c r="F17" s="60">
        <f t="shared" si="6"/>
        <v>14.9094005528463</v>
      </c>
      <c r="G17" s="61">
        <f>'[1]cálculos teóricos'!T193</f>
        <v>22.515942444697764</v>
      </c>
      <c r="H17" s="74">
        <f t="shared" si="7"/>
        <v>66.217084137010161</v>
      </c>
      <c r="I17" s="163"/>
      <c r="J17" s="81"/>
      <c r="K17" s="80"/>
      <c r="L17" s="75">
        <v>0.5</v>
      </c>
      <c r="M17" s="78">
        <v>1</v>
      </c>
      <c r="N17" s="75">
        <v>1</v>
      </c>
      <c r="O17" s="171">
        <v>1</v>
      </c>
      <c r="P17" s="172">
        <v>1</v>
      </c>
      <c r="Q17" s="78">
        <v>1</v>
      </c>
      <c r="R17" s="78">
        <v>1</v>
      </c>
      <c r="S17" s="75">
        <v>1</v>
      </c>
      <c r="T17" s="80">
        <v>0.6</v>
      </c>
      <c r="U17" s="80"/>
      <c r="V17" s="77"/>
      <c r="W17" s="67">
        <f t="shared" si="0"/>
        <v>3.5</v>
      </c>
      <c r="X17" s="68">
        <f t="shared" si="1"/>
        <v>4.5999999999999996</v>
      </c>
      <c r="Y17" s="117">
        <f t="shared" si="2"/>
        <v>8.1</v>
      </c>
      <c r="Z17" s="70">
        <f>'[1]cálculos teóricos'!I193</f>
        <v>10.608562174209084</v>
      </c>
      <c r="AA17" s="71">
        <f t="shared" si="3"/>
        <v>76.353419690485921</v>
      </c>
      <c r="AB17" s="3"/>
    </row>
    <row r="18" spans="1:28" ht="18" customHeight="1">
      <c r="A18" s="79">
        <v>10</v>
      </c>
      <c r="B18" s="75">
        <v>21.8</v>
      </c>
      <c r="C18" s="73">
        <f>'[1]cálculos teóricos'!K194</f>
        <v>0.95214313443666077</v>
      </c>
      <c r="D18" s="58">
        <f t="shared" si="4"/>
        <v>302.29049653642915</v>
      </c>
      <c r="E18" s="59">
        <f t="shared" si="5"/>
        <v>12.656298508987215</v>
      </c>
      <c r="F18" s="60">
        <f t="shared" si="6"/>
        <v>16.149455616234022</v>
      </c>
      <c r="G18" s="61">
        <f>'[1]cálculos teóricos'!T194</f>
        <v>22.581388857066401</v>
      </c>
      <c r="H18" s="74">
        <f t="shared" si="7"/>
        <v>71.516662320707383</v>
      </c>
      <c r="I18" s="163"/>
      <c r="J18" s="81"/>
      <c r="K18" s="80">
        <v>1</v>
      </c>
      <c r="L18" s="80">
        <v>1</v>
      </c>
      <c r="M18" s="80">
        <v>1</v>
      </c>
      <c r="N18" s="80">
        <v>1</v>
      </c>
      <c r="O18" s="173">
        <v>1</v>
      </c>
      <c r="P18" s="174">
        <v>1</v>
      </c>
      <c r="Q18" s="81">
        <v>1</v>
      </c>
      <c r="R18" s="80">
        <v>1</v>
      </c>
      <c r="S18" s="80">
        <v>1</v>
      </c>
      <c r="T18" s="80">
        <v>0.8</v>
      </c>
      <c r="U18" s="80"/>
      <c r="V18" s="77"/>
      <c r="W18" s="67">
        <f t="shared" si="0"/>
        <v>5</v>
      </c>
      <c r="X18" s="68">
        <f t="shared" si="1"/>
        <v>4.8</v>
      </c>
      <c r="Y18" s="117">
        <f t="shared" si="2"/>
        <v>9.8000000000000007</v>
      </c>
      <c r="Z18" s="70">
        <f>'[1]cálculos teóricos'!I194</f>
        <v>10.616773576840487</v>
      </c>
      <c r="AA18" s="71">
        <f t="shared" si="3"/>
        <v>92.306762775630801</v>
      </c>
      <c r="AB18" s="3"/>
    </row>
    <row r="19" spans="1:28" ht="18" customHeight="1">
      <c r="A19" s="79">
        <v>11</v>
      </c>
      <c r="B19" s="75">
        <v>20.399999999999999</v>
      </c>
      <c r="C19" s="73">
        <f>'[1]cálculos teóricos'!K195</f>
        <v>0.95257967020962231</v>
      </c>
      <c r="D19" s="58">
        <f t="shared" si="4"/>
        <v>283.00703815279581</v>
      </c>
      <c r="E19" s="59">
        <f t="shared" si="5"/>
        <v>11.848938673381255</v>
      </c>
      <c r="F19" s="60">
        <f t="shared" si="6"/>
        <v>15.140255821726569</v>
      </c>
      <c r="G19" s="61">
        <f>'[1]cálculos teóricos'!T195</f>
        <v>22.650504128154459</v>
      </c>
      <c r="H19" s="74">
        <f t="shared" si="7"/>
        <v>66.842908820326471</v>
      </c>
      <c r="I19" s="163"/>
      <c r="J19" s="81"/>
      <c r="K19" s="80"/>
      <c r="L19" s="80">
        <v>0.9</v>
      </c>
      <c r="M19" s="80">
        <v>1</v>
      </c>
      <c r="N19" s="80">
        <v>1</v>
      </c>
      <c r="O19" s="173">
        <v>1</v>
      </c>
      <c r="P19" s="174">
        <v>1</v>
      </c>
      <c r="Q19" s="80">
        <v>1</v>
      </c>
      <c r="R19" s="80">
        <v>1</v>
      </c>
      <c r="S19" s="80">
        <v>1</v>
      </c>
      <c r="T19" s="80">
        <v>0.7</v>
      </c>
      <c r="U19" s="80"/>
      <c r="V19" s="77"/>
      <c r="W19" s="67">
        <f t="shared" si="0"/>
        <v>3.9</v>
      </c>
      <c r="X19" s="68">
        <f t="shared" si="1"/>
        <v>4.7</v>
      </c>
      <c r="Y19" s="117">
        <f t="shared" si="2"/>
        <v>8.6</v>
      </c>
      <c r="Z19" s="70">
        <f>'[1]cálculos teóricos'!I195</f>
        <v>10.625416071655851</v>
      </c>
      <c r="AA19" s="71">
        <f t="shared" si="3"/>
        <v>80.938006963710251</v>
      </c>
      <c r="AB19" s="3"/>
    </row>
    <row r="20" spans="1:28" ht="18" customHeight="1">
      <c r="A20" s="79">
        <v>12</v>
      </c>
      <c r="B20" s="75">
        <v>21.6</v>
      </c>
      <c r="C20" s="73">
        <f>'[1]cálculos teóricos'!K196</f>
        <v>0.95303750792650499</v>
      </c>
      <c r="D20" s="58">
        <f t="shared" si="4"/>
        <v>299.79853372845338</v>
      </c>
      <c r="E20" s="59">
        <f t="shared" si="5"/>
        <v>12.551965010142885</v>
      </c>
      <c r="F20" s="60">
        <f t="shared" si="6"/>
        <v>16.019038742678607</v>
      </c>
      <c r="G20" s="61">
        <f>'[1]cálculos teóricos'!T196</f>
        <v>22.723252692547995</v>
      </c>
      <c r="H20" s="74">
        <f t="shared" si="7"/>
        <v>70.496239950418669</v>
      </c>
      <c r="I20" s="163"/>
      <c r="J20" s="81"/>
      <c r="K20" s="80">
        <v>1</v>
      </c>
      <c r="L20" s="80">
        <v>1</v>
      </c>
      <c r="M20" s="80">
        <v>1</v>
      </c>
      <c r="N20" s="80">
        <v>1</v>
      </c>
      <c r="O20" s="173">
        <v>1</v>
      </c>
      <c r="P20" s="174">
        <v>1</v>
      </c>
      <c r="Q20" s="80">
        <v>1</v>
      </c>
      <c r="R20" s="80">
        <v>1</v>
      </c>
      <c r="S20" s="80">
        <v>1</v>
      </c>
      <c r="T20" s="80">
        <v>0.7</v>
      </c>
      <c r="U20" s="80"/>
      <c r="V20" s="77"/>
      <c r="W20" s="67">
        <f t="shared" si="0"/>
        <v>5</v>
      </c>
      <c r="X20" s="68">
        <f t="shared" si="1"/>
        <v>4.7</v>
      </c>
      <c r="Y20" s="117">
        <f t="shared" si="2"/>
        <v>9.6999999999999993</v>
      </c>
      <c r="Z20" s="70">
        <f>'[1]cálculos teóricos'!I196</f>
        <v>10.634483728806718</v>
      </c>
      <c r="AA20" s="71">
        <f t="shared" si="3"/>
        <v>91.212702443886513</v>
      </c>
      <c r="AB20" s="3"/>
    </row>
    <row r="21" spans="1:28" ht="18" customHeight="1">
      <c r="A21" s="79">
        <v>13</v>
      </c>
      <c r="B21" s="75">
        <v>21.4</v>
      </c>
      <c r="C21" s="73">
        <f>'[1]cálculos teóricos'!K197</f>
        <v>0.95351630247288299</v>
      </c>
      <c r="D21" s="58">
        <f t="shared" si="4"/>
        <v>297.17184196076602</v>
      </c>
      <c r="E21" s="59">
        <f t="shared" si="5"/>
        <v>12.441990679213353</v>
      </c>
      <c r="F21" s="60">
        <f t="shared" si="6"/>
        <v>15.881570829016688</v>
      </c>
      <c r="G21" s="61">
        <f>'[1]cálculos teóricos'!T197</f>
        <v>22.79959736974741</v>
      </c>
      <c r="H21" s="74">
        <f t="shared" si="7"/>
        <v>69.65724250064963</v>
      </c>
      <c r="I21" s="163"/>
      <c r="J21" s="81">
        <v>0.1</v>
      </c>
      <c r="K21" s="80">
        <v>1</v>
      </c>
      <c r="L21" s="80">
        <v>1</v>
      </c>
      <c r="M21" s="80">
        <v>1</v>
      </c>
      <c r="N21" s="80">
        <v>1</v>
      </c>
      <c r="O21" s="173">
        <v>1</v>
      </c>
      <c r="P21" s="174">
        <v>1</v>
      </c>
      <c r="Q21" s="80">
        <v>1</v>
      </c>
      <c r="R21" s="80">
        <v>1</v>
      </c>
      <c r="S21" s="80">
        <v>1</v>
      </c>
      <c r="T21" s="80">
        <v>0.4</v>
      </c>
      <c r="U21" s="80"/>
      <c r="V21" s="77"/>
      <c r="W21" s="67">
        <f t="shared" si="0"/>
        <v>5.0999999999999996</v>
      </c>
      <c r="X21" s="68">
        <f t="shared" si="1"/>
        <v>4.4000000000000004</v>
      </c>
      <c r="Y21" s="117">
        <f t="shared" si="2"/>
        <v>9.5</v>
      </c>
      <c r="Z21" s="70">
        <f>'[1]cálculos teóricos'!I197</f>
        <v>10.643970406314452</v>
      </c>
      <c r="AA21" s="71">
        <f t="shared" si="3"/>
        <v>89.252408991706702</v>
      </c>
      <c r="AB21" s="3"/>
    </row>
    <row r="22" spans="1:28" ht="18" customHeight="1">
      <c r="A22" s="79">
        <v>14</v>
      </c>
      <c r="B22" s="75">
        <v>5.6</v>
      </c>
      <c r="C22" s="73">
        <f>'[1]cálculos teóricos'!K198</f>
        <v>0.95401569522016727</v>
      </c>
      <c r="D22" s="58">
        <f t="shared" si="4"/>
        <v>77.805322433097885</v>
      </c>
      <c r="E22" s="59">
        <f t="shared" si="5"/>
        <v>3.2575532396289422</v>
      </c>
      <c r="F22" s="60">
        <f t="shared" si="6"/>
        <v>4.4010240295361776</v>
      </c>
      <c r="G22" s="61">
        <f>'[1]cálculos teóricos'!T198</f>
        <v>22.879499394983263</v>
      </c>
      <c r="H22" s="74">
        <f t="shared" si="7"/>
        <v>19.235665752814416</v>
      </c>
      <c r="I22" s="163"/>
      <c r="J22" s="81"/>
      <c r="K22" s="80"/>
      <c r="L22" s="80"/>
      <c r="M22" s="80"/>
      <c r="N22" s="80"/>
      <c r="O22" s="173"/>
      <c r="P22" s="174"/>
      <c r="Q22" s="80"/>
      <c r="R22" s="80"/>
      <c r="S22" s="80"/>
      <c r="T22" s="80"/>
      <c r="U22" s="80"/>
      <c r="V22" s="77"/>
      <c r="W22" s="67">
        <f t="shared" si="0"/>
        <v>0</v>
      </c>
      <c r="X22" s="68">
        <f t="shared" si="1"/>
        <v>0</v>
      </c>
      <c r="Y22" s="117">
        <f t="shared" si="2"/>
        <v>0</v>
      </c>
      <c r="Z22" s="70">
        <f>'[1]cálculos teóricos'!I198</f>
        <v>10.653869763812521</v>
      </c>
      <c r="AA22" s="71">
        <f t="shared" si="3"/>
        <v>0</v>
      </c>
      <c r="AB22" s="3"/>
    </row>
    <row r="23" spans="1:28" ht="18" customHeight="1">
      <c r="A23" s="79">
        <v>15</v>
      </c>
      <c r="B23" s="75">
        <v>5.6</v>
      </c>
      <c r="C23" s="73">
        <f>'[1]cálculos teóricos'!K199</f>
        <v>0.95453531454708007</v>
      </c>
      <c r="D23" s="58">
        <f t="shared" si="4"/>
        <v>77.847700299075839</v>
      </c>
      <c r="E23" s="59">
        <f t="shared" si="5"/>
        <v>3.259327516121707</v>
      </c>
      <c r="F23" s="60">
        <f t="shared" si="6"/>
        <v>4.4032418751521343</v>
      </c>
      <c r="G23" s="61">
        <f>'[1]cálculos teóricos'!T199</f>
        <v>22.962918451291131</v>
      </c>
      <c r="H23" s="74">
        <f t="shared" si="7"/>
        <v>19.175445335889151</v>
      </c>
      <c r="I23" s="163"/>
      <c r="J23" s="81"/>
      <c r="K23" s="80"/>
      <c r="L23" s="80"/>
      <c r="M23" s="80"/>
      <c r="N23" s="80"/>
      <c r="O23" s="173"/>
      <c r="P23" s="174"/>
      <c r="Q23" s="80"/>
      <c r="R23" s="80"/>
      <c r="S23" s="80"/>
      <c r="T23" s="80"/>
      <c r="U23" s="80"/>
      <c r="V23" s="77"/>
      <c r="W23" s="67">
        <f t="shared" si="0"/>
        <v>0</v>
      </c>
      <c r="X23" s="68">
        <f t="shared" si="1"/>
        <v>0</v>
      </c>
      <c r="Y23" s="117">
        <f t="shared" si="2"/>
        <v>0</v>
      </c>
      <c r="Z23" s="70">
        <f>'[1]cálculos teóricos'!I199</f>
        <v>10.664175276485974</v>
      </c>
      <c r="AA23" s="71">
        <f t="shared" si="3"/>
        <v>0</v>
      </c>
      <c r="AB23" s="3"/>
    </row>
    <row r="24" spans="1:28" ht="18" customHeight="1">
      <c r="A24" s="79">
        <v>16</v>
      </c>
      <c r="B24" s="75">
        <v>13</v>
      </c>
      <c r="C24" s="73">
        <f>'[1]cálculos teóricos'!K200</f>
        <v>0.95507477637454152</v>
      </c>
      <c r="D24" s="58">
        <f t="shared" si="4"/>
        <v>180.82000957449827</v>
      </c>
      <c r="E24" s="59">
        <f t="shared" si="5"/>
        <v>7.570572160865094</v>
      </c>
      <c r="F24" s="60">
        <f t="shared" si="6"/>
        <v>9.7922976810813669</v>
      </c>
      <c r="G24" s="61">
        <f>'[1]cálculos teóricos'!T200</f>
        <v>23.049812702813032</v>
      </c>
      <c r="H24" s="74">
        <f t="shared" si="7"/>
        <v>42.483198485540406</v>
      </c>
      <c r="I24" s="163"/>
      <c r="J24" s="81"/>
      <c r="K24" s="80"/>
      <c r="L24" s="80"/>
      <c r="M24" s="80"/>
      <c r="N24" s="80"/>
      <c r="O24" s="173"/>
      <c r="P24" s="174">
        <v>0.1</v>
      </c>
      <c r="Q24" s="80">
        <v>1</v>
      </c>
      <c r="R24" s="80">
        <v>1</v>
      </c>
      <c r="S24" s="80">
        <v>1</v>
      </c>
      <c r="T24" s="80">
        <v>0.6</v>
      </c>
      <c r="U24" s="80"/>
      <c r="V24" s="77"/>
      <c r="W24" s="67">
        <f t="shared" si="0"/>
        <v>0</v>
      </c>
      <c r="X24" s="68">
        <f t="shared" si="1"/>
        <v>3.7</v>
      </c>
      <c r="Y24" s="117">
        <f t="shared" si="2"/>
        <v>3.7</v>
      </c>
      <c r="Z24" s="70">
        <f>'[1]cálculos teóricos'!I200</f>
        <v>10.674880249152137</v>
      </c>
      <c r="AA24" s="71">
        <f t="shared" si="3"/>
        <v>34.66081036641021</v>
      </c>
      <c r="AB24" s="3"/>
    </row>
    <row r="25" spans="1:28" ht="18" customHeight="1">
      <c r="A25" s="79">
        <v>17</v>
      </c>
      <c r="B25" s="75">
        <v>16.100000000000001</v>
      </c>
      <c r="C25" s="73">
        <f>'[1]cálculos teóricos'!K201</f>
        <v>0.9556336847125847</v>
      </c>
      <c r="D25" s="58">
        <f t="shared" si="4"/>
        <v>224.06967579371883</v>
      </c>
      <c r="E25" s="59">
        <f t="shared" si="5"/>
        <v>9.3813491861314198</v>
      </c>
      <c r="F25" s="60">
        <f t="shared" si="6"/>
        <v>12.055768962664276</v>
      </c>
      <c r="G25" s="61">
        <f>'[1]cálculos teóricos'!T201</f>
        <v>23.140138829289349</v>
      </c>
      <c r="H25" s="74">
        <f t="shared" si="7"/>
        <v>52.098948288956819</v>
      </c>
      <c r="I25" s="163"/>
      <c r="J25" s="81"/>
      <c r="K25" s="80"/>
      <c r="L25" s="80"/>
      <c r="M25" s="80"/>
      <c r="N25" s="80">
        <v>0.9</v>
      </c>
      <c r="O25" s="173">
        <v>1</v>
      </c>
      <c r="P25" s="174">
        <v>1</v>
      </c>
      <c r="Q25" s="80">
        <v>0.3</v>
      </c>
      <c r="R25" s="80">
        <v>0.9</v>
      </c>
      <c r="S25" s="80">
        <v>1</v>
      </c>
      <c r="T25" s="80">
        <v>0.4</v>
      </c>
      <c r="U25" s="80"/>
      <c r="V25" s="77"/>
      <c r="W25" s="67">
        <f t="shared" si="0"/>
        <v>1.9</v>
      </c>
      <c r="X25" s="68">
        <f t="shared" si="1"/>
        <v>3.6</v>
      </c>
      <c r="Y25" s="117">
        <f t="shared" si="2"/>
        <v>5.5</v>
      </c>
      <c r="Z25" s="70">
        <f>'[1]cálculos teóricos'!I201</f>
        <v>10.685977830427753</v>
      </c>
      <c r="AA25" s="71">
        <f t="shared" si="3"/>
        <v>51.469318833312968</v>
      </c>
      <c r="AB25" s="3"/>
    </row>
    <row r="26" spans="1:28" ht="18" customHeight="1">
      <c r="A26" s="84">
        <v>18</v>
      </c>
      <c r="B26" s="75">
        <v>21.3</v>
      </c>
      <c r="C26" s="73">
        <f>'[1]cálculos teóricos'!K202</f>
        <v>0.95621163221789329</v>
      </c>
      <c r="D26" s="58">
        <f t="shared" si="4"/>
        <v>296.61928665365269</v>
      </c>
      <c r="E26" s="59">
        <f t="shared" si="5"/>
        <v>12.41885629361513</v>
      </c>
      <c r="F26" s="60">
        <f t="shared" si="6"/>
        <v>15.852652847018913</v>
      </c>
      <c r="G26" s="61">
        <f>'[1]cálculos teóricos'!T202</f>
        <v>23.233852061700922</v>
      </c>
      <c r="H26" s="74">
        <f t="shared" si="7"/>
        <v>68.230841811852173</v>
      </c>
      <c r="I26" s="163"/>
      <c r="J26" s="81"/>
      <c r="K26" s="80">
        <v>0.3</v>
      </c>
      <c r="L26" s="80">
        <v>1</v>
      </c>
      <c r="M26" s="80">
        <v>1</v>
      </c>
      <c r="N26" s="80">
        <v>1</v>
      </c>
      <c r="O26" s="173">
        <v>1</v>
      </c>
      <c r="P26" s="174">
        <v>1</v>
      </c>
      <c r="Q26" s="80">
        <v>1</v>
      </c>
      <c r="R26" s="80">
        <v>1</v>
      </c>
      <c r="S26" s="80">
        <v>1</v>
      </c>
      <c r="T26" s="80">
        <v>0.8</v>
      </c>
      <c r="U26" s="80"/>
      <c r="V26" s="77"/>
      <c r="W26" s="67">
        <f t="shared" si="0"/>
        <v>4.3</v>
      </c>
      <c r="X26" s="68">
        <f t="shared" si="1"/>
        <v>4.8</v>
      </c>
      <c r="Y26" s="117">
        <f t="shared" si="2"/>
        <v>9.1</v>
      </c>
      <c r="Z26" s="70">
        <f>'[1]cálculos teóricos'!I202</f>
        <v>10.69746102692859</v>
      </c>
      <c r="AA26" s="71">
        <f t="shared" si="3"/>
        <v>85.066914262110231</v>
      </c>
      <c r="AB26" s="3"/>
    </row>
    <row r="27" spans="1:28" ht="18" customHeight="1">
      <c r="A27" s="84">
        <v>19</v>
      </c>
      <c r="B27" s="75">
        <v>20.7</v>
      </c>
      <c r="C27" s="73">
        <f>'[1]cálculos teóricos'!K203</f>
        <v>0.95680820076054496</v>
      </c>
      <c r="D27" s="58">
        <f t="shared" si="4"/>
        <v>288.44365799776727</v>
      </c>
      <c r="E27" s="59">
        <f t="shared" si="5"/>
        <v>12.076559073050522</v>
      </c>
      <c r="F27" s="60">
        <f t="shared" si="6"/>
        <v>15.424781321313151</v>
      </c>
      <c r="G27" s="61">
        <f>'[1]cálculos teóricos'!T203</f>
        <v>23.330906219017812</v>
      </c>
      <c r="H27" s="74">
        <f t="shared" si="7"/>
        <v>66.11308269174684</v>
      </c>
      <c r="I27" s="163"/>
      <c r="J27" s="81"/>
      <c r="K27" s="80">
        <v>0.1</v>
      </c>
      <c r="L27" s="80">
        <v>0.5</v>
      </c>
      <c r="M27" s="80">
        <v>1</v>
      </c>
      <c r="N27" s="80">
        <v>1</v>
      </c>
      <c r="O27" s="173">
        <v>1</v>
      </c>
      <c r="P27" s="174">
        <v>1</v>
      </c>
      <c r="Q27" s="80">
        <v>1</v>
      </c>
      <c r="R27" s="80">
        <v>1</v>
      </c>
      <c r="S27" s="80">
        <v>1</v>
      </c>
      <c r="T27" s="80">
        <v>0.7</v>
      </c>
      <c r="U27" s="80"/>
      <c r="V27" s="77"/>
      <c r="W27" s="67">
        <f t="shared" si="0"/>
        <v>3.6</v>
      </c>
      <c r="X27" s="68">
        <f t="shared" si="1"/>
        <v>4.7</v>
      </c>
      <c r="Y27" s="117">
        <f t="shared" si="2"/>
        <v>8.3000000000000007</v>
      </c>
      <c r="Z27" s="70">
        <f>'[1]cálculos teóricos'!I203</f>
        <v>10.709322717449501</v>
      </c>
      <c r="AA27" s="71">
        <f t="shared" si="3"/>
        <v>77.502566866121143</v>
      </c>
      <c r="AB27" s="3"/>
    </row>
    <row r="28" spans="1:28" ht="18" customHeight="1">
      <c r="A28" s="84">
        <v>20</v>
      </c>
      <c r="B28" s="75">
        <v>23.6</v>
      </c>
      <c r="C28" s="73">
        <f>'[1]cálculos teóricos'!K204</f>
        <v>0.95742296199854815</v>
      </c>
      <c r="D28" s="58">
        <f t="shared" si="4"/>
        <v>329.06493164675425</v>
      </c>
      <c r="E28" s="59">
        <f t="shared" si="5"/>
        <v>13.777290558186307</v>
      </c>
      <c r="F28" s="60">
        <f t="shared" si="6"/>
        <v>17.550695677732882</v>
      </c>
      <c r="G28" s="61">
        <f>'[1]cálculos teóricos'!T204</f>
        <v>23.431253746006767</v>
      </c>
      <c r="H28" s="74">
        <f t="shared" si="7"/>
        <v>74.9029303680514</v>
      </c>
      <c r="I28" s="163"/>
      <c r="J28" s="81">
        <v>0.1</v>
      </c>
      <c r="K28" s="80">
        <v>1</v>
      </c>
      <c r="L28" s="80">
        <v>1</v>
      </c>
      <c r="M28" s="80">
        <v>1</v>
      </c>
      <c r="N28" s="80">
        <v>1</v>
      </c>
      <c r="O28" s="173">
        <v>1</v>
      </c>
      <c r="P28" s="174">
        <v>1</v>
      </c>
      <c r="Q28" s="80">
        <v>1</v>
      </c>
      <c r="R28" s="80">
        <v>1</v>
      </c>
      <c r="S28" s="80">
        <v>1</v>
      </c>
      <c r="T28" s="80">
        <v>0.8</v>
      </c>
      <c r="U28" s="80"/>
      <c r="V28" s="77"/>
      <c r="W28" s="67">
        <f t="shared" si="0"/>
        <v>5.0999999999999996</v>
      </c>
      <c r="X28" s="68">
        <f t="shared" si="1"/>
        <v>4.8</v>
      </c>
      <c r="Y28" s="117">
        <f t="shared" si="2"/>
        <v>9.8999999999999986</v>
      </c>
      <c r="Z28" s="70">
        <f>'[1]cálculos teóricos'!I204</f>
        <v>10.721555667074277</v>
      </c>
      <c r="AA28" s="71">
        <f t="shared" si="3"/>
        <v>92.337346439404669</v>
      </c>
      <c r="AB28" s="3"/>
    </row>
    <row r="29" spans="1:28" ht="18" customHeight="1">
      <c r="A29" s="84">
        <v>21</v>
      </c>
      <c r="B29" s="75">
        <v>23.1</v>
      </c>
      <c r="C29" s="73">
        <f>'[1]cálculos teóricos'!K205</f>
        <v>0.95805547795874668</v>
      </c>
      <c r="D29" s="58">
        <f t="shared" si="4"/>
        <v>322.30600602012595</v>
      </c>
      <c r="E29" s="59">
        <f t="shared" si="5"/>
        <v>13.494307860050633</v>
      </c>
      <c r="F29" s="60">
        <f t="shared" si="6"/>
        <v>17.196967305063293</v>
      </c>
      <c r="G29" s="61">
        <f>'[1]cálculos teóricos'!T205</f>
        <v>23.534845752045989</v>
      </c>
      <c r="H29" s="74">
        <f t="shared" si="7"/>
        <v>73.070235880208742</v>
      </c>
      <c r="I29" s="163"/>
      <c r="J29" s="81"/>
      <c r="K29" s="80">
        <v>0.6</v>
      </c>
      <c r="L29" s="80">
        <v>1</v>
      </c>
      <c r="M29" s="80">
        <v>1</v>
      </c>
      <c r="N29" s="80">
        <v>1</v>
      </c>
      <c r="O29" s="173">
        <v>1</v>
      </c>
      <c r="P29" s="174">
        <v>1</v>
      </c>
      <c r="Q29" s="80">
        <v>1</v>
      </c>
      <c r="R29" s="80">
        <v>1</v>
      </c>
      <c r="S29" s="80">
        <v>1</v>
      </c>
      <c r="T29" s="80">
        <v>0.7</v>
      </c>
      <c r="U29" s="80"/>
      <c r="V29" s="77"/>
      <c r="W29" s="67">
        <f t="shared" si="0"/>
        <v>4.5999999999999996</v>
      </c>
      <c r="X29" s="68">
        <f t="shared" si="1"/>
        <v>4.7</v>
      </c>
      <c r="Y29" s="117">
        <f t="shared" si="2"/>
        <v>9.3000000000000007</v>
      </c>
      <c r="Z29" s="70">
        <f>'[1]cálculos teóricos'!I205</f>
        <v>10.734152541166916</v>
      </c>
      <c r="AA29" s="71">
        <f t="shared" si="3"/>
        <v>86.639350096183676</v>
      </c>
      <c r="AB29" s="3"/>
    </row>
    <row r="30" spans="1:28" ht="18" customHeight="1">
      <c r="A30" s="84">
        <v>22</v>
      </c>
      <c r="B30" s="75">
        <v>20.5</v>
      </c>
      <c r="C30" s="73">
        <f>'[1]cálculos teóricos'!K206</f>
        <v>0.9587053016226873</v>
      </c>
      <c r="D30" s="58">
        <f t="shared" si="4"/>
        <v>286.22314553373116</v>
      </c>
      <c r="E30" s="59">
        <f t="shared" si="5"/>
        <v>11.983590657206255</v>
      </c>
      <c r="F30" s="60">
        <f t="shared" si="6"/>
        <v>15.308570801507821</v>
      </c>
      <c r="G30" s="61">
        <f>'[1]cálculos teóricos'!T206</f>
        <v>23.641632050891843</v>
      </c>
      <c r="H30" s="74">
        <f t="shared" si="7"/>
        <v>64.75259731880621</v>
      </c>
      <c r="I30" s="163"/>
      <c r="J30" s="81"/>
      <c r="K30" s="80">
        <v>0.7</v>
      </c>
      <c r="L30" s="80">
        <v>1</v>
      </c>
      <c r="M30" s="80">
        <v>1</v>
      </c>
      <c r="N30" s="80">
        <v>1</v>
      </c>
      <c r="O30" s="173">
        <v>1</v>
      </c>
      <c r="P30" s="174">
        <v>1</v>
      </c>
      <c r="Q30" s="80">
        <v>1</v>
      </c>
      <c r="R30" s="80">
        <v>1</v>
      </c>
      <c r="S30" s="80">
        <v>1</v>
      </c>
      <c r="T30" s="80">
        <v>0.6</v>
      </c>
      <c r="U30" s="80"/>
      <c r="V30" s="77"/>
      <c r="W30" s="67">
        <f t="shared" si="0"/>
        <v>4.7</v>
      </c>
      <c r="X30" s="68">
        <f t="shared" si="1"/>
        <v>4.5999999999999996</v>
      </c>
      <c r="Y30" s="117">
        <f t="shared" si="2"/>
        <v>9.3000000000000007</v>
      </c>
      <c r="Z30" s="70">
        <f>'[1]cálculos teóricos'!I206</f>
        <v>10.747105919197939</v>
      </c>
      <c r="AA30" s="71">
        <f t="shared" si="3"/>
        <v>86.534924564082687</v>
      </c>
      <c r="AB30" s="3"/>
    </row>
    <row r="31" spans="1:28" ht="18" customHeight="1">
      <c r="A31" s="84">
        <v>23</v>
      </c>
      <c r="B31" s="75">
        <v>21</v>
      </c>
      <c r="C31" s="73">
        <f>'[1]cálculos teóricos'!K207</f>
        <v>0.95937197751604364</v>
      </c>
      <c r="D31" s="58">
        <f t="shared" si="4"/>
        <v>293.40808968565295</v>
      </c>
      <c r="E31" s="59">
        <f t="shared" si="5"/>
        <v>12.284409898958918</v>
      </c>
      <c r="F31" s="60">
        <f t="shared" si="6"/>
        <v>15.684594853698648</v>
      </c>
      <c r="G31" s="61">
        <f>'[1]cálculos teóricos'!T207</f>
        <v>23.751561201338504</v>
      </c>
      <c r="H31" s="74">
        <f t="shared" si="7"/>
        <v>66.036058517343918</v>
      </c>
      <c r="I31" s="163"/>
      <c r="J31" s="81">
        <v>0.2</v>
      </c>
      <c r="K31" s="80">
        <v>1</v>
      </c>
      <c r="L31" s="80">
        <v>1</v>
      </c>
      <c r="M31" s="80">
        <v>1</v>
      </c>
      <c r="N31" s="80">
        <v>1</v>
      </c>
      <c r="O31" s="173">
        <v>1</v>
      </c>
      <c r="P31" s="174">
        <v>1</v>
      </c>
      <c r="Q31" s="80">
        <v>1</v>
      </c>
      <c r="R31" s="80">
        <v>1</v>
      </c>
      <c r="S31" s="80">
        <v>1</v>
      </c>
      <c r="T31" s="80">
        <v>0.6</v>
      </c>
      <c r="U31" s="80"/>
      <c r="V31" s="77"/>
      <c r="W31" s="67">
        <f t="shared" si="0"/>
        <v>5.2</v>
      </c>
      <c r="X31" s="68">
        <f t="shared" si="1"/>
        <v>4.5999999999999996</v>
      </c>
      <c r="Y31" s="117">
        <f t="shared" si="2"/>
        <v>9.8000000000000007</v>
      </c>
      <c r="Z31" s="70">
        <f>'[1]cálculos teóricos'!I207</f>
        <v>10.760408308361818</v>
      </c>
      <c r="AA31" s="71">
        <f t="shared" si="3"/>
        <v>91.074610917733565</v>
      </c>
      <c r="AB31" s="3"/>
    </row>
    <row r="32" spans="1:28" ht="18" customHeight="1">
      <c r="A32" s="84">
        <v>24</v>
      </c>
      <c r="B32" s="75">
        <v>23.4</v>
      </c>
      <c r="C32" s="73">
        <f>'[1]cálculos teóricos'!K208</f>
        <v>0.96005504230021532</v>
      </c>
      <c r="D32" s="58">
        <f t="shared" si="4"/>
        <v>327.17322163981692</v>
      </c>
      <c r="E32" s="59">
        <f t="shared" si="5"/>
        <v>13.698088443615854</v>
      </c>
      <c r="F32" s="60">
        <f t="shared" si="6"/>
        <v>17.451693034519817</v>
      </c>
      <c r="G32" s="61">
        <f>'[1]cálculos teóricos'!T208</f>
        <v>23.864580548707934</v>
      </c>
      <c r="H32" s="74">
        <f t="shared" si="7"/>
        <v>73.128010772704229</v>
      </c>
      <c r="I32" s="163"/>
      <c r="J32" s="81">
        <v>0.1</v>
      </c>
      <c r="K32" s="80">
        <v>1</v>
      </c>
      <c r="L32" s="80">
        <v>1</v>
      </c>
      <c r="M32" s="80">
        <v>1</v>
      </c>
      <c r="N32" s="80">
        <v>1</v>
      </c>
      <c r="O32" s="173">
        <v>1</v>
      </c>
      <c r="P32" s="174">
        <v>1</v>
      </c>
      <c r="Q32" s="80">
        <v>1</v>
      </c>
      <c r="R32" s="80">
        <v>1</v>
      </c>
      <c r="S32" s="80">
        <v>1</v>
      </c>
      <c r="T32" s="80">
        <v>0.9</v>
      </c>
      <c r="U32" s="80"/>
      <c r="V32" s="77"/>
      <c r="W32" s="67">
        <f t="shared" si="0"/>
        <v>5.0999999999999996</v>
      </c>
      <c r="X32" s="68">
        <f t="shared" si="1"/>
        <v>4.9000000000000004</v>
      </c>
      <c r="Y32" s="117">
        <f t="shared" si="2"/>
        <v>10</v>
      </c>
      <c r="Z32" s="70">
        <f>'[1]cálculos teóricos'!I208</f>
        <v>10.774052156944194</v>
      </c>
      <c r="AA32" s="71">
        <f t="shared" si="3"/>
        <v>92.815589291116481</v>
      </c>
      <c r="AB32" s="3"/>
    </row>
    <row r="33" spans="1:28" ht="18" customHeight="1">
      <c r="A33" s="175">
        <v>25</v>
      </c>
      <c r="B33" s="75">
        <v>23.9</v>
      </c>
      <c r="C33" s="73">
        <f>'[1]cálculos teóricos'!K209</f>
        <v>0.96075402536473475</v>
      </c>
      <c r="D33" s="58">
        <f t="shared" si="4"/>
        <v>334.4073958367436</v>
      </c>
      <c r="E33" s="59">
        <f t="shared" si="5"/>
        <v>14.00096884889278</v>
      </c>
      <c r="F33" s="60">
        <f t="shared" si="6"/>
        <v>17.830293541115974</v>
      </c>
      <c r="G33" s="61">
        <f>'[1]cálculos teóricos'!T209</f>
        <v>23.980636267104472</v>
      </c>
      <c r="H33" s="74">
        <f t="shared" si="7"/>
        <v>74.352879308605949</v>
      </c>
      <c r="I33" s="163"/>
      <c r="J33" s="81"/>
      <c r="K33" s="80">
        <v>1</v>
      </c>
      <c r="L33" s="80">
        <v>1</v>
      </c>
      <c r="M33" s="80">
        <v>1</v>
      </c>
      <c r="N33" s="80">
        <v>1</v>
      </c>
      <c r="O33" s="173">
        <v>1</v>
      </c>
      <c r="P33" s="174">
        <v>1</v>
      </c>
      <c r="Q33" s="80">
        <v>1</v>
      </c>
      <c r="R33" s="80">
        <v>1</v>
      </c>
      <c r="S33" s="80">
        <v>1</v>
      </c>
      <c r="T33" s="80">
        <v>0.7</v>
      </c>
      <c r="U33" s="80"/>
      <c r="V33" s="77"/>
      <c r="W33" s="67">
        <f t="shared" si="0"/>
        <v>5</v>
      </c>
      <c r="X33" s="68">
        <f t="shared" si="1"/>
        <v>4.7</v>
      </c>
      <c r="Y33" s="117">
        <f t="shared" si="2"/>
        <v>9.6999999999999993</v>
      </c>
      <c r="Z33" s="70">
        <f>'[1]cálculos teóricos'!I209</f>
        <v>10.788029867400006</v>
      </c>
      <c r="AA33" s="71">
        <f t="shared" si="3"/>
        <v>89.9144711242607</v>
      </c>
      <c r="AB33" s="3"/>
    </row>
    <row r="34" spans="1:28" ht="18" customHeight="1">
      <c r="A34" s="84">
        <v>26</v>
      </c>
      <c r="B34" s="75">
        <v>12.6</v>
      </c>
      <c r="C34" s="73">
        <f>'[1]cálculos teóricos'!K210</f>
        <v>0.96146844941914744</v>
      </c>
      <c r="D34" s="58">
        <f t="shared" si="4"/>
        <v>176.42955661525846</v>
      </c>
      <c r="E34" s="59">
        <f t="shared" si="5"/>
        <v>7.3867526763676414</v>
      </c>
      <c r="F34" s="60">
        <f t="shared" si="6"/>
        <v>9.5625233254595514</v>
      </c>
      <c r="G34" s="61">
        <f>'[1]cálculos teóricos'!T210</f>
        <v>24.099673402364708</v>
      </c>
      <c r="H34" s="74">
        <f t="shared" si="7"/>
        <v>39.679057744082364</v>
      </c>
      <c r="I34" s="163"/>
      <c r="J34" s="81"/>
      <c r="K34" s="80"/>
      <c r="L34" s="80"/>
      <c r="M34" s="80"/>
      <c r="N34" s="80"/>
      <c r="O34" s="173"/>
      <c r="P34" s="174">
        <v>0.4</v>
      </c>
      <c r="Q34" s="80">
        <v>0.5</v>
      </c>
      <c r="R34" s="80">
        <v>1</v>
      </c>
      <c r="S34" s="80">
        <v>0.6</v>
      </c>
      <c r="T34" s="80"/>
      <c r="U34" s="80"/>
      <c r="V34" s="77"/>
      <c r="W34" s="67">
        <f t="shared" si="0"/>
        <v>0</v>
      </c>
      <c r="X34" s="68">
        <f t="shared" si="1"/>
        <v>2.5</v>
      </c>
      <c r="Y34" s="117">
        <f t="shared" si="2"/>
        <v>2.5</v>
      </c>
      <c r="Z34" s="70">
        <f>'[1]cálculos teóricos'!I210</f>
        <v>10.802333809106663</v>
      </c>
      <c r="AA34" s="71">
        <f t="shared" si="3"/>
        <v>23.143147065983385</v>
      </c>
      <c r="AB34" s="3"/>
    </row>
    <row r="35" spans="1:28" ht="18" customHeight="1">
      <c r="A35" s="84">
        <v>27</v>
      </c>
      <c r="B35" s="75">
        <v>23.7</v>
      </c>
      <c r="C35" s="73">
        <f>'[1]cálculos teóricos'!K211</f>
        <v>0.96219783108305346</v>
      </c>
      <c r="D35" s="58">
        <f t="shared" si="4"/>
        <v>332.10734427757973</v>
      </c>
      <c r="E35" s="59">
        <f t="shared" si="5"/>
        <v>13.904670290213708</v>
      </c>
      <c r="F35" s="60">
        <f t="shared" si="6"/>
        <v>17.709920342767134</v>
      </c>
      <c r="G35" s="61">
        <f>'[1]cálculos teóricos'!T211</f>
        <v>24.221635915630831</v>
      </c>
      <c r="H35" s="74">
        <f t="shared" si="7"/>
        <v>73.116119837877989</v>
      </c>
      <c r="I35" s="163"/>
      <c r="J35" s="81"/>
      <c r="K35" s="80">
        <v>0.2</v>
      </c>
      <c r="L35" s="80">
        <v>1</v>
      </c>
      <c r="M35" s="80">
        <v>1</v>
      </c>
      <c r="N35" s="80">
        <v>1</v>
      </c>
      <c r="O35" s="173">
        <v>1</v>
      </c>
      <c r="P35" s="174">
        <v>1</v>
      </c>
      <c r="Q35" s="80">
        <v>1</v>
      </c>
      <c r="R35" s="80">
        <v>1</v>
      </c>
      <c r="S35" s="80">
        <v>1</v>
      </c>
      <c r="T35" s="80">
        <v>0.8</v>
      </c>
      <c r="U35" s="80"/>
      <c r="V35" s="77"/>
      <c r="W35" s="67">
        <f t="shared" si="0"/>
        <v>4.2</v>
      </c>
      <c r="X35" s="68">
        <f t="shared" si="1"/>
        <v>4.8</v>
      </c>
      <c r="Y35" s="117">
        <f t="shared" si="2"/>
        <v>9</v>
      </c>
      <c r="Z35" s="70">
        <f>'[1]cálculos teóricos'!I211</f>
        <v>10.81695633075898</v>
      </c>
      <c r="AA35" s="71">
        <f t="shared" si="3"/>
        <v>83.202702542190139</v>
      </c>
      <c r="AB35" s="3"/>
    </row>
    <row r="36" spans="1:28" ht="18" customHeight="1">
      <c r="A36" s="84">
        <v>28</v>
      </c>
      <c r="B36" s="75">
        <v>22.2</v>
      </c>
      <c r="C36" s="73">
        <f>'[1]cálculos teóricos'!K212</f>
        <v>0.96294168147303771</v>
      </c>
      <c r="D36" s="58">
        <f t="shared" si="4"/>
        <v>311.32838615454335</v>
      </c>
      <c r="E36" s="59">
        <f t="shared" si="5"/>
        <v>13.03469687151842</v>
      </c>
      <c r="F36" s="60">
        <f t="shared" si="6"/>
        <v>16.622453569398026</v>
      </c>
      <c r="G36" s="61">
        <f>'[1]cálculos teóricos'!T212</f>
        <v>24.346466727472635</v>
      </c>
      <c r="H36" s="74">
        <f t="shared" si="7"/>
        <v>68.274603273916512</v>
      </c>
      <c r="I36" s="163"/>
      <c r="J36" s="81"/>
      <c r="K36" s="80">
        <v>0.8</v>
      </c>
      <c r="L36" s="80">
        <v>1</v>
      </c>
      <c r="M36" s="80">
        <v>1</v>
      </c>
      <c r="N36" s="80">
        <v>1</v>
      </c>
      <c r="O36" s="173">
        <v>1</v>
      </c>
      <c r="P36" s="174">
        <v>1</v>
      </c>
      <c r="Q36" s="80">
        <v>1</v>
      </c>
      <c r="R36" s="80">
        <v>1</v>
      </c>
      <c r="S36" s="80">
        <v>0.9</v>
      </c>
      <c r="T36" s="80">
        <v>0.6</v>
      </c>
      <c r="U36" s="80"/>
      <c r="V36" s="77"/>
      <c r="W36" s="67">
        <f t="shared" si="0"/>
        <v>4.8</v>
      </c>
      <c r="X36" s="68">
        <f t="shared" si="1"/>
        <v>4.5</v>
      </c>
      <c r="Y36" s="117">
        <f t="shared" si="2"/>
        <v>9.3000000000000007</v>
      </c>
      <c r="Z36" s="70">
        <f>'[1]cálculos teóricos'!I212</f>
        <v>10.831889772375648</v>
      </c>
      <c r="AA36" s="71">
        <f t="shared" si="3"/>
        <v>85.857594523511537</v>
      </c>
      <c r="AB36" s="3"/>
    </row>
    <row r="37" spans="1:28" ht="18" customHeight="1">
      <c r="A37" s="84">
        <v>29</v>
      </c>
      <c r="B37" s="75">
        <v>4.8</v>
      </c>
      <c r="C37" s="73">
        <f>'[1]cálculos teóricos'!K213</f>
        <v>0.96369950678525729</v>
      </c>
      <c r="D37" s="58">
        <f t="shared" si="4"/>
        <v>67.367221281922042</v>
      </c>
      <c r="E37" s="59">
        <f t="shared" si="5"/>
        <v>2.8205308206315118</v>
      </c>
      <c r="F37" s="60">
        <f t="shared" si="6"/>
        <v>3.8547460057893903</v>
      </c>
      <c r="G37" s="61">
        <f>'[1]cálculos teóricos'!T213</f>
        <v>24.474107762481303</v>
      </c>
      <c r="H37" s="74">
        <f t="shared" si="7"/>
        <v>15.750302496006407</v>
      </c>
      <c r="I37" s="163"/>
      <c r="J37" s="81"/>
      <c r="K37" s="80"/>
      <c r="L37" s="80"/>
      <c r="M37" s="80"/>
      <c r="N37" s="80"/>
      <c r="O37" s="173"/>
      <c r="P37" s="174"/>
      <c r="Q37" s="80"/>
      <c r="R37" s="80"/>
      <c r="S37" s="80"/>
      <c r="T37" s="80"/>
      <c r="U37" s="80"/>
      <c r="V37" s="77"/>
      <c r="W37" s="67">
        <f t="shared" si="0"/>
        <v>0</v>
      </c>
      <c r="X37" s="68">
        <f t="shared" si="1"/>
        <v>0</v>
      </c>
      <c r="Y37" s="117">
        <f t="shared" si="2"/>
        <v>0</v>
      </c>
      <c r="Z37" s="70">
        <f>'[1]cálculos teóricos'!I213</f>
        <v>10.84712647688978</v>
      </c>
      <c r="AA37" s="71">
        <f t="shared" si="3"/>
        <v>0</v>
      </c>
      <c r="AB37" s="3"/>
    </row>
    <row r="38" spans="1:28" ht="18" customHeight="1" thickBot="1">
      <c r="A38" s="79">
        <v>30</v>
      </c>
      <c r="B38" s="75">
        <v>8</v>
      </c>
      <c r="C38" s="73">
        <f>'[1]cálculos teóricos'!K214</f>
        <v>0.96447080887248837</v>
      </c>
      <c r="D38" s="58">
        <f t="shared" si="4"/>
        <v>112.36856500011588</v>
      </c>
      <c r="E38" s="59">
        <f t="shared" si="5"/>
        <v>4.7046470794248512</v>
      </c>
      <c r="F38" s="60">
        <f t="shared" si="6"/>
        <v>6.2098913292810654</v>
      </c>
      <c r="G38" s="61">
        <f>'[1]cálculos teóricos'!T214</f>
        <v>24.60449999425596</v>
      </c>
      <c r="H38" s="74">
        <f t="shared" si="7"/>
        <v>25.23884383235097</v>
      </c>
      <c r="I38" s="163"/>
      <c r="J38" s="81"/>
      <c r="K38" s="80"/>
      <c r="L38" s="80"/>
      <c r="M38" s="80"/>
      <c r="N38" s="80"/>
      <c r="O38" s="173"/>
      <c r="P38" s="174"/>
      <c r="Q38" s="80"/>
      <c r="R38" s="80"/>
      <c r="S38" s="80"/>
      <c r="T38" s="80"/>
      <c r="U38" s="80"/>
      <c r="V38" s="77"/>
      <c r="W38" s="67">
        <f t="shared" si="0"/>
        <v>0</v>
      </c>
      <c r="X38" s="68">
        <f t="shared" si="1"/>
        <v>0</v>
      </c>
      <c r="Y38" s="120">
        <f t="shared" si="2"/>
        <v>0</v>
      </c>
      <c r="Z38" s="70">
        <f>'[1]cálculos teóricos'!I214</f>
        <v>10.86265880129913</v>
      </c>
      <c r="AA38" s="71">
        <f t="shared" si="3"/>
        <v>0</v>
      </c>
      <c r="AB38" s="3"/>
    </row>
    <row r="39" spans="1:28" ht="18" customHeight="1" thickTop="1" thickBot="1">
      <c r="A39" s="86">
        <v>31</v>
      </c>
      <c r="B39" s="87">
        <v>14</v>
      </c>
      <c r="C39" s="88">
        <f>'[1]cálculos teóricos'!K215</f>
        <v>0.96525508581449126</v>
      </c>
      <c r="D39" s="89">
        <f t="shared" si="4"/>
        <v>196.80489419163081</v>
      </c>
      <c r="E39" s="90">
        <f t="shared" si="5"/>
        <v>8.2398273100151975</v>
      </c>
      <c r="F39" s="91">
        <f t="shared" si="6"/>
        <v>10.628866617519</v>
      </c>
      <c r="G39" s="92">
        <f>'[1]cálculos teóricos'!T215</f>
        <v>24.7375834907022</v>
      </c>
      <c r="H39" s="93">
        <f t="shared" si="7"/>
        <v>42.966470922731546</v>
      </c>
      <c r="I39" s="176"/>
      <c r="J39" s="94"/>
      <c r="K39" s="87"/>
      <c r="L39" s="87"/>
      <c r="M39" s="87"/>
      <c r="N39" s="87">
        <v>0.4</v>
      </c>
      <c r="O39" s="177">
        <v>0.2</v>
      </c>
      <c r="P39" s="178">
        <v>0.7</v>
      </c>
      <c r="Q39" s="87">
        <v>0.6</v>
      </c>
      <c r="R39" s="87">
        <v>0.9</v>
      </c>
      <c r="S39" s="87">
        <v>0.2</v>
      </c>
      <c r="T39" s="87"/>
      <c r="U39" s="87"/>
      <c r="V39" s="77"/>
      <c r="W39" s="67">
        <f t="shared" si="0"/>
        <v>0.60000000000000009</v>
      </c>
      <c r="X39" s="68">
        <f t="shared" si="1"/>
        <v>2.4</v>
      </c>
      <c r="Y39" s="124">
        <f t="shared" si="2"/>
        <v>3</v>
      </c>
      <c r="Z39" s="98">
        <f>'[1]cálculos teóricos'!I215</f>
        <v>10.87847912735425</v>
      </c>
      <c r="AA39" s="99">
        <f t="shared" si="3"/>
        <v>27.577384346460832</v>
      </c>
      <c r="AB39" s="3"/>
    </row>
    <row r="40" spans="1:28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103">
        <f>SUM(I9:I39)</f>
        <v>0</v>
      </c>
      <c r="J40" s="103">
        <f t="shared" ref="J40:V40" si="8">SUM(J9:J39)</f>
        <v>0.5</v>
      </c>
      <c r="K40" s="103">
        <f t="shared" si="8"/>
        <v>13.1</v>
      </c>
      <c r="L40" s="103">
        <f t="shared" si="8"/>
        <v>19.899999999999999</v>
      </c>
      <c r="M40" s="103">
        <f t="shared" si="8"/>
        <v>21.1</v>
      </c>
      <c r="N40" s="103">
        <f t="shared" si="8"/>
        <v>22.4</v>
      </c>
      <c r="O40" s="103">
        <f t="shared" si="8"/>
        <v>23.7</v>
      </c>
      <c r="P40" s="103">
        <f t="shared" si="8"/>
        <v>24.599999999999998</v>
      </c>
      <c r="Q40" s="103">
        <f t="shared" si="8"/>
        <v>24.8</v>
      </c>
      <c r="R40" s="103">
        <f t="shared" si="8"/>
        <v>26</v>
      </c>
      <c r="S40" s="103">
        <f t="shared" si="8"/>
        <v>24.7</v>
      </c>
      <c r="T40" s="103">
        <f t="shared" si="8"/>
        <v>14.899999999999999</v>
      </c>
      <c r="U40" s="103">
        <f t="shared" si="8"/>
        <v>0</v>
      </c>
      <c r="V40" s="179">
        <f t="shared" si="8"/>
        <v>0</v>
      </c>
      <c r="W40" s="179">
        <f>SUM(I40:O40)</f>
        <v>100.7</v>
      </c>
      <c r="X40" s="179">
        <f>SUM(P40:V40)</f>
        <v>115</v>
      </c>
      <c r="Y40" s="179">
        <f>W40+X40</f>
        <v>215.7</v>
      </c>
      <c r="Z40" s="179"/>
      <c r="AA40" s="103"/>
      <c r="AB40" s="100"/>
    </row>
    <row r="41" spans="1:28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8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180"/>
      <c r="C54" s="18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</sheetData>
  <sheetProtection selectLockedCells="1" selectUnlockedCells="1"/>
  <mergeCells count="2">
    <mergeCell ref="I5:W5"/>
    <mergeCell ref="I7:U7"/>
  </mergeCells>
  <pageMargins left="0" right="0" top="0.39374999999999999" bottom="0.98402777777777772" header="0.51180555555555551" footer="0.51180555555555551"/>
  <pageSetup paperSize="39" scale="50" firstPageNumber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55"/>
  <sheetViews>
    <sheetView zoomScale="70" zoomScaleNormal="70" workbookViewId="0">
      <selection activeCell="A31" sqref="A31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87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59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88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65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126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53" t="s">
        <v>49</v>
      </c>
      <c r="Z8" s="51" t="s">
        <v>49</v>
      </c>
      <c r="AA8" s="54" t="s">
        <v>49</v>
      </c>
      <c r="AB8" s="3"/>
    </row>
    <row r="9" spans="1:28" ht="18" customHeight="1">
      <c r="A9" s="72">
        <v>1</v>
      </c>
      <c r="B9" s="56">
        <v>17.3</v>
      </c>
      <c r="C9" s="73">
        <f>'[1]cálculos teóricos'!K216</f>
        <v>0.96605183248059556</v>
      </c>
      <c r="D9" s="58">
        <f>IF(B9&gt;0,B9*C9*14.25*1.022,-999)</f>
        <v>243.39535841832898</v>
      </c>
      <c r="E9" s="59">
        <f>IF(B9&gt;0,D9*4.1868/100,-999)</f>
        <v>10.190476866258598</v>
      </c>
      <c r="F9" s="60">
        <f>IF(B9&gt;0,(7.86+1.25*D9)*4.1868/100,-999)</f>
        <v>13.06717856282325</v>
      </c>
      <c r="G9" s="61">
        <f>'[1]cálculos teóricos'!T216</f>
        <v>24.873297459560863</v>
      </c>
      <c r="H9" s="62">
        <f>IF(B9&gt;0,100*F9/G9,-999)</f>
        <v>52.534966801518522</v>
      </c>
      <c r="I9" s="181"/>
      <c r="J9" s="63"/>
      <c r="K9" s="63"/>
      <c r="L9" s="63"/>
      <c r="M9" s="63">
        <v>0.2</v>
      </c>
      <c r="N9" s="63">
        <v>0.7</v>
      </c>
      <c r="O9" s="64">
        <v>1</v>
      </c>
      <c r="P9" s="63">
        <v>1</v>
      </c>
      <c r="Q9" s="63">
        <v>1</v>
      </c>
      <c r="R9" s="63">
        <v>0.8</v>
      </c>
      <c r="S9" s="63">
        <v>0.5</v>
      </c>
      <c r="T9" s="63">
        <v>0.9</v>
      </c>
      <c r="U9" s="63"/>
      <c r="V9" s="64"/>
      <c r="W9" s="67">
        <f t="shared" ref="W9:W39" si="0">SUM(I9:O9)</f>
        <v>1.9</v>
      </c>
      <c r="X9" s="68">
        <f>SUM(P9:V9)</f>
        <v>4.2</v>
      </c>
      <c r="Y9" s="114">
        <f>W9+X9</f>
        <v>6.1</v>
      </c>
      <c r="Z9" s="70">
        <f>'[1]cálculos teóricos'!I216</f>
        <v>10.894579871765924</v>
      </c>
      <c r="AA9" s="71">
        <f>100*Y9/Z9</f>
        <v>55.991144879377885</v>
      </c>
      <c r="AB9" s="3"/>
    </row>
    <row r="10" spans="1:28" ht="18" customHeight="1">
      <c r="A10" s="72">
        <v>2</v>
      </c>
      <c r="B10" s="56">
        <v>22.4</v>
      </c>
      <c r="C10" s="73">
        <f>'[1]cálculos teóricos'!K217</f>
        <v>0.96686054108346287</v>
      </c>
      <c r="D10" s="58">
        <f>IF(B10&gt;0,B10*C10*14.25*1.022,-999)</f>
        <v>315.41156617754586</v>
      </c>
      <c r="E10" s="59">
        <f>IF(B10&gt;0,D10*4.1868/100,-999)</f>
        <v>13.20565145272149</v>
      </c>
      <c r="F10" s="60">
        <f>IF(B10&gt;0,(7.86+1.25*D10)*4.1868/100,-999)</f>
        <v>16.836146795901865</v>
      </c>
      <c r="G10" s="61">
        <f>'[1]cálculos teóricos'!T217</f>
        <v>25.01158029408397</v>
      </c>
      <c r="H10" s="74">
        <f>IF(B10&gt;0,100*F10/G10,-999)</f>
        <v>67.313406821735867</v>
      </c>
      <c r="I10" s="182"/>
      <c r="J10" s="78"/>
      <c r="K10" s="75">
        <v>0.2</v>
      </c>
      <c r="L10" s="75">
        <v>0.5</v>
      </c>
      <c r="M10" s="75">
        <v>1</v>
      </c>
      <c r="N10" s="75">
        <v>1</v>
      </c>
      <c r="O10" s="76">
        <v>1</v>
      </c>
      <c r="P10" s="78">
        <v>1</v>
      </c>
      <c r="Q10" s="75">
        <v>1</v>
      </c>
      <c r="R10" s="75">
        <v>0.8</v>
      </c>
      <c r="S10" s="75">
        <v>1</v>
      </c>
      <c r="T10" s="81">
        <v>0.4</v>
      </c>
      <c r="U10" s="81"/>
      <c r="V10" s="77"/>
      <c r="W10" s="67">
        <f t="shared" si="0"/>
        <v>3.7</v>
      </c>
      <c r="X10" s="68">
        <f t="shared" ref="X10:X39" si="1">SUM(P10:V10)</f>
        <v>4.2</v>
      </c>
      <c r="Y10" s="117">
        <f t="shared" ref="Y10:Y39" si="2">W10+X10</f>
        <v>7.9</v>
      </c>
      <c r="Z10" s="70">
        <f>'[1]cálculos teóricos'!I217</f>
        <v>10.910953495915864</v>
      </c>
      <c r="AA10" s="71">
        <f t="shared" ref="AA10:AA39" si="3">100*Y10/Z10</f>
        <v>72.404304563822862</v>
      </c>
      <c r="AB10" s="3"/>
    </row>
    <row r="11" spans="1:28" ht="18" customHeight="1">
      <c r="A11" s="72">
        <v>3</v>
      </c>
      <c r="B11" s="56">
        <v>23.1</v>
      </c>
      <c r="C11" s="73">
        <f>'[1]cálculos teóricos'!K218</f>
        <v>0.96768070172304144</v>
      </c>
      <c r="D11" s="58">
        <f t="shared" ref="D11:D39" si="4">IF(B11&gt;0,B11*C11*14.25*1.022,-999)</f>
        <v>325.54409347945517</v>
      </c>
      <c r="E11" s="59">
        <f t="shared" ref="E11:E39" si="5">IF(B11&gt;0,D11*4.1868/100,-999)</f>
        <v>13.629880105797829</v>
      </c>
      <c r="F11" s="60">
        <f t="shared" ref="F11:F39" si="6">IF(B11&gt;0,(7.86+1.25*D11)*4.1868/100,-999)</f>
        <v>17.366432612247287</v>
      </c>
      <c r="G11" s="61">
        <f>'[1]cálculos teóricos'!T218</f>
        <v>25.152369618774994</v>
      </c>
      <c r="H11" s="74">
        <f t="shared" ref="H11:H39" si="7">IF(B11&gt;0,100*F11/G11,-999)</f>
        <v>69.044916544499685</v>
      </c>
      <c r="I11" s="182"/>
      <c r="J11" s="78"/>
      <c r="K11" s="75">
        <v>0.8</v>
      </c>
      <c r="L11" s="75">
        <v>1</v>
      </c>
      <c r="M11" s="75">
        <v>1</v>
      </c>
      <c r="N11" s="75">
        <v>1</v>
      </c>
      <c r="O11" s="76">
        <v>1</v>
      </c>
      <c r="P11" s="78">
        <v>1</v>
      </c>
      <c r="Q11" s="78">
        <v>1</v>
      </c>
      <c r="R11" s="75">
        <v>1</v>
      </c>
      <c r="S11" s="81">
        <v>1</v>
      </c>
      <c r="T11" s="81">
        <v>0.5</v>
      </c>
      <c r="U11" s="81"/>
      <c r="V11" s="77"/>
      <c r="W11" s="67">
        <f t="shared" si="0"/>
        <v>4.8</v>
      </c>
      <c r="X11" s="68">
        <f t="shared" si="1"/>
        <v>4.5</v>
      </c>
      <c r="Y11" s="117">
        <f t="shared" si="2"/>
        <v>9.3000000000000007</v>
      </c>
      <c r="Z11" s="70">
        <f>'[1]cálculos teóricos'!I218</f>
        <v>10.927592515057382</v>
      </c>
      <c r="AA11" s="71">
        <f t="shared" si="3"/>
        <v>85.105662452048023</v>
      </c>
      <c r="AB11" s="3"/>
    </row>
    <row r="12" spans="1:28" ht="18" customHeight="1">
      <c r="A12" s="72">
        <v>4</v>
      </c>
      <c r="B12" s="56">
        <v>24.2</v>
      </c>
      <c r="C12" s="73">
        <f>'[1]cálculos teóricos'!K219</f>
        <v>0.96851180291978101</v>
      </c>
      <c r="D12" s="58">
        <f t="shared" si="4"/>
        <v>341.33910373209795</v>
      </c>
      <c r="E12" s="59">
        <f t="shared" si="5"/>
        <v>14.291185595055476</v>
      </c>
      <c r="F12" s="60">
        <f t="shared" si="6"/>
        <v>18.193064473819348</v>
      </c>
      <c r="G12" s="61">
        <f>'[1]cálculos teóricos'!T219</f>
        <v>25.295602335109727</v>
      </c>
      <c r="H12" s="74">
        <f t="shared" si="7"/>
        <v>71.921847255512006</v>
      </c>
      <c r="I12" s="182"/>
      <c r="J12" s="78"/>
      <c r="K12" s="75"/>
      <c r="L12" s="75">
        <v>0.9</v>
      </c>
      <c r="M12" s="75">
        <v>1</v>
      </c>
      <c r="N12" s="75">
        <v>1</v>
      </c>
      <c r="O12" s="76">
        <v>1</v>
      </c>
      <c r="P12" s="78">
        <v>1</v>
      </c>
      <c r="Q12" s="78">
        <v>1</v>
      </c>
      <c r="R12" s="75">
        <v>1</v>
      </c>
      <c r="S12" s="75">
        <v>1</v>
      </c>
      <c r="T12" s="81">
        <v>0.8</v>
      </c>
      <c r="U12" s="81"/>
      <c r="V12" s="77"/>
      <c r="W12" s="67">
        <f t="shared" si="0"/>
        <v>3.9</v>
      </c>
      <c r="X12" s="68">
        <f t="shared" si="1"/>
        <v>4.8</v>
      </c>
      <c r="Y12" s="117">
        <f t="shared" si="2"/>
        <v>8.6999999999999993</v>
      </c>
      <c r="Z12" s="70">
        <f>'[1]cálculos teóricos'!I219</f>
        <v>10.944489506995499</v>
      </c>
      <c r="AA12" s="71">
        <f t="shared" si="3"/>
        <v>79.492058486959422</v>
      </c>
      <c r="AB12" s="3"/>
    </row>
    <row r="13" spans="1:28" ht="18" customHeight="1">
      <c r="A13" s="72">
        <v>5</v>
      </c>
      <c r="B13" s="56">
        <v>24</v>
      </c>
      <c r="C13" s="73">
        <f>'[1]cálculos teóricos'!K220</f>
        <v>0.96935333213624431</v>
      </c>
      <c r="D13" s="58">
        <f t="shared" si="4"/>
        <v>338.8122540615887</v>
      </c>
      <c r="E13" s="59">
        <f t="shared" si="5"/>
        <v>14.185391453050595</v>
      </c>
      <c r="F13" s="60">
        <f t="shared" si="6"/>
        <v>18.060821796313245</v>
      </c>
      <c r="G13" s="61">
        <f>'[1]cálculos teóricos'!T220</f>
        <v>25.441214667155272</v>
      </c>
      <c r="H13" s="74">
        <f t="shared" si="7"/>
        <v>70.990406836312943</v>
      </c>
      <c r="I13" s="182"/>
      <c r="J13" s="78"/>
      <c r="K13" s="75"/>
      <c r="L13" s="75"/>
      <c r="M13" s="75">
        <v>1</v>
      </c>
      <c r="N13" s="75">
        <v>1</v>
      </c>
      <c r="O13" s="76">
        <v>1</v>
      </c>
      <c r="P13" s="78">
        <v>1</v>
      </c>
      <c r="Q13" s="78">
        <v>1</v>
      </c>
      <c r="R13" s="75">
        <v>1</v>
      </c>
      <c r="S13" s="81">
        <v>1</v>
      </c>
      <c r="T13" s="81">
        <v>0.7</v>
      </c>
      <c r="U13" s="81"/>
      <c r="V13" s="77"/>
      <c r="W13" s="67">
        <f t="shared" si="0"/>
        <v>3</v>
      </c>
      <c r="X13" s="68">
        <f t="shared" si="1"/>
        <v>4.7</v>
      </c>
      <c r="Y13" s="117">
        <f t="shared" si="2"/>
        <v>7.7</v>
      </c>
      <c r="Z13" s="70">
        <f>'[1]cálculos teóricos'!I220</f>
        <v>10.961637120238258</v>
      </c>
      <c r="AA13" s="71">
        <f t="shared" si="3"/>
        <v>70.244981799147865</v>
      </c>
      <c r="AB13" s="3"/>
    </row>
    <row r="14" spans="1:28" ht="18" customHeight="1">
      <c r="A14" s="72">
        <v>6</v>
      </c>
      <c r="B14" s="56">
        <v>24.2</v>
      </c>
      <c r="C14" s="73">
        <f>'[1]cálculos teóricos'!K221</f>
        <v>0.9702047762863053</v>
      </c>
      <c r="D14" s="58">
        <f t="shared" si="4"/>
        <v>341.93576967858371</v>
      </c>
      <c r="E14" s="59">
        <f t="shared" si="5"/>
        <v>14.316166804902942</v>
      </c>
      <c r="F14" s="60">
        <f t="shared" si="6"/>
        <v>18.224290986128679</v>
      </c>
      <c r="G14" s="61">
        <f>'[1]cálculos teóricos'!T221</f>
        <v>25.589142207004898</v>
      </c>
      <c r="H14" s="74">
        <f t="shared" si="7"/>
        <v>71.218842893216916</v>
      </c>
      <c r="I14" s="182"/>
      <c r="J14" s="78">
        <v>0.1</v>
      </c>
      <c r="K14" s="75">
        <v>1</v>
      </c>
      <c r="L14" s="75">
        <v>1</v>
      </c>
      <c r="M14" s="75">
        <v>1</v>
      </c>
      <c r="N14" s="75">
        <v>1</v>
      </c>
      <c r="O14" s="76">
        <v>1</v>
      </c>
      <c r="P14" s="78">
        <v>1</v>
      </c>
      <c r="Q14" s="78">
        <v>1</v>
      </c>
      <c r="R14" s="75">
        <v>1</v>
      </c>
      <c r="S14" s="81">
        <v>1</v>
      </c>
      <c r="T14" s="81">
        <v>1</v>
      </c>
      <c r="U14" s="81"/>
      <c r="V14" s="77"/>
      <c r="W14" s="67">
        <f t="shared" si="0"/>
        <v>5.0999999999999996</v>
      </c>
      <c r="X14" s="68">
        <f t="shared" si="1"/>
        <v>5</v>
      </c>
      <c r="Y14" s="117">
        <f t="shared" si="2"/>
        <v>10.1</v>
      </c>
      <c r="Z14" s="70">
        <f>'[1]cálculos teóricos'!I221</f>
        <v>10.979028081613723</v>
      </c>
      <c r="AA14" s="71">
        <f t="shared" si="3"/>
        <v>91.993571060394615</v>
      </c>
      <c r="AB14" s="3"/>
    </row>
    <row r="15" spans="1:28" ht="18" customHeight="1">
      <c r="A15" s="72">
        <v>7</v>
      </c>
      <c r="B15" s="56">
        <v>24.6</v>
      </c>
      <c r="C15" s="73">
        <f>'[1]cálculos teóricos'!K222</f>
        <v>0.97106562223120196</v>
      </c>
      <c r="D15" s="58">
        <f t="shared" si="4"/>
        <v>347.89600905835709</v>
      </c>
      <c r="E15" s="59">
        <f t="shared" si="5"/>
        <v>14.565710107255295</v>
      </c>
      <c r="F15" s="60">
        <f t="shared" si="6"/>
        <v>18.536220114069121</v>
      </c>
      <c r="G15" s="61">
        <f>'[1]cálculos teóricos'!T222</f>
        <v>25.7393199599484</v>
      </c>
      <c r="H15" s="74">
        <f t="shared" si="7"/>
        <v>72.015189767687545</v>
      </c>
      <c r="I15" s="182"/>
      <c r="J15" s="81">
        <v>0.1</v>
      </c>
      <c r="K15" s="80">
        <v>1</v>
      </c>
      <c r="L15" s="80">
        <v>1</v>
      </c>
      <c r="M15" s="80">
        <v>1</v>
      </c>
      <c r="N15" s="80">
        <v>1</v>
      </c>
      <c r="O15" s="77">
        <v>1</v>
      </c>
      <c r="P15" s="81">
        <v>1</v>
      </c>
      <c r="Q15" s="81">
        <v>1</v>
      </c>
      <c r="R15" s="80">
        <v>1</v>
      </c>
      <c r="S15" s="80">
        <v>1</v>
      </c>
      <c r="T15" s="80">
        <v>0.8</v>
      </c>
      <c r="U15" s="80"/>
      <c r="V15" s="77"/>
      <c r="W15" s="67">
        <f t="shared" si="0"/>
        <v>5.0999999999999996</v>
      </c>
      <c r="X15" s="68">
        <f t="shared" si="1"/>
        <v>4.8</v>
      </c>
      <c r="Y15" s="117">
        <f t="shared" si="2"/>
        <v>9.8999999999999986</v>
      </c>
      <c r="Z15" s="70">
        <f>'[1]cálculos teóricos'!I222</f>
        <v>10.996655203349142</v>
      </c>
      <c r="AA15" s="71">
        <f t="shared" si="3"/>
        <v>90.027374841986983</v>
      </c>
      <c r="AB15" s="3"/>
    </row>
    <row r="16" spans="1:28" ht="18" customHeight="1">
      <c r="A16" s="79">
        <v>8</v>
      </c>
      <c r="B16" s="75">
        <v>24</v>
      </c>
      <c r="C16" s="73">
        <f>'[1]cálculos teóricos'!K223</f>
        <v>0.97193535726175861</v>
      </c>
      <c r="D16" s="58">
        <f t="shared" si="4"/>
        <v>339.71473381155892</v>
      </c>
      <c r="E16" s="59">
        <f t="shared" si="5"/>
        <v>14.223176475222349</v>
      </c>
      <c r="F16" s="60">
        <f t="shared" si="6"/>
        <v>18.108053074027936</v>
      </c>
      <c r="G16" s="61">
        <f>'[1]cálculos teóricos'!T223</f>
        <v>25.891682389298744</v>
      </c>
      <c r="H16" s="74">
        <f t="shared" si="7"/>
        <v>69.937722863123597</v>
      </c>
      <c r="I16" s="183"/>
      <c r="J16" s="81"/>
      <c r="K16" s="80">
        <v>0.7</v>
      </c>
      <c r="L16" s="80">
        <v>1</v>
      </c>
      <c r="M16" s="80">
        <v>1</v>
      </c>
      <c r="N16" s="80">
        <v>1</v>
      </c>
      <c r="O16" s="77">
        <v>1</v>
      </c>
      <c r="P16" s="81">
        <v>1</v>
      </c>
      <c r="Q16" s="81">
        <v>1</v>
      </c>
      <c r="R16" s="80">
        <v>1</v>
      </c>
      <c r="S16" s="80">
        <v>1</v>
      </c>
      <c r="T16" s="80">
        <v>0.5</v>
      </c>
      <c r="U16" s="80"/>
      <c r="V16" s="77"/>
      <c r="W16" s="67">
        <f t="shared" si="0"/>
        <v>4.7</v>
      </c>
      <c r="X16" s="68">
        <f t="shared" si="1"/>
        <v>4.5</v>
      </c>
      <c r="Y16" s="117">
        <f t="shared" si="2"/>
        <v>9.1999999999999993</v>
      </c>
      <c r="Z16" s="70">
        <f>'[1]cálculos teóricos'!I223</f>
        <v>11.014511389611176</v>
      </c>
      <c r="AA16" s="71">
        <f t="shared" si="3"/>
        <v>83.526174467234071</v>
      </c>
      <c r="AB16" s="3"/>
    </row>
    <row r="17" spans="1:28" ht="18" customHeight="1">
      <c r="A17" s="79">
        <v>9</v>
      </c>
      <c r="B17" s="75">
        <v>22.2</v>
      </c>
      <c r="C17" s="73">
        <f>'[1]cálculos teóricos'!K224</f>
        <v>0.97281346956618042</v>
      </c>
      <c r="D17" s="58">
        <f t="shared" si="4"/>
        <v>314.52003100140092</v>
      </c>
      <c r="E17" s="59">
        <f t="shared" si="5"/>
        <v>13.168324657966652</v>
      </c>
      <c r="F17" s="60">
        <f t="shared" si="6"/>
        <v>16.789488302458317</v>
      </c>
      <c r="G17" s="61">
        <f>'[1]cálculos teóricos'!T224</f>
        <v>26.046163460798493</v>
      </c>
      <c r="H17" s="74">
        <f t="shared" si="7"/>
        <v>64.460504241739116</v>
      </c>
      <c r="I17" s="183"/>
      <c r="J17" s="81"/>
      <c r="K17" s="80">
        <v>0.4</v>
      </c>
      <c r="L17" s="80">
        <v>1</v>
      </c>
      <c r="M17" s="80">
        <v>1</v>
      </c>
      <c r="N17" s="80">
        <v>1</v>
      </c>
      <c r="O17" s="77">
        <v>1</v>
      </c>
      <c r="P17" s="78">
        <v>1</v>
      </c>
      <c r="Q17" s="81">
        <v>1</v>
      </c>
      <c r="R17" s="80">
        <v>1</v>
      </c>
      <c r="S17" s="80">
        <v>0.7</v>
      </c>
      <c r="T17" s="80"/>
      <c r="U17" s="80"/>
      <c r="V17" s="77"/>
      <c r="W17" s="67">
        <f t="shared" si="0"/>
        <v>4.4000000000000004</v>
      </c>
      <c r="X17" s="68">
        <f t="shared" si="1"/>
        <v>3.7</v>
      </c>
      <c r="Y17" s="117">
        <f t="shared" si="2"/>
        <v>8.1000000000000014</v>
      </c>
      <c r="Z17" s="70">
        <f>'[1]cálculos teóricos'!I224</f>
        <v>11.032589642507965</v>
      </c>
      <c r="AA17" s="71">
        <f t="shared" si="3"/>
        <v>73.41884600503171</v>
      </c>
      <c r="AB17" s="3"/>
    </row>
    <row r="18" spans="1:28" ht="18" customHeight="1">
      <c r="A18" s="79">
        <v>10</v>
      </c>
      <c r="B18" s="184">
        <v>-99</v>
      </c>
      <c r="C18" s="73">
        <f>'[1]cálculos teóricos'!K225</f>
        <v>0.97369944868287672</v>
      </c>
      <c r="D18" s="58">
        <f t="shared" si="4"/>
        <v>-999</v>
      </c>
      <c r="E18" s="59">
        <f t="shared" si="5"/>
        <v>-999</v>
      </c>
      <c r="F18" s="60">
        <f t="shared" si="6"/>
        <v>-999</v>
      </c>
      <c r="G18" s="61">
        <f>'[1]cálculos teóricos'!T225</f>
        <v>26.202696686531851</v>
      </c>
      <c r="H18" s="74">
        <f t="shared" si="7"/>
        <v>-999</v>
      </c>
      <c r="I18" s="183"/>
      <c r="J18" s="81">
        <v>0.2</v>
      </c>
      <c r="K18" s="80">
        <v>1</v>
      </c>
      <c r="L18" s="80">
        <v>1</v>
      </c>
      <c r="M18" s="80">
        <v>1</v>
      </c>
      <c r="N18" s="80">
        <v>1</v>
      </c>
      <c r="O18" s="77">
        <v>1</v>
      </c>
      <c r="P18" s="81">
        <v>1</v>
      </c>
      <c r="Q18" s="80">
        <v>1</v>
      </c>
      <c r="R18" s="80">
        <v>1</v>
      </c>
      <c r="S18" s="80">
        <v>1</v>
      </c>
      <c r="T18" s="80">
        <v>1</v>
      </c>
      <c r="U18" s="80"/>
      <c r="V18" s="77"/>
      <c r="W18" s="67">
        <f t="shared" si="0"/>
        <v>5.2</v>
      </c>
      <c r="X18" s="68">
        <f t="shared" si="1"/>
        <v>5</v>
      </c>
      <c r="Y18" s="117">
        <f t="shared" si="2"/>
        <v>10.199999999999999</v>
      </c>
      <c r="Z18" s="70">
        <f>'[1]cálculos teóricos'!I225</f>
        <v>11.050883067555807</v>
      </c>
      <c r="AA18" s="71">
        <f t="shared" si="3"/>
        <v>92.300316071084779</v>
      </c>
      <c r="AB18" s="3"/>
    </row>
    <row r="19" spans="1:28" ht="18" customHeight="1">
      <c r="A19" s="79">
        <v>11</v>
      </c>
      <c r="B19" s="75">
        <v>22.4</v>
      </c>
      <c r="C19" s="73">
        <f>'[1]cálculos teóricos'!K226</f>
        <v>0.97459278593784082</v>
      </c>
      <c r="D19" s="58">
        <f t="shared" si="4"/>
        <v>317.9339976513287</v>
      </c>
      <c r="E19" s="59">
        <f t="shared" si="5"/>
        <v>13.31126061366583</v>
      </c>
      <c r="F19" s="60">
        <f t="shared" si="6"/>
        <v>16.968158247082286</v>
      </c>
      <c r="G19" s="61">
        <f>'[1]cálculos teóricos'!T226</f>
        <v>26.361215168271393</v>
      </c>
      <c r="H19" s="74">
        <f t="shared" si="7"/>
        <v>64.367891004908302</v>
      </c>
      <c r="I19" s="183"/>
      <c r="J19" s="81">
        <v>0.3</v>
      </c>
      <c r="K19" s="80">
        <v>1</v>
      </c>
      <c r="L19" s="80">
        <v>1</v>
      </c>
      <c r="M19" s="80">
        <v>1</v>
      </c>
      <c r="N19" s="80">
        <v>1</v>
      </c>
      <c r="O19" s="77">
        <v>1</v>
      </c>
      <c r="P19" s="81">
        <v>1</v>
      </c>
      <c r="Q19" s="80">
        <v>1</v>
      </c>
      <c r="R19" s="80">
        <v>0.9</v>
      </c>
      <c r="S19" s="80">
        <v>0.8</v>
      </c>
      <c r="T19" s="80">
        <v>0.5</v>
      </c>
      <c r="U19" s="80"/>
      <c r="V19" s="77"/>
      <c r="W19" s="67">
        <f t="shared" si="0"/>
        <v>5.3</v>
      </c>
      <c r="X19" s="68">
        <f t="shared" si="1"/>
        <v>4.2</v>
      </c>
      <c r="Y19" s="117">
        <f t="shared" si="2"/>
        <v>9.5</v>
      </c>
      <c r="Z19" s="70">
        <f>'[1]cálculos teóricos'!I226</f>
        <v>11.069384878614876</v>
      </c>
      <c r="AA19" s="71">
        <f t="shared" si="3"/>
        <v>85.822293688181389</v>
      </c>
      <c r="AB19" s="3"/>
    </row>
    <row r="20" spans="1:28" ht="18" customHeight="1">
      <c r="A20" s="79">
        <v>12</v>
      </c>
      <c r="B20" s="75">
        <v>25</v>
      </c>
      <c r="C20" s="73">
        <f>'[1]cálculos teóricos'!K227</f>
        <v>0.97549297486618836</v>
      </c>
      <c r="D20" s="58">
        <f t="shared" si="4"/>
        <v>355.16479848659338</v>
      </c>
      <c r="E20" s="59">
        <f t="shared" si="5"/>
        <v>14.870039783036692</v>
      </c>
      <c r="F20" s="60">
        <f t="shared" si="6"/>
        <v>18.916632208795864</v>
      </c>
      <c r="G20" s="61">
        <f>'[1]cálculos teóricos'!T227</f>
        <v>26.521651640191784</v>
      </c>
      <c r="H20" s="74">
        <f t="shared" si="7"/>
        <v>71.325241977498024</v>
      </c>
      <c r="I20" s="183"/>
      <c r="J20" s="81"/>
      <c r="K20" s="80">
        <v>0.8</v>
      </c>
      <c r="L20" s="80">
        <v>1</v>
      </c>
      <c r="M20" s="80">
        <v>1</v>
      </c>
      <c r="N20" s="80">
        <v>1</v>
      </c>
      <c r="O20" s="77">
        <v>1</v>
      </c>
      <c r="P20" s="81">
        <v>1</v>
      </c>
      <c r="Q20" s="80">
        <v>1</v>
      </c>
      <c r="R20" s="80">
        <v>1</v>
      </c>
      <c r="S20" s="80">
        <v>1</v>
      </c>
      <c r="T20" s="80">
        <v>0.7</v>
      </c>
      <c r="U20" s="80"/>
      <c r="V20" s="77"/>
      <c r="W20" s="67">
        <f t="shared" si="0"/>
        <v>4.8</v>
      </c>
      <c r="X20" s="68">
        <f t="shared" si="1"/>
        <v>4.7</v>
      </c>
      <c r="Y20" s="117">
        <f t="shared" si="2"/>
        <v>9.5</v>
      </c>
      <c r="Z20" s="70">
        <f>'[1]cálculos teóricos'!I227</f>
        <v>11.088088402300205</v>
      </c>
      <c r="AA20" s="71">
        <f t="shared" si="3"/>
        <v>85.67752758923929</v>
      </c>
      <c r="AB20" s="3"/>
    </row>
    <row r="21" spans="1:28" ht="18" customHeight="1">
      <c r="A21" s="79">
        <v>13</v>
      </c>
      <c r="B21" s="75">
        <v>19.3</v>
      </c>
      <c r="C21" s="73">
        <f>'[1]cálculos teóricos'!K228</f>
        <v>0.97639951161751659</v>
      </c>
      <c r="D21" s="58">
        <f t="shared" si="4"/>
        <v>274.44202974762482</v>
      </c>
      <c r="E21" s="59">
        <f t="shared" si="5"/>
        <v>11.490338901473557</v>
      </c>
      <c r="F21" s="60">
        <f t="shared" si="6"/>
        <v>14.692006106841946</v>
      </c>
      <c r="G21" s="61">
        <f>'[1]cálculos teóricos'!T228</f>
        <v>26.683938510886904</v>
      </c>
      <c r="H21" s="74">
        <f t="shared" si="7"/>
        <v>55.059361274002661</v>
      </c>
      <c r="I21" s="183"/>
      <c r="J21" s="81"/>
      <c r="K21" s="80">
        <v>0.8</v>
      </c>
      <c r="L21" s="80">
        <v>1</v>
      </c>
      <c r="M21" s="80">
        <v>0.7</v>
      </c>
      <c r="N21" s="80">
        <v>0.5</v>
      </c>
      <c r="O21" s="77">
        <v>1</v>
      </c>
      <c r="P21" s="81">
        <v>0.9</v>
      </c>
      <c r="Q21" s="80">
        <v>0.2</v>
      </c>
      <c r="R21" s="80">
        <v>0.9</v>
      </c>
      <c r="S21" s="80"/>
      <c r="T21" s="80"/>
      <c r="U21" s="80"/>
      <c r="V21" s="77"/>
      <c r="W21" s="67">
        <f t="shared" si="0"/>
        <v>4</v>
      </c>
      <c r="X21" s="68">
        <f t="shared" si="1"/>
        <v>2</v>
      </c>
      <c r="Y21" s="117">
        <f t="shared" si="2"/>
        <v>6</v>
      </c>
      <c r="Z21" s="70">
        <f>'[1]cálculos teóricos'!I228</f>
        <v>11.106987081875399</v>
      </c>
      <c r="AA21" s="71">
        <f t="shared" si="3"/>
        <v>54.020050223979446</v>
      </c>
      <c r="AB21" s="3"/>
    </row>
    <row r="22" spans="1:28" ht="18" customHeight="1">
      <c r="A22" s="79">
        <v>14</v>
      </c>
      <c r="B22" s="75">
        <v>19.5</v>
      </c>
      <c r="C22" s="73">
        <f>'[1]cálculos teóricos'!K229</f>
        <v>0.97731189534482377</v>
      </c>
      <c r="D22" s="58">
        <f t="shared" si="4"/>
        <v>277.54509486315965</v>
      </c>
      <c r="E22" s="59">
        <f t="shared" si="5"/>
        <v>11.620258031730769</v>
      </c>
      <c r="F22" s="60">
        <f t="shared" si="6"/>
        <v>14.854405019663462</v>
      </c>
      <c r="G22" s="61">
        <f>'[1]cálculos teóricos'!T229</f>
        <v>26.848007904630741</v>
      </c>
      <c r="H22" s="74">
        <f t="shared" si="7"/>
        <v>55.32777356304851</v>
      </c>
      <c r="I22" s="183"/>
      <c r="J22" s="81"/>
      <c r="K22" s="80"/>
      <c r="L22" s="80">
        <v>0.4</v>
      </c>
      <c r="M22" s="80">
        <v>0.8</v>
      </c>
      <c r="N22" s="80">
        <v>1</v>
      </c>
      <c r="O22" s="77">
        <v>1</v>
      </c>
      <c r="P22" s="81">
        <v>1</v>
      </c>
      <c r="Q22" s="80">
        <v>1</v>
      </c>
      <c r="R22" s="80">
        <v>0.7</v>
      </c>
      <c r="S22" s="80">
        <v>0.3</v>
      </c>
      <c r="T22" s="80"/>
      <c r="U22" s="80"/>
      <c r="V22" s="77"/>
      <c r="W22" s="67">
        <f t="shared" si="0"/>
        <v>3.2</v>
      </c>
      <c r="X22" s="68">
        <f t="shared" si="1"/>
        <v>3</v>
      </c>
      <c r="Y22" s="117">
        <f t="shared" si="2"/>
        <v>6.2</v>
      </c>
      <c r="Z22" s="70">
        <f>'[1]cálculos teóricos'!I229</f>
        <v>11.126074480638078</v>
      </c>
      <c r="AA22" s="71">
        <f t="shared" si="3"/>
        <v>55.724955021552503</v>
      </c>
      <c r="AB22" s="3"/>
    </row>
    <row r="23" spans="1:28" ht="18" customHeight="1">
      <c r="A23" s="79">
        <v>15</v>
      </c>
      <c r="B23" s="75">
        <v>10.199999999999999</v>
      </c>
      <c r="C23" s="73">
        <f>'[1]cálculos teóricos'!K230</f>
        <v>0.97822962857678464</v>
      </c>
      <c r="D23" s="58">
        <f t="shared" si="4"/>
        <v>145.31376139693563</v>
      </c>
      <c r="E23" s="59">
        <f t="shared" si="5"/>
        <v>6.0839965621669014</v>
      </c>
      <c r="F23" s="60">
        <f t="shared" si="6"/>
        <v>7.9340781827086264</v>
      </c>
      <c r="G23" s="61">
        <f>'[1]cálculos teóricos'!T230</f>
        <v>27.01379170182711</v>
      </c>
      <c r="H23" s="74">
        <f t="shared" si="7"/>
        <v>29.37047220280445</v>
      </c>
      <c r="I23" s="183"/>
      <c r="J23" s="81">
        <v>0.1</v>
      </c>
      <c r="K23" s="80">
        <v>0.3</v>
      </c>
      <c r="L23" s="80">
        <v>0.4</v>
      </c>
      <c r="M23" s="80"/>
      <c r="N23" s="80"/>
      <c r="O23" s="77"/>
      <c r="P23" s="81">
        <v>0.3</v>
      </c>
      <c r="Q23" s="81"/>
      <c r="R23" s="81">
        <v>0.2</v>
      </c>
      <c r="S23" s="81"/>
      <c r="T23" s="80"/>
      <c r="U23" s="80"/>
      <c r="V23" s="77"/>
      <c r="W23" s="67">
        <f t="shared" si="0"/>
        <v>0.8</v>
      </c>
      <c r="X23" s="68">
        <f t="shared" si="1"/>
        <v>0.5</v>
      </c>
      <c r="Y23" s="117">
        <f t="shared" si="2"/>
        <v>1.3</v>
      </c>
      <c r="Z23" s="70">
        <f>'[1]cálculos teóricos'!I230</f>
        <v>11.145344284807122</v>
      </c>
      <c r="AA23" s="71">
        <f t="shared" si="3"/>
        <v>11.664063188896792</v>
      </c>
      <c r="AB23" s="3"/>
    </row>
    <row r="24" spans="1:28" ht="18" customHeight="1">
      <c r="A24" s="79">
        <v>16</v>
      </c>
      <c r="B24" s="75">
        <v>6.4</v>
      </c>
      <c r="C24" s="73">
        <f>'[1]cálculos teóricos'!K231</f>
        <v>0.97915221757325832</v>
      </c>
      <c r="D24" s="58">
        <f t="shared" si="4"/>
        <v>91.263253252020149</v>
      </c>
      <c r="E24" s="59">
        <f t="shared" si="5"/>
        <v>3.8210098871555793</v>
      </c>
      <c r="F24" s="60">
        <f t="shared" si="6"/>
        <v>5.1053448389444744</v>
      </c>
      <c r="G24" s="61">
        <f>'[1]cálculos teóricos'!T231</f>
        <v>27.181221578598191</v>
      </c>
      <c r="H24" s="74">
        <f t="shared" si="7"/>
        <v>18.782617345514353</v>
      </c>
      <c r="I24" s="183"/>
      <c r="J24" s="81"/>
      <c r="K24" s="80"/>
      <c r="L24" s="80"/>
      <c r="M24" s="80"/>
      <c r="N24" s="80"/>
      <c r="O24" s="77"/>
      <c r="P24" s="81"/>
      <c r="Q24" s="80"/>
      <c r="R24" s="80"/>
      <c r="S24" s="80"/>
      <c r="T24" s="80"/>
      <c r="U24" s="80"/>
      <c r="V24" s="77"/>
      <c r="W24" s="67">
        <f t="shared" si="0"/>
        <v>0</v>
      </c>
      <c r="X24" s="68">
        <f t="shared" si="1"/>
        <v>0</v>
      </c>
      <c r="Y24" s="117">
        <f t="shared" si="2"/>
        <v>0</v>
      </c>
      <c r="Z24" s="70">
        <f>'[1]cálculos teóricos'!I231</f>
        <v>11.16479030592296</v>
      </c>
      <c r="AA24" s="71">
        <f t="shared" si="3"/>
        <v>0</v>
      </c>
      <c r="AB24" s="3"/>
    </row>
    <row r="25" spans="1:28" ht="18" customHeight="1">
      <c r="A25" s="84">
        <v>17</v>
      </c>
      <c r="B25" s="75">
        <v>8.8000000000000007</v>
      </c>
      <c r="C25" s="73">
        <f>'[1]cálculos teóricos'!K232</f>
        <v>0.98007917266395439</v>
      </c>
      <c r="D25" s="58">
        <f t="shared" si="4"/>
        <v>125.60577067360521</v>
      </c>
      <c r="E25" s="59">
        <f t="shared" si="5"/>
        <v>5.2588624065625025</v>
      </c>
      <c r="F25" s="60">
        <f t="shared" si="6"/>
        <v>6.9026604882031286</v>
      </c>
      <c r="G25" s="61">
        <f>'[1]cálculos teóricos'!T232</f>
        <v>27.350229045466691</v>
      </c>
      <c r="H25" s="74">
        <f t="shared" si="7"/>
        <v>25.238035399002435</v>
      </c>
      <c r="I25" s="183"/>
      <c r="J25" s="81"/>
      <c r="K25" s="80"/>
      <c r="L25" s="80"/>
      <c r="M25" s="80"/>
      <c r="N25" s="80"/>
      <c r="O25" s="76"/>
      <c r="P25" s="81"/>
      <c r="Q25" s="80"/>
      <c r="R25" s="80"/>
      <c r="S25" s="80"/>
      <c r="T25" s="80"/>
      <c r="U25" s="80"/>
      <c r="V25" s="77"/>
      <c r="W25" s="67">
        <f t="shared" si="0"/>
        <v>0</v>
      </c>
      <c r="X25" s="68">
        <f t="shared" si="1"/>
        <v>0</v>
      </c>
      <c r="Y25" s="117">
        <f t="shared" si="2"/>
        <v>0</v>
      </c>
      <c r="Z25" s="70">
        <f>'[1]cálculos teóricos'!I232</f>
        <v>11.184406482772879</v>
      </c>
      <c r="AA25" s="71">
        <f t="shared" si="3"/>
        <v>0</v>
      </c>
      <c r="AB25" s="3"/>
    </row>
    <row r="26" spans="1:28" ht="18" customHeight="1">
      <c r="A26" s="84">
        <v>18</v>
      </c>
      <c r="B26" s="75">
        <v>5.9</v>
      </c>
      <c r="C26" s="73">
        <f>'[1]cálculos teóricos'!K233</f>
        <v>0.98101000857026255</v>
      </c>
      <c r="D26" s="58">
        <f t="shared" si="4"/>
        <v>84.292941632896813</v>
      </c>
      <c r="E26" s="59">
        <f t="shared" si="5"/>
        <v>3.5291768802861236</v>
      </c>
      <c r="F26" s="60">
        <f t="shared" si="6"/>
        <v>4.7405535803576546</v>
      </c>
      <c r="G26" s="61">
        <f>'[1]cálculos teóricos'!T233</f>
        <v>27.520745485092121</v>
      </c>
      <c r="H26" s="74">
        <f t="shared" si="7"/>
        <v>17.225382150078723</v>
      </c>
      <c r="I26" s="183"/>
      <c r="J26" s="81"/>
      <c r="K26" s="80"/>
      <c r="L26" s="80"/>
      <c r="M26" s="80"/>
      <c r="N26" s="80"/>
      <c r="O26" s="76"/>
      <c r="P26" s="81"/>
      <c r="Q26" s="80"/>
      <c r="R26" s="80"/>
      <c r="S26" s="80"/>
      <c r="T26" s="80"/>
      <c r="U26" s="80"/>
      <c r="V26" s="77"/>
      <c r="W26" s="67">
        <f t="shared" si="0"/>
        <v>0</v>
      </c>
      <c r="X26" s="68">
        <f t="shared" si="1"/>
        <v>0</v>
      </c>
      <c r="Y26" s="117">
        <f t="shared" si="2"/>
        <v>0</v>
      </c>
      <c r="Z26" s="70">
        <f>'[1]cálculos teóricos'!I233</f>
        <v>11.204186882854412</v>
      </c>
      <c r="AA26" s="71">
        <f t="shared" si="3"/>
        <v>0</v>
      </c>
      <c r="AB26" s="3"/>
    </row>
    <row r="27" spans="1:28" ht="18" customHeight="1">
      <c r="A27" s="84">
        <v>19</v>
      </c>
      <c r="B27" s="75">
        <v>14.6</v>
      </c>
      <c r="C27" s="73">
        <f>'[1]cálculos teóricos'!K234</f>
        <v>0.98194424471029895</v>
      </c>
      <c r="D27" s="58">
        <f t="shared" si="4"/>
        <v>208.78795711444121</v>
      </c>
      <c r="E27" s="59">
        <f t="shared" si="5"/>
        <v>8.7415341884674245</v>
      </c>
      <c r="F27" s="60">
        <f t="shared" si="6"/>
        <v>11.256000215584281</v>
      </c>
      <c r="G27" s="61">
        <f>'[1]cálculos teóricos'!T234</f>
        <v>27.692702189027393</v>
      </c>
      <c r="H27" s="74">
        <f t="shared" si="7"/>
        <v>40.646088412579026</v>
      </c>
      <c r="I27" s="183"/>
      <c r="J27" s="81"/>
      <c r="K27" s="80"/>
      <c r="L27" s="80"/>
      <c r="M27" s="80">
        <v>0.8</v>
      </c>
      <c r="N27" s="80">
        <v>1</v>
      </c>
      <c r="O27" s="76">
        <v>1</v>
      </c>
      <c r="P27" s="81">
        <v>0.8</v>
      </c>
      <c r="Q27" s="80"/>
      <c r="R27" s="80"/>
      <c r="S27" s="80"/>
      <c r="T27" s="80"/>
      <c r="U27" s="80"/>
      <c r="V27" s="77"/>
      <c r="W27" s="67">
        <f t="shared" si="0"/>
        <v>2.8</v>
      </c>
      <c r="X27" s="68">
        <f t="shared" si="1"/>
        <v>0.8</v>
      </c>
      <c r="Y27" s="117">
        <f t="shared" si="2"/>
        <v>3.5999999999999996</v>
      </c>
      <c r="Z27" s="70">
        <f>'[1]cálculos teóricos'!I234</f>
        <v>11.224125703390222</v>
      </c>
      <c r="AA27" s="71">
        <f t="shared" si="3"/>
        <v>32.073767660251946</v>
      </c>
      <c r="AB27" s="3"/>
    </row>
    <row r="28" spans="1:28" ht="18" customHeight="1">
      <c r="A28" s="84">
        <v>20</v>
      </c>
      <c r="B28" s="75">
        <v>1.9</v>
      </c>
      <c r="C28" s="73">
        <f>'[1]cálculos teóricos'!K235</f>
        <v>0.98288140548729619</v>
      </c>
      <c r="D28" s="58">
        <f t="shared" si="4"/>
        <v>27.196967362747053</v>
      </c>
      <c r="E28" s="59">
        <f t="shared" si="5"/>
        <v>1.1386826295434935</v>
      </c>
      <c r="F28" s="60">
        <f t="shared" si="6"/>
        <v>1.7524357669293666</v>
      </c>
      <c r="G28" s="61">
        <f>'[1]cálculos teóricos'!T235</f>
        <v>27.866030393466986</v>
      </c>
      <c r="H28" s="74">
        <f t="shared" si="7"/>
        <v>6.2887886871041889</v>
      </c>
      <c r="I28" s="183"/>
      <c r="J28" s="81"/>
      <c r="K28" s="80"/>
      <c r="L28" s="80"/>
      <c r="M28" s="80"/>
      <c r="N28" s="80"/>
      <c r="O28" s="76"/>
      <c r="P28" s="81"/>
      <c r="Q28" s="80"/>
      <c r="R28" s="80"/>
      <c r="S28" s="80"/>
      <c r="T28" s="80"/>
      <c r="U28" s="80"/>
      <c r="V28" s="77"/>
      <c r="W28" s="67">
        <f t="shared" si="0"/>
        <v>0</v>
      </c>
      <c r="X28" s="68">
        <f t="shared" si="1"/>
        <v>0</v>
      </c>
      <c r="Y28" s="117">
        <f t="shared" si="2"/>
        <v>0</v>
      </c>
      <c r="Z28" s="70">
        <f>'[1]cálculos teóricos'!I235</f>
        <v>11.244217271908742</v>
      </c>
      <c r="AA28" s="71">
        <f t="shared" si="3"/>
        <v>0</v>
      </c>
      <c r="AB28" s="3"/>
    </row>
    <row r="29" spans="1:28" ht="18" customHeight="1">
      <c r="A29" s="84">
        <v>21</v>
      </c>
      <c r="B29" s="75">
        <v>2.6</v>
      </c>
      <c r="C29" s="73">
        <f>'[1]cálculos teóricos'!K236</f>
        <v>0.98382102056150911</v>
      </c>
      <c r="D29" s="58">
        <f t="shared" si="4"/>
        <v>37.252481325663602</v>
      </c>
      <c r="E29" s="59">
        <f t="shared" si="5"/>
        <v>1.5596868881428836</v>
      </c>
      <c r="F29" s="60">
        <f t="shared" si="6"/>
        <v>2.2786910901786048</v>
      </c>
      <c r="G29" s="61">
        <f>'[1]cálculos teóricos'!T236</f>
        <v>28.040661313965174</v>
      </c>
      <c r="H29" s="74">
        <f t="shared" si="7"/>
        <v>8.1263814168453354</v>
      </c>
      <c r="I29" s="183"/>
      <c r="J29" s="81"/>
      <c r="K29" s="80"/>
      <c r="L29" s="80"/>
      <c r="M29" s="80"/>
      <c r="N29" s="80"/>
      <c r="O29" s="76"/>
      <c r="P29" s="81"/>
      <c r="Q29" s="80"/>
      <c r="R29" s="80"/>
      <c r="S29" s="80"/>
      <c r="T29" s="80"/>
      <c r="U29" s="80"/>
      <c r="V29" s="77"/>
      <c r="W29" s="67">
        <f t="shared" si="0"/>
        <v>0</v>
      </c>
      <c r="X29" s="68">
        <f t="shared" si="1"/>
        <v>0</v>
      </c>
      <c r="Y29" s="117">
        <f t="shared" si="2"/>
        <v>0</v>
      </c>
      <c r="Z29" s="70">
        <f>'[1]cálculos teóricos'!I236</f>
        <v>11.264456046405073</v>
      </c>
      <c r="AA29" s="71">
        <f t="shared" si="3"/>
        <v>0</v>
      </c>
      <c r="AB29" s="3"/>
    </row>
    <row r="30" spans="1:28" ht="18" customHeight="1">
      <c r="A30" s="84">
        <v>22</v>
      </c>
      <c r="B30" s="75">
        <v>11.4</v>
      </c>
      <c r="C30" s="73">
        <f>'[1]cálculos teóricos'!K237</f>
        <v>0.98476262510587231</v>
      </c>
      <c r="D30" s="58">
        <f t="shared" si="4"/>
        <v>163.49413159431484</v>
      </c>
      <c r="E30" s="59">
        <f t="shared" si="5"/>
        <v>6.8451723015907735</v>
      </c>
      <c r="F30" s="60">
        <f t="shared" si="6"/>
        <v>8.8855478569884667</v>
      </c>
      <c r="G30" s="61">
        <f>'[1]cálculos teóricos'!T237</f>
        <v>28.216526179107174</v>
      </c>
      <c r="H30" s="74">
        <f t="shared" si="7"/>
        <v>31.490580380400402</v>
      </c>
      <c r="I30" s="183"/>
      <c r="J30" s="81"/>
      <c r="K30" s="80"/>
      <c r="L30" s="80"/>
      <c r="M30" s="80"/>
      <c r="N30" s="80"/>
      <c r="O30" s="77"/>
      <c r="P30" s="81">
        <v>0.1</v>
      </c>
      <c r="Q30" s="80">
        <v>0.9</v>
      </c>
      <c r="R30" s="80">
        <v>0.1</v>
      </c>
      <c r="S30" s="80">
        <v>0.1</v>
      </c>
      <c r="T30" s="80"/>
      <c r="U30" s="80"/>
      <c r="V30" s="77"/>
      <c r="W30" s="67">
        <f t="shared" si="0"/>
        <v>0</v>
      </c>
      <c r="X30" s="68">
        <f t="shared" si="1"/>
        <v>1.2000000000000002</v>
      </c>
      <c r="Y30" s="117">
        <f t="shared" si="2"/>
        <v>1.2000000000000002</v>
      </c>
      <c r="Z30" s="70">
        <f>'[1]cálculos teóricos'!I237</f>
        <v>11.284836615097095</v>
      </c>
      <c r="AA30" s="71">
        <f t="shared" si="3"/>
        <v>10.633738359974256</v>
      </c>
      <c r="AB30" s="3"/>
    </row>
    <row r="31" spans="1:28" ht="18" customHeight="1">
      <c r="A31" s="84">
        <v>23</v>
      </c>
      <c r="B31" s="75">
        <v>25.4</v>
      </c>
      <c r="C31" s="73">
        <f>'[1]cálculos teóricos'!K238</f>
        <v>0.98570576004569876</v>
      </c>
      <c r="D31" s="58">
        <f t="shared" si="4"/>
        <v>364.62527624520857</v>
      </c>
      <c r="E31" s="59">
        <f t="shared" si="5"/>
        <v>15.266131065834394</v>
      </c>
      <c r="F31" s="60">
        <f t="shared" si="6"/>
        <v>19.411746312292991</v>
      </c>
      <c r="G31" s="61">
        <f>'[1]cálculos teóricos'!T238</f>
        <v>28.393556263123799</v>
      </c>
      <c r="H31" s="74">
        <f t="shared" si="7"/>
        <v>68.366731283689333</v>
      </c>
      <c r="I31" s="183"/>
      <c r="J31" s="81">
        <v>0.2</v>
      </c>
      <c r="K31" s="80">
        <v>1</v>
      </c>
      <c r="L31" s="80">
        <v>1</v>
      </c>
      <c r="M31" s="80">
        <v>0.8</v>
      </c>
      <c r="N31" s="80">
        <v>1</v>
      </c>
      <c r="O31" s="77">
        <v>1</v>
      </c>
      <c r="P31" s="81">
        <v>1</v>
      </c>
      <c r="Q31" s="80">
        <v>1</v>
      </c>
      <c r="R31" s="80">
        <v>1</v>
      </c>
      <c r="S31" s="80">
        <v>1</v>
      </c>
      <c r="T31" s="80">
        <v>1</v>
      </c>
      <c r="U31" s="80">
        <v>0.2</v>
      </c>
      <c r="V31" s="77"/>
      <c r="W31" s="67">
        <f t="shared" si="0"/>
        <v>5</v>
      </c>
      <c r="X31" s="68">
        <f t="shared" si="1"/>
        <v>5.2</v>
      </c>
      <c r="Y31" s="117">
        <f t="shared" si="2"/>
        <v>10.199999999999999</v>
      </c>
      <c r="Z31" s="70">
        <f>'[1]cálculos teóricos'!I238</f>
        <v>11.30535369579199</v>
      </c>
      <c r="AA31" s="71">
        <f t="shared" si="3"/>
        <v>90.222741140744503</v>
      </c>
      <c r="AB31" s="3"/>
    </row>
    <row r="32" spans="1:28" ht="18" customHeight="1">
      <c r="A32" s="79">
        <v>24</v>
      </c>
      <c r="B32" s="75">
        <v>27.6</v>
      </c>
      <c r="C32" s="73">
        <f>'[1]cálculos teóricos'!K239</f>
        <v>0.98664997228275131</v>
      </c>
      <c r="D32" s="58">
        <f t="shared" si="4"/>
        <v>396.58652164897984</v>
      </c>
      <c r="E32" s="59">
        <f t="shared" si="5"/>
        <v>16.604284488399486</v>
      </c>
      <c r="F32" s="60">
        <f t="shared" si="6"/>
        <v>21.084438090499361</v>
      </c>
      <c r="G32" s="61">
        <f>'[1]cálculos teóricos'!T239</f>
        <v>28.571682917445187</v>
      </c>
      <c r="H32" s="74">
        <f t="shared" si="7"/>
        <v>73.794876386597821</v>
      </c>
      <c r="I32" s="183"/>
      <c r="J32" s="81">
        <v>0.7</v>
      </c>
      <c r="K32" s="80">
        <v>1</v>
      </c>
      <c r="L32" s="80">
        <v>1</v>
      </c>
      <c r="M32" s="80">
        <v>1</v>
      </c>
      <c r="N32" s="80">
        <v>1</v>
      </c>
      <c r="O32" s="77">
        <v>1</v>
      </c>
      <c r="P32" s="81">
        <v>1</v>
      </c>
      <c r="Q32" s="80">
        <v>1</v>
      </c>
      <c r="R32" s="80">
        <v>1</v>
      </c>
      <c r="S32" s="80">
        <v>1</v>
      </c>
      <c r="T32" s="80">
        <v>1</v>
      </c>
      <c r="U32" s="80"/>
      <c r="V32" s="77"/>
      <c r="W32" s="67">
        <f t="shared" si="0"/>
        <v>5.7</v>
      </c>
      <c r="X32" s="68">
        <f t="shared" si="1"/>
        <v>5</v>
      </c>
      <c r="Y32" s="117">
        <f t="shared" si="2"/>
        <v>10.7</v>
      </c>
      <c r="Z32" s="70">
        <f>'[1]cálculos teóricos'!I239</f>
        <v>11.326002134878424</v>
      </c>
      <c r="AA32" s="71">
        <f t="shared" si="3"/>
        <v>94.472876418143613</v>
      </c>
      <c r="AB32" s="3"/>
    </row>
    <row r="33" spans="1:28" ht="18" customHeight="1">
      <c r="A33" s="84">
        <v>25</v>
      </c>
      <c r="B33" s="75">
        <v>23</v>
      </c>
      <c r="C33" s="73">
        <f>'[1]cálculos teóricos'!K240</f>
        <v>0.98759481490407497</v>
      </c>
      <c r="D33" s="58">
        <f t="shared" si="4"/>
        <v>330.8052529976764</v>
      </c>
      <c r="E33" s="59">
        <f t="shared" si="5"/>
        <v>13.850154332506715</v>
      </c>
      <c r="F33" s="60">
        <f t="shared" si="6"/>
        <v>17.641775395633395</v>
      </c>
      <c r="G33" s="61">
        <f>'[1]cálculos teóricos'!T240</f>
        <v>28.750837601195709</v>
      </c>
      <c r="H33" s="74">
        <f t="shared" si="7"/>
        <v>61.360909342341024</v>
      </c>
      <c r="I33" s="183"/>
      <c r="J33" s="81">
        <v>0.1</v>
      </c>
      <c r="K33" s="80">
        <v>0.5</v>
      </c>
      <c r="L33" s="80">
        <v>0.4</v>
      </c>
      <c r="M33" s="80"/>
      <c r="N33" s="80">
        <v>0.5</v>
      </c>
      <c r="O33" s="77">
        <v>0.8</v>
      </c>
      <c r="P33" s="81">
        <v>1</v>
      </c>
      <c r="Q33" s="80">
        <v>1</v>
      </c>
      <c r="R33" s="80">
        <v>1</v>
      </c>
      <c r="S33" s="80">
        <v>1</v>
      </c>
      <c r="T33" s="80">
        <v>1</v>
      </c>
      <c r="U33" s="80">
        <v>0.2</v>
      </c>
      <c r="V33" s="77"/>
      <c r="W33" s="67">
        <f t="shared" si="0"/>
        <v>2.2999999999999998</v>
      </c>
      <c r="X33" s="68">
        <f t="shared" si="1"/>
        <v>5.2</v>
      </c>
      <c r="Y33" s="117">
        <f t="shared" si="2"/>
        <v>7.5</v>
      </c>
      <c r="Z33" s="70">
        <f>'[1]cálculos teóricos'!I240</f>
        <v>11.346776905959914</v>
      </c>
      <c r="AA33" s="71">
        <f t="shared" si="3"/>
        <v>66.098065222914641</v>
      </c>
      <c r="AB33" s="3"/>
    </row>
    <row r="34" spans="1:28" ht="18" customHeight="1">
      <c r="A34" s="79">
        <v>26</v>
      </c>
      <c r="B34" s="75">
        <v>29.8</v>
      </c>
      <c r="C34" s="73">
        <f>'[1]cálculos teóricos'!K241</f>
        <v>0.98853984737601885</v>
      </c>
      <c r="D34" s="58">
        <f t="shared" si="4"/>
        <v>429.01868200436735</v>
      </c>
      <c r="E34" s="59">
        <f t="shared" si="5"/>
        <v>17.962154178158851</v>
      </c>
      <c r="F34" s="60">
        <f t="shared" si="6"/>
        <v>22.781775202698569</v>
      </c>
      <c r="G34" s="61">
        <f>'[1]cálculos teóricos'!T241</f>
        <v>28.930951910638235</v>
      </c>
      <c r="H34" s="74">
        <f t="shared" si="7"/>
        <v>78.745335698136685</v>
      </c>
      <c r="I34" s="183"/>
      <c r="J34" s="81">
        <v>0.4</v>
      </c>
      <c r="K34" s="80">
        <v>1</v>
      </c>
      <c r="L34" s="80">
        <v>1</v>
      </c>
      <c r="M34" s="80">
        <v>1</v>
      </c>
      <c r="N34" s="80">
        <v>1</v>
      </c>
      <c r="O34" s="77">
        <v>1</v>
      </c>
      <c r="P34" s="81">
        <v>1</v>
      </c>
      <c r="Q34" s="80">
        <v>1</v>
      </c>
      <c r="R34" s="80">
        <v>1</v>
      </c>
      <c r="S34" s="80">
        <v>1</v>
      </c>
      <c r="T34" s="80">
        <v>1</v>
      </c>
      <c r="U34" s="80">
        <v>0.3</v>
      </c>
      <c r="V34" s="77"/>
      <c r="W34" s="67">
        <f t="shared" si="0"/>
        <v>5.4</v>
      </c>
      <c r="X34" s="68">
        <f t="shared" si="1"/>
        <v>5.3</v>
      </c>
      <c r="Y34" s="117">
        <f t="shared" si="2"/>
        <v>10.7</v>
      </c>
      <c r="Z34" s="70">
        <f>'[1]cálculos teóricos'!I241</f>
        <v>11.367673108144633</v>
      </c>
      <c r="AA34" s="71">
        <f t="shared" si="3"/>
        <v>94.126563089976059</v>
      </c>
      <c r="AB34" s="3"/>
    </row>
    <row r="35" spans="1:28" ht="18" customHeight="1">
      <c r="A35" s="84">
        <v>27</v>
      </c>
      <c r="B35" s="75">
        <v>24.9</v>
      </c>
      <c r="C35" s="73">
        <f>'[1]cálculos teóricos'!K242</f>
        <v>0.98948463572391299</v>
      </c>
      <c r="D35" s="58">
        <f t="shared" si="4"/>
        <v>358.81795135989358</v>
      </c>
      <c r="E35" s="59">
        <f t="shared" si="5"/>
        <v>15.022989987536025</v>
      </c>
      <c r="F35" s="60">
        <f t="shared" si="6"/>
        <v>19.107819964420031</v>
      </c>
      <c r="G35" s="61">
        <f>'[1]cálculos teóricos'!T242</f>
        <v>29.111957607581996</v>
      </c>
      <c r="H35" s="74">
        <f t="shared" si="7"/>
        <v>65.635640934856056</v>
      </c>
      <c r="I35" s="183"/>
      <c r="J35" s="81">
        <v>0.2</v>
      </c>
      <c r="K35" s="80">
        <v>0.5</v>
      </c>
      <c r="L35" s="80">
        <v>1</v>
      </c>
      <c r="M35" s="80">
        <v>1</v>
      </c>
      <c r="N35" s="80">
        <v>1</v>
      </c>
      <c r="O35" s="77">
        <v>1</v>
      </c>
      <c r="P35" s="81">
        <v>1</v>
      </c>
      <c r="Q35" s="80">
        <v>1</v>
      </c>
      <c r="R35" s="80">
        <v>1</v>
      </c>
      <c r="S35" s="80">
        <v>1</v>
      </c>
      <c r="T35" s="80">
        <v>1</v>
      </c>
      <c r="U35" s="80">
        <v>0.3</v>
      </c>
      <c r="V35" s="77"/>
      <c r="W35" s="67">
        <f t="shared" si="0"/>
        <v>4.7</v>
      </c>
      <c r="X35" s="68">
        <f t="shared" si="1"/>
        <v>5.3</v>
      </c>
      <c r="Y35" s="117">
        <f t="shared" si="2"/>
        <v>10</v>
      </c>
      <c r="Z35" s="70">
        <f>'[1]cálculos teóricos'!I242</f>
        <v>11.388685964007152</v>
      </c>
      <c r="AA35" s="71">
        <f t="shared" si="3"/>
        <v>87.806442565929373</v>
      </c>
      <c r="AB35" s="3"/>
    </row>
    <row r="36" spans="1:28" ht="18" customHeight="1">
      <c r="A36" s="84">
        <v>28</v>
      </c>
      <c r="B36" s="75">
        <v>27.6</v>
      </c>
      <c r="C36" s="73">
        <f>'[1]cálculos teóricos'!K243</f>
        <v>0.99042875269791231</v>
      </c>
      <c r="D36" s="58">
        <f t="shared" si="4"/>
        <v>398.10541226168289</v>
      </c>
      <c r="E36" s="59">
        <f t="shared" si="5"/>
        <v>16.667877400572138</v>
      </c>
      <c r="F36" s="60">
        <f t="shared" si="6"/>
        <v>21.163929230715176</v>
      </c>
      <c r="G36" s="61">
        <f>'[1]cálculos teóricos'!T243</f>
        <v>29.29378664677364</v>
      </c>
      <c r="H36" s="74">
        <f t="shared" si="7"/>
        <v>72.247161099079449</v>
      </c>
      <c r="I36" s="183"/>
      <c r="J36" s="81"/>
      <c r="K36" s="80">
        <v>0.2</v>
      </c>
      <c r="L36" s="80">
        <v>1</v>
      </c>
      <c r="M36" s="80">
        <v>1</v>
      </c>
      <c r="N36" s="80">
        <v>1</v>
      </c>
      <c r="O36" s="77">
        <v>1</v>
      </c>
      <c r="P36" s="81">
        <v>1</v>
      </c>
      <c r="Q36" s="80">
        <v>1</v>
      </c>
      <c r="R36" s="80">
        <v>1</v>
      </c>
      <c r="S36" s="80">
        <v>1</v>
      </c>
      <c r="T36" s="80">
        <v>1</v>
      </c>
      <c r="U36" s="80">
        <v>0.1</v>
      </c>
      <c r="V36" s="77"/>
      <c r="W36" s="67">
        <f t="shared" si="0"/>
        <v>4.2</v>
      </c>
      <c r="X36" s="68">
        <f t="shared" si="1"/>
        <v>5.0999999999999996</v>
      </c>
      <c r="Y36" s="117">
        <f t="shared" si="2"/>
        <v>9.3000000000000007</v>
      </c>
      <c r="Z36" s="70">
        <f>'[1]cálculos teóricos'!I243</f>
        <v>11.409810817237096</v>
      </c>
      <c r="AA36" s="71">
        <f t="shared" si="3"/>
        <v>81.508801056983785</v>
      </c>
      <c r="AB36" s="3"/>
    </row>
    <row r="37" spans="1:28" ht="18" customHeight="1">
      <c r="A37" s="84">
        <v>29</v>
      </c>
      <c r="B37" s="75">
        <v>29</v>
      </c>
      <c r="C37" s="73">
        <f>'[1]cálculos teóricos'!K244</f>
        <v>0.99137177792554487</v>
      </c>
      <c r="D37" s="58">
        <f t="shared" si="4"/>
        <v>418.6974437467415</v>
      </c>
      <c r="E37" s="59">
        <f t="shared" si="5"/>
        <v>17.530024574788573</v>
      </c>
      <c r="F37" s="60">
        <f t="shared" si="6"/>
        <v>22.241613198485716</v>
      </c>
      <c r="G37" s="61">
        <f>'[1]cálculos teóricos'!T244</f>
        <v>29.476371202297315</v>
      </c>
      <c r="H37" s="74">
        <f t="shared" si="7"/>
        <v>75.455737227085336</v>
      </c>
      <c r="I37" s="183"/>
      <c r="J37" s="81">
        <v>0.5</v>
      </c>
      <c r="K37" s="80">
        <v>1</v>
      </c>
      <c r="L37" s="80">
        <v>1</v>
      </c>
      <c r="M37" s="80">
        <v>1</v>
      </c>
      <c r="N37" s="80">
        <v>1</v>
      </c>
      <c r="O37" s="77">
        <v>1</v>
      </c>
      <c r="P37" s="81">
        <v>1</v>
      </c>
      <c r="Q37" s="80">
        <v>1</v>
      </c>
      <c r="R37" s="80">
        <v>1</v>
      </c>
      <c r="S37" s="80">
        <v>1</v>
      </c>
      <c r="T37" s="80">
        <v>1</v>
      </c>
      <c r="U37" s="80">
        <v>0.2</v>
      </c>
      <c r="V37" s="77"/>
      <c r="W37" s="67">
        <f t="shared" si="0"/>
        <v>5.5</v>
      </c>
      <c r="X37" s="68">
        <f t="shared" si="1"/>
        <v>5.2</v>
      </c>
      <c r="Y37" s="117">
        <f t="shared" si="2"/>
        <v>10.7</v>
      </c>
      <c r="Z37" s="70">
        <f>'[1]cálculos teóricos'!I244</f>
        <v>11.431043129989952</v>
      </c>
      <c r="AA37" s="71">
        <f t="shared" si="3"/>
        <v>93.604755736840659</v>
      </c>
      <c r="AB37" s="3"/>
    </row>
    <row r="38" spans="1:28" ht="18" customHeight="1" thickBot="1">
      <c r="A38" s="79">
        <v>30</v>
      </c>
      <c r="B38" s="75">
        <v>28.6</v>
      </c>
      <c r="C38" s="73">
        <f>'[1]cálculos teóricos'!K245</f>
        <v>0.9923132980515369</v>
      </c>
      <c r="D38" s="58">
        <f t="shared" si="4"/>
        <v>413.31446488256375</v>
      </c>
      <c r="E38" s="59">
        <f t="shared" si="5"/>
        <v>17.304650015703178</v>
      </c>
      <c r="F38" s="60">
        <f t="shared" si="6"/>
        <v>21.959894999628979</v>
      </c>
      <c r="G38" s="61">
        <f>'[1]cálculos teóricos'!T245</f>
        <v>29.659643693014726</v>
      </c>
      <c r="H38" s="74">
        <f t="shared" si="7"/>
        <v>74.039645340718806</v>
      </c>
      <c r="I38" s="183"/>
      <c r="J38" s="81">
        <v>0.3</v>
      </c>
      <c r="K38" s="80">
        <v>1</v>
      </c>
      <c r="L38" s="80">
        <v>1</v>
      </c>
      <c r="M38" s="80">
        <v>1</v>
      </c>
      <c r="N38" s="80">
        <v>1</v>
      </c>
      <c r="O38" s="77">
        <v>1</v>
      </c>
      <c r="P38" s="81">
        <v>1</v>
      </c>
      <c r="Q38" s="80">
        <v>1</v>
      </c>
      <c r="R38" s="80">
        <v>1</v>
      </c>
      <c r="S38" s="80">
        <v>1</v>
      </c>
      <c r="T38" s="80">
        <v>1</v>
      </c>
      <c r="U38" s="80">
        <v>0.2</v>
      </c>
      <c r="V38" s="77"/>
      <c r="W38" s="67">
        <f t="shared" si="0"/>
        <v>5.3</v>
      </c>
      <c r="X38" s="68">
        <f t="shared" si="1"/>
        <v>5.2</v>
      </c>
      <c r="Y38" s="120">
        <f t="shared" si="2"/>
        <v>10.5</v>
      </c>
      <c r="Z38" s="70">
        <f>'[1]cálculos teóricos'!I245</f>
        <v>11.452378479954556</v>
      </c>
      <c r="AA38" s="71">
        <f t="shared" si="3"/>
        <v>91.684011477427745</v>
      </c>
      <c r="AB38" s="3"/>
    </row>
    <row r="39" spans="1:28" ht="18" customHeight="1" thickTop="1" thickBot="1">
      <c r="A39" s="86">
        <v>31</v>
      </c>
      <c r="B39" s="87">
        <v>17.899999999999999</v>
      </c>
      <c r="C39" s="88">
        <f>'[1]cálculos teóricos'!K246</f>
        <v>0.99325290686551726</v>
      </c>
      <c r="D39" s="89">
        <f t="shared" si="4"/>
        <v>258.9277728935337</v>
      </c>
      <c r="E39" s="90">
        <f t="shared" si="5"/>
        <v>10.840787995506469</v>
      </c>
      <c r="F39" s="91">
        <f t="shared" si="6"/>
        <v>13.880067474383086</v>
      </c>
      <c r="G39" s="92">
        <f>'[1]cálculos teóricos'!T246</f>
        <v>29.843536807081268</v>
      </c>
      <c r="H39" s="93">
        <f t="shared" si="7"/>
        <v>46.509458862428218</v>
      </c>
      <c r="I39" s="185"/>
      <c r="J39" s="81"/>
      <c r="K39" s="80"/>
      <c r="L39" s="80"/>
      <c r="M39" s="80"/>
      <c r="N39" s="80">
        <v>0.4</v>
      </c>
      <c r="O39" s="186">
        <v>0.8</v>
      </c>
      <c r="P39" s="81">
        <v>1</v>
      </c>
      <c r="Q39" s="80">
        <v>1</v>
      </c>
      <c r="R39" s="80">
        <v>0.8</v>
      </c>
      <c r="S39" s="80">
        <v>0.1</v>
      </c>
      <c r="T39" s="80"/>
      <c r="U39" s="80"/>
      <c r="V39" s="77"/>
      <c r="W39" s="67">
        <f t="shared" si="0"/>
        <v>1.2000000000000002</v>
      </c>
      <c r="X39" s="68">
        <f t="shared" si="1"/>
        <v>2.9</v>
      </c>
      <c r="Y39" s="124">
        <f t="shared" si="2"/>
        <v>4.0999999999999996</v>
      </c>
      <c r="Z39" s="98">
        <f>'[1]cálculos teóricos'!I246</f>
        <v>11.473812557151932</v>
      </c>
      <c r="AA39" s="99">
        <f t="shared" si="3"/>
        <v>35.733545232481248</v>
      </c>
      <c r="AB39" s="3"/>
    </row>
    <row r="40" spans="1:28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179">
        <f>SUM(I9:I39)</f>
        <v>0</v>
      </c>
      <c r="J40" s="179">
        <f t="shared" ref="J40:AA40" si="8">SUM(J9:J39)</f>
        <v>3.2</v>
      </c>
      <c r="K40" s="179">
        <f t="shared" si="8"/>
        <v>14.2</v>
      </c>
      <c r="L40" s="179">
        <f t="shared" si="8"/>
        <v>18.600000000000001</v>
      </c>
      <c r="M40" s="179">
        <f t="shared" si="8"/>
        <v>20.3</v>
      </c>
      <c r="N40" s="179">
        <f t="shared" si="8"/>
        <v>22.099999999999998</v>
      </c>
      <c r="O40" s="179">
        <f t="shared" si="8"/>
        <v>23.6</v>
      </c>
      <c r="P40" s="179">
        <f t="shared" si="8"/>
        <v>24.1</v>
      </c>
      <c r="Q40" s="179">
        <f t="shared" si="8"/>
        <v>23.1</v>
      </c>
      <c r="R40" s="179">
        <f t="shared" si="8"/>
        <v>22.2</v>
      </c>
      <c r="S40" s="179">
        <f t="shared" si="8"/>
        <v>19.5</v>
      </c>
      <c r="T40" s="179">
        <f t="shared" si="8"/>
        <v>15.8</v>
      </c>
      <c r="U40" s="179">
        <f t="shared" si="8"/>
        <v>1.5</v>
      </c>
      <c r="V40" s="179">
        <f t="shared" si="8"/>
        <v>0</v>
      </c>
      <c r="W40" s="103">
        <f>SUM(I40:O40)</f>
        <v>102</v>
      </c>
      <c r="X40" s="103">
        <f>SUM(P40:V40)</f>
        <v>106.2</v>
      </c>
      <c r="Y40" s="103">
        <f>W40+X40</f>
        <v>208.2</v>
      </c>
      <c r="Z40" s="103">
        <f t="shared" si="8"/>
        <v>346.32135512431353</v>
      </c>
      <c r="AA40" s="103">
        <f t="shared" si="8"/>
        <v>1865.3786323006054</v>
      </c>
      <c r="AB40" s="100"/>
    </row>
    <row r="41" spans="1:28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87"/>
      <c r="X41" s="187"/>
      <c r="Y41" s="187"/>
      <c r="Z41" s="100"/>
      <c r="AA41" s="100"/>
      <c r="AB41" s="100"/>
    </row>
    <row r="42" spans="1:28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</sheetData>
  <sheetProtection selectLockedCells="1" selectUnlockedCells="1"/>
  <mergeCells count="2">
    <mergeCell ref="I5:W5"/>
    <mergeCell ref="I7:U7"/>
  </mergeCells>
  <pageMargins left="0" right="0" top="0.39374999999999999" bottom="0.98402777777777772" header="0.51180555555555551" footer="0.51180555555555551"/>
  <pageSetup paperSize="39" scale="50" firstPageNumber="0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31" sqref="A31"/>
    </sheetView>
  </sheetViews>
  <sheetFormatPr defaultColWidth="11.42578125" defaultRowHeight="12.75"/>
  <cols>
    <col min="1" max="1" width="8.7109375" style="7" customWidth="1"/>
    <col min="2" max="2" width="12.7109375" style="7" customWidth="1"/>
    <col min="3" max="3" width="13.42578125" style="7" customWidth="1"/>
    <col min="4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89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41" t="s">
        <v>90</v>
      </c>
      <c r="S2" s="141"/>
      <c r="T2" s="141"/>
      <c r="U2" s="3"/>
      <c r="V2" s="8" t="s">
        <v>59</v>
      </c>
      <c r="W2" s="3"/>
      <c r="X2" s="108"/>
      <c r="Y2" s="3"/>
      <c r="Z2" s="3"/>
      <c r="AA2" s="3"/>
      <c r="AB2" s="3"/>
    </row>
    <row r="3" spans="1:28" ht="18" customHeight="1">
      <c r="A3" s="3"/>
      <c r="B3" s="142" t="s">
        <v>91</v>
      </c>
      <c r="C3" s="141"/>
      <c r="D3" s="141"/>
      <c r="E3" s="14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141" t="s">
        <v>92</v>
      </c>
      <c r="S3" s="141"/>
      <c r="T3" s="165"/>
      <c r="U3" s="3"/>
      <c r="V3" s="8" t="s">
        <v>86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52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158" t="s">
        <v>49</v>
      </c>
      <c r="Z8" s="51" t="s">
        <v>49</v>
      </c>
      <c r="AA8" s="54" t="s">
        <v>49</v>
      </c>
      <c r="AB8" s="3"/>
    </row>
    <row r="9" spans="1:28" ht="18" customHeight="1">
      <c r="A9" s="109">
        <v>1</v>
      </c>
      <c r="B9" s="56">
        <v>17.2</v>
      </c>
      <c r="C9" s="73">
        <f>'[1]cálculos teóricos'!K247</f>
        <v>0.99419020541821523</v>
      </c>
      <c r="D9" s="58">
        <f>IF(B9&gt;0,B9*C9*14.25*1.022,-999)</f>
        <v>249.03689177366064</v>
      </c>
      <c r="E9" s="59">
        <f>IF(B9&gt;0,D9*4.1868/100,-999)</f>
        <v>10.426676584779623</v>
      </c>
      <c r="F9" s="60">
        <f>IF(B9&gt;0,(7.86+1.25*D9)*4.1868/100,-999)</f>
        <v>13.362428210974528</v>
      </c>
      <c r="G9" s="61">
        <f>'[1]cálculos teóricos'!T247</f>
        <v>30.02798352557965</v>
      </c>
      <c r="H9" s="62">
        <f>IF(B9&gt;0,100*F9/G9,-999)</f>
        <v>44.499918549614243</v>
      </c>
      <c r="I9" s="63"/>
      <c r="J9" s="63"/>
      <c r="K9" s="160"/>
      <c r="L9" s="160"/>
      <c r="M9" s="160">
        <v>0.7</v>
      </c>
      <c r="N9" s="160">
        <v>0.4</v>
      </c>
      <c r="O9" s="168">
        <v>0.8</v>
      </c>
      <c r="P9" s="160"/>
      <c r="Q9" s="160">
        <v>0.7</v>
      </c>
      <c r="R9" s="160">
        <v>0.8</v>
      </c>
      <c r="S9" s="160">
        <v>0.2</v>
      </c>
      <c r="T9" s="63"/>
      <c r="U9" s="63"/>
      <c r="V9" s="64"/>
      <c r="W9" s="67">
        <f t="shared" ref="W9:W38" si="0">SUM(I9:O9)</f>
        <v>1.9000000000000001</v>
      </c>
      <c r="X9" s="68">
        <f>SUM(P9:V9)</f>
        <v>1.7</v>
      </c>
      <c r="Y9" s="114">
        <f>W9+X9</f>
        <v>3.6</v>
      </c>
      <c r="Z9" s="70">
        <f>'[1]cálculos teóricos'!I247</f>
        <v>11.495341160479503</v>
      </c>
      <c r="AA9" s="71">
        <f>100*Y9/Z9</f>
        <v>31.317034873020106</v>
      </c>
      <c r="AB9" s="3"/>
    </row>
    <row r="10" spans="1:28" ht="18" customHeight="1">
      <c r="A10" s="109">
        <v>2</v>
      </c>
      <c r="B10" s="132">
        <v>-99</v>
      </c>
      <c r="C10" s="73">
        <f>'[1]cálculos teóricos'!K248</f>
        <v>0.99512480212680143</v>
      </c>
      <c r="D10" s="58">
        <f>IF(B10&gt;0,B10*C10*14.25*1.022,-999)</f>
        <v>-999</v>
      </c>
      <c r="E10" s="59">
        <f>IF(B10&gt;0,D10*4.1868/100,-999)</f>
        <v>-999</v>
      </c>
      <c r="F10" s="60">
        <f>IF(B10&gt;0,(7.86+1.25*D10)*4.1868/100,-999)</f>
        <v>-999</v>
      </c>
      <c r="G10" s="61">
        <f>'[1]cálculos teóricos'!T248</f>
        <v>30.21291714531624</v>
      </c>
      <c r="H10" s="74">
        <f>IF(B10&gt;0,100*F10/G10,-999)</f>
        <v>-999</v>
      </c>
      <c r="I10" s="56"/>
      <c r="J10" s="75"/>
      <c r="K10" s="75"/>
      <c r="L10" s="78"/>
      <c r="M10" s="78"/>
      <c r="N10" s="78">
        <v>0.8</v>
      </c>
      <c r="O10" s="75">
        <v>1</v>
      </c>
      <c r="P10" s="78">
        <v>1</v>
      </c>
      <c r="Q10" s="78">
        <v>1</v>
      </c>
      <c r="R10" s="78">
        <v>1</v>
      </c>
      <c r="S10" s="78">
        <v>1</v>
      </c>
      <c r="T10" s="81">
        <v>1</v>
      </c>
      <c r="U10" s="81"/>
      <c r="V10" s="77"/>
      <c r="W10" s="67">
        <f t="shared" si="0"/>
        <v>1.8</v>
      </c>
      <c r="X10" s="68">
        <f t="shared" ref="X10:X38" si="1">SUM(P10:V10)</f>
        <v>5</v>
      </c>
      <c r="Y10" s="117">
        <f t="shared" ref="Y10:Y38" si="2">W10+X10</f>
        <v>6.8</v>
      </c>
      <c r="Z10" s="70">
        <f>'[1]cálculos teóricos'!I248</f>
        <v>11.516960194014535</v>
      </c>
      <c r="AA10" s="71">
        <f t="shared" ref="AA10:AA38" si="3">100*Y10/Z10</f>
        <v>59.043357669448397</v>
      </c>
      <c r="AB10" s="3"/>
    </row>
    <row r="11" spans="1:28" ht="18" customHeight="1">
      <c r="A11" s="109">
        <v>3</v>
      </c>
      <c r="B11" s="56">
        <v>29.4</v>
      </c>
      <c r="C11" s="73">
        <f>'[1]cálculos teóricos'!K249</f>
        <v>0.99605631287002294</v>
      </c>
      <c r="D11" s="58">
        <f t="shared" ref="D11:D38" si="4">IF(B11&gt;0,B11*C11*14.25*1.022,-999)</f>
        <v>426.4783437069878</v>
      </c>
      <c r="E11" s="59">
        <f t="shared" ref="E11:E38" si="5">IF(B11&gt;0,D11*4.1868/100,-999)</f>
        <v>17.855795294324164</v>
      </c>
      <c r="F11" s="60">
        <f t="shared" ref="F11:F38" si="6">IF(B11&gt;0,(7.86+1.25*D11)*4.1868/100,-999)</f>
        <v>22.648826597905209</v>
      </c>
      <c r="G11" s="61">
        <f>'[1]cálculos teóricos'!T249</f>
        <v>30.398271300830679</v>
      </c>
      <c r="H11" s="74">
        <f t="shared" ref="H11:H38" si="7">IF(B11&gt;0,100*F11/G11,-999)</f>
        <v>74.506955917872517</v>
      </c>
      <c r="I11" s="56"/>
      <c r="J11" s="75">
        <v>0.2</v>
      </c>
      <c r="K11" s="75">
        <v>1</v>
      </c>
      <c r="L11" s="78">
        <v>1</v>
      </c>
      <c r="M11" s="78">
        <v>1</v>
      </c>
      <c r="N11" s="78">
        <v>1</v>
      </c>
      <c r="O11" s="75">
        <v>1</v>
      </c>
      <c r="P11" s="78">
        <v>1</v>
      </c>
      <c r="Q11" s="78">
        <v>1</v>
      </c>
      <c r="R11" s="78">
        <v>1</v>
      </c>
      <c r="S11" s="78">
        <v>1</v>
      </c>
      <c r="T11" s="81">
        <v>1</v>
      </c>
      <c r="U11" s="81"/>
      <c r="V11" s="77"/>
      <c r="W11" s="67">
        <f t="shared" si="0"/>
        <v>5.2</v>
      </c>
      <c r="X11" s="68">
        <f t="shared" si="1"/>
        <v>5</v>
      </c>
      <c r="Y11" s="117">
        <f t="shared" si="2"/>
        <v>10.199999999999999</v>
      </c>
      <c r="Z11" s="70">
        <f>'[1]cálculos teóricos'!I249</f>
        <v>11.538665663090258</v>
      </c>
      <c r="AA11" s="71">
        <f t="shared" si="3"/>
        <v>88.398436160843389</v>
      </c>
      <c r="AB11" s="3"/>
    </row>
    <row r="12" spans="1:28" ht="18" customHeight="1">
      <c r="A12" s="109">
        <v>4</v>
      </c>
      <c r="B12" s="56">
        <v>26</v>
      </c>
      <c r="C12" s="73">
        <f>'[1]cálculos teóricos'!K250</f>
        <v>0.99698436107380495</v>
      </c>
      <c r="D12" s="58">
        <f t="shared" si="4"/>
        <v>377.50912530495731</v>
      </c>
      <c r="E12" s="59">
        <f t="shared" si="5"/>
        <v>15.805552058267951</v>
      </c>
      <c r="F12" s="60">
        <f t="shared" si="6"/>
        <v>20.08602255283494</v>
      </c>
      <c r="G12" s="61">
        <f>'[1]cálculos teóricos'!T250</f>
        <v>30.583979985672055</v>
      </c>
      <c r="H12" s="74">
        <f t="shared" si="7"/>
        <v>65.674979391971931</v>
      </c>
      <c r="I12" s="56"/>
      <c r="J12" s="75">
        <v>0.4</v>
      </c>
      <c r="K12" s="75">
        <v>1</v>
      </c>
      <c r="L12" s="78">
        <v>1</v>
      </c>
      <c r="M12" s="78">
        <v>1</v>
      </c>
      <c r="N12" s="78">
        <v>1</v>
      </c>
      <c r="O12" s="75">
        <v>1</v>
      </c>
      <c r="P12" s="78">
        <v>1</v>
      </c>
      <c r="Q12" s="78">
        <v>1</v>
      </c>
      <c r="R12" s="78">
        <v>1</v>
      </c>
      <c r="S12" s="78">
        <v>0.8</v>
      </c>
      <c r="T12" s="81"/>
      <c r="U12" s="81"/>
      <c r="V12" s="77"/>
      <c r="W12" s="67">
        <f t="shared" si="0"/>
        <v>5.4</v>
      </c>
      <c r="X12" s="68">
        <f t="shared" si="1"/>
        <v>3.8</v>
      </c>
      <c r="Y12" s="117">
        <f t="shared" si="2"/>
        <v>9.1999999999999993</v>
      </c>
      <c r="Z12" s="70">
        <f>'[1]cálculos teóricos'!I250</f>
        <v>11.560453670157653</v>
      </c>
      <c r="AA12" s="71">
        <f t="shared" si="3"/>
        <v>79.581651918635615</v>
      </c>
      <c r="AB12" s="3"/>
    </row>
    <row r="13" spans="1:28" ht="18" customHeight="1">
      <c r="A13" s="72">
        <v>5</v>
      </c>
      <c r="B13" s="56">
        <v>27.8</v>
      </c>
      <c r="C13" s="73">
        <f>'[1]cálculos teóricos'!K251</f>
        <v>0.99790857778799535</v>
      </c>
      <c r="D13" s="58">
        <f t="shared" si="4"/>
        <v>404.0185557187101</v>
      </c>
      <c r="E13" s="59">
        <f t="shared" si="5"/>
        <v>16.915448890830952</v>
      </c>
      <c r="F13" s="60">
        <f t="shared" si="6"/>
        <v>21.473393593538695</v>
      </c>
      <c r="G13" s="61">
        <f>'[1]cálculos teóricos'!T251</f>
        <v>30.769977572999139</v>
      </c>
      <c r="H13" s="74">
        <f t="shared" si="7"/>
        <v>69.786835374172455</v>
      </c>
      <c r="I13" s="56"/>
      <c r="J13" s="75"/>
      <c r="K13" s="75"/>
      <c r="L13" s="75">
        <v>0.6</v>
      </c>
      <c r="M13" s="75">
        <v>1</v>
      </c>
      <c r="N13" s="75">
        <v>1</v>
      </c>
      <c r="O13" s="75">
        <v>1</v>
      </c>
      <c r="P13" s="78">
        <v>1</v>
      </c>
      <c r="Q13" s="78">
        <v>1</v>
      </c>
      <c r="R13" s="75">
        <v>1</v>
      </c>
      <c r="S13" s="75">
        <v>1</v>
      </c>
      <c r="T13" s="75">
        <v>0.6</v>
      </c>
      <c r="U13" s="81"/>
      <c r="V13" s="77"/>
      <c r="W13" s="67">
        <f t="shared" si="0"/>
        <v>3.6</v>
      </c>
      <c r="X13" s="68">
        <f t="shared" si="1"/>
        <v>4.5999999999999996</v>
      </c>
      <c r="Y13" s="117">
        <f t="shared" si="2"/>
        <v>8.1999999999999993</v>
      </c>
      <c r="Z13" s="70">
        <f>'[1]cálculos teóricos'!I251</f>
        <v>11.582320410445583</v>
      </c>
      <c r="AA13" s="71">
        <f t="shared" si="3"/>
        <v>70.797557910803278</v>
      </c>
      <c r="AB13" s="3"/>
    </row>
    <row r="14" spans="1:28" ht="18" customHeight="1">
      <c r="A14" s="109">
        <v>6</v>
      </c>
      <c r="B14" s="56">
        <v>29.2</v>
      </c>
      <c r="C14" s="73">
        <f>'[1]cálculos teóricos'!K252</f>
        <v>0.99882860175493227</v>
      </c>
      <c r="D14" s="58">
        <f t="shared" si="4"/>
        <v>424.75605797641231</v>
      </c>
      <c r="E14" s="59">
        <f t="shared" si="5"/>
        <v>17.783686635356432</v>
      </c>
      <c r="F14" s="60">
        <f t="shared" si="6"/>
        <v>22.55869077419554</v>
      </c>
      <c r="G14" s="61">
        <f>'[1]cálculos teóricos'!T252</f>
        <v>30.956198835564976</v>
      </c>
      <c r="H14" s="74">
        <f t="shared" si="7"/>
        <v>72.872935382099612</v>
      </c>
      <c r="I14" s="56"/>
      <c r="J14" s="75">
        <v>0.3</v>
      </c>
      <c r="K14" s="75">
        <v>1</v>
      </c>
      <c r="L14" s="75">
        <v>1</v>
      </c>
      <c r="M14" s="75">
        <v>1</v>
      </c>
      <c r="N14" s="75">
        <v>1</v>
      </c>
      <c r="O14" s="75">
        <v>1</v>
      </c>
      <c r="P14" s="78">
        <v>1</v>
      </c>
      <c r="Q14" s="78">
        <v>1</v>
      </c>
      <c r="R14" s="75">
        <v>1</v>
      </c>
      <c r="S14" s="75">
        <v>1</v>
      </c>
      <c r="T14" s="75">
        <v>1</v>
      </c>
      <c r="U14" s="81">
        <v>0.1</v>
      </c>
      <c r="V14" s="77"/>
      <c r="W14" s="67">
        <f t="shared" si="0"/>
        <v>5.3</v>
      </c>
      <c r="X14" s="68">
        <f t="shared" si="1"/>
        <v>5.0999999999999996</v>
      </c>
      <c r="Y14" s="117">
        <f t="shared" si="2"/>
        <v>10.399999999999999</v>
      </c>
      <c r="Z14" s="70">
        <f>'[1]cálculos teóricos'!I252</f>
        <v>11.604262167431463</v>
      </c>
      <c r="AA14" s="71">
        <f t="shared" si="3"/>
        <v>89.62224267208174</v>
      </c>
      <c r="AB14" s="3"/>
    </row>
    <row r="15" spans="1:28" ht="18" customHeight="1">
      <c r="A15" s="72">
        <v>7</v>
      </c>
      <c r="B15" s="56">
        <v>26</v>
      </c>
      <c r="C15" s="73">
        <f>'[1]cálculos teóricos'!K253</f>
        <v>0.99974407947051991</v>
      </c>
      <c r="D15" s="58">
        <f t="shared" si="4"/>
        <v>378.55409543559188</v>
      </c>
      <c r="E15" s="59">
        <f t="shared" si="5"/>
        <v>15.849302867697361</v>
      </c>
      <c r="F15" s="60">
        <f t="shared" si="6"/>
        <v>20.140711064621701</v>
      </c>
      <c r="G15" s="61">
        <f>'[1]cálculos teóricos'!T253</f>
        <v>31.142578965148473</v>
      </c>
      <c r="H15" s="74">
        <f t="shared" si="7"/>
        <v>64.672585681362747</v>
      </c>
      <c r="I15" s="56"/>
      <c r="J15" s="75">
        <v>0.3</v>
      </c>
      <c r="K15" s="75">
        <v>1</v>
      </c>
      <c r="L15" s="75">
        <v>1</v>
      </c>
      <c r="M15" s="75">
        <v>1</v>
      </c>
      <c r="N15" s="75">
        <v>1</v>
      </c>
      <c r="O15" s="75">
        <v>1</v>
      </c>
      <c r="P15" s="78">
        <v>1</v>
      </c>
      <c r="Q15" s="78">
        <v>1</v>
      </c>
      <c r="R15" s="75">
        <v>1</v>
      </c>
      <c r="S15" s="75">
        <v>1</v>
      </c>
      <c r="T15" s="81">
        <v>0.1</v>
      </c>
      <c r="U15" s="81"/>
      <c r="V15" s="77"/>
      <c r="W15" s="67">
        <f t="shared" si="0"/>
        <v>5.3</v>
      </c>
      <c r="X15" s="68">
        <f t="shared" si="1"/>
        <v>4.0999999999999996</v>
      </c>
      <c r="Y15" s="117">
        <f t="shared" si="2"/>
        <v>9.3999999999999986</v>
      </c>
      <c r="Z15" s="70">
        <f>'[1]cálculos teóricos'!I253</f>
        <v>11.626275308134208</v>
      </c>
      <c r="AA15" s="71">
        <f t="shared" si="3"/>
        <v>80.851345343795387</v>
      </c>
      <c r="AB15" s="3"/>
    </row>
    <row r="16" spans="1:28" ht="18" customHeight="1">
      <c r="A16" s="79">
        <v>8</v>
      </c>
      <c r="B16" s="75">
        <v>25</v>
      </c>
      <c r="C16" s="73">
        <f>'[1]cálculos teóricos'!K254</f>
        <v>1.0006546652384873</v>
      </c>
      <c r="D16" s="58">
        <f t="shared" si="4"/>
        <v>364.32585543001778</v>
      </c>
      <c r="E16" s="59">
        <f t="shared" si="5"/>
        <v>15.253594915143983</v>
      </c>
      <c r="F16" s="60">
        <f t="shared" si="6"/>
        <v>19.39607612392998</v>
      </c>
      <c r="G16" s="61">
        <f>'[1]cálculos teóricos'!T254</f>
        <v>31.329053591497956</v>
      </c>
      <c r="H16" s="74">
        <f t="shared" si="7"/>
        <v>61.910826853683396</v>
      </c>
      <c r="I16" s="78"/>
      <c r="J16" s="80"/>
      <c r="K16" s="80">
        <v>0.2</v>
      </c>
      <c r="L16" s="80">
        <v>1</v>
      </c>
      <c r="M16" s="80">
        <v>1</v>
      </c>
      <c r="N16" s="80">
        <v>1</v>
      </c>
      <c r="O16" s="80">
        <v>1</v>
      </c>
      <c r="P16" s="81">
        <v>1</v>
      </c>
      <c r="Q16" s="81">
        <v>1</v>
      </c>
      <c r="R16" s="80">
        <v>1</v>
      </c>
      <c r="S16" s="80">
        <v>0.8</v>
      </c>
      <c r="T16" s="80"/>
      <c r="U16" s="80"/>
      <c r="V16" s="77"/>
      <c r="W16" s="67">
        <f t="shared" si="0"/>
        <v>4.2</v>
      </c>
      <c r="X16" s="68">
        <f t="shared" si="1"/>
        <v>3.8</v>
      </c>
      <c r="Y16" s="117">
        <f t="shared" si="2"/>
        <v>8</v>
      </c>
      <c r="Z16" s="70">
        <f>'[1]cálculos teóricos'!I254</f>
        <v>11.648356278240907</v>
      </c>
      <c r="AA16" s="71">
        <f t="shared" si="3"/>
        <v>68.679217984978493</v>
      </c>
      <c r="AB16" s="3"/>
    </row>
    <row r="17" spans="1:28" ht="18" customHeight="1">
      <c r="A17" s="79">
        <v>9</v>
      </c>
      <c r="B17" s="75">
        <v>23.2</v>
      </c>
      <c r="C17" s="73">
        <f>'[1]cálculos teóricos'!K255</f>
        <v>1.0015600212185085</v>
      </c>
      <c r="D17" s="58">
        <f t="shared" si="4"/>
        <v>338.40028936116533</v>
      </c>
      <c r="E17" s="59">
        <f t="shared" si="5"/>
        <v>14.168143314973269</v>
      </c>
      <c r="F17" s="60">
        <f t="shared" si="6"/>
        <v>18.039261623716587</v>
      </c>
      <c r="G17" s="61">
        <f>'[1]cálculos teóricos'!T255</f>
        <v>31.515558800853107</v>
      </c>
      <c r="H17" s="74">
        <f t="shared" si="7"/>
        <v>57.23922503708954</v>
      </c>
      <c r="I17" s="78"/>
      <c r="J17" s="80"/>
      <c r="K17" s="80"/>
      <c r="L17" s="80"/>
      <c r="M17" s="80">
        <v>1</v>
      </c>
      <c r="N17" s="80">
        <v>1</v>
      </c>
      <c r="O17" s="80">
        <v>1</v>
      </c>
      <c r="P17" s="81">
        <v>1</v>
      </c>
      <c r="Q17" s="81">
        <v>1</v>
      </c>
      <c r="R17" s="80">
        <v>1</v>
      </c>
      <c r="S17" s="80">
        <v>1</v>
      </c>
      <c r="T17" s="80">
        <v>0.3</v>
      </c>
      <c r="U17" s="80"/>
      <c r="V17" s="77"/>
      <c r="W17" s="67">
        <f t="shared" si="0"/>
        <v>3</v>
      </c>
      <c r="X17" s="68">
        <f t="shared" si="1"/>
        <v>4.3</v>
      </c>
      <c r="Y17" s="117">
        <f t="shared" si="2"/>
        <v>7.3</v>
      </c>
      <c r="Z17" s="70">
        <f>'[1]cálculos teóricos'!I255</f>
        <v>11.670501597078111</v>
      </c>
      <c r="AA17" s="71">
        <f t="shared" si="3"/>
        <v>62.550867580770195</v>
      </c>
      <c r="AB17" s="3"/>
    </row>
    <row r="18" spans="1:28" ht="18" customHeight="1">
      <c r="A18" s="79">
        <v>10</v>
      </c>
      <c r="B18" s="75">
        <v>27.1</v>
      </c>
      <c r="C18" s="73">
        <f>'[1]cálculos teóricos'!K256</f>
        <v>1.0024598174688395</v>
      </c>
      <c r="D18" s="58">
        <f t="shared" si="4"/>
        <v>395.64166825127177</v>
      </c>
      <c r="E18" s="59">
        <f t="shared" si="5"/>
        <v>16.564725366344245</v>
      </c>
      <c r="F18" s="60">
        <f t="shared" si="6"/>
        <v>21.034989187930311</v>
      </c>
      <c r="G18" s="61">
        <f>'[1]cálculos teóricos'!T256</f>
        <v>31.702031154112685</v>
      </c>
      <c r="H18" s="74">
        <f t="shared" si="7"/>
        <v>66.352181302431958</v>
      </c>
      <c r="I18" s="78"/>
      <c r="J18" s="80"/>
      <c r="K18" s="80">
        <v>0.6</v>
      </c>
      <c r="L18" s="80">
        <v>1</v>
      </c>
      <c r="M18" s="80">
        <v>1</v>
      </c>
      <c r="N18" s="80">
        <v>1</v>
      </c>
      <c r="O18" s="80">
        <v>1</v>
      </c>
      <c r="P18" s="81">
        <v>1</v>
      </c>
      <c r="Q18" s="81">
        <v>1</v>
      </c>
      <c r="R18" s="80">
        <v>1</v>
      </c>
      <c r="S18" s="80">
        <v>1</v>
      </c>
      <c r="T18" s="80">
        <v>0.7</v>
      </c>
      <c r="U18" s="80"/>
      <c r="V18" s="77"/>
      <c r="W18" s="67">
        <f t="shared" si="0"/>
        <v>4.5999999999999996</v>
      </c>
      <c r="X18" s="68">
        <f t="shared" si="1"/>
        <v>4.7</v>
      </c>
      <c r="Y18" s="117">
        <f t="shared" si="2"/>
        <v>9.3000000000000007</v>
      </c>
      <c r="Z18" s="70">
        <f>'[1]cálculos teóricos'!I256</f>
        <v>11.692707852438252</v>
      </c>
      <c r="AA18" s="71">
        <f t="shared" si="3"/>
        <v>79.536751600791035</v>
      </c>
      <c r="AB18" s="3"/>
    </row>
    <row r="19" spans="1:28" ht="18" customHeight="1">
      <c r="A19" s="84">
        <v>11</v>
      </c>
      <c r="B19" s="75">
        <v>26.8</v>
      </c>
      <c r="C19" s="73">
        <f>'[1]cálculos teóricos'!K257</f>
        <v>1.0033537319841259</v>
      </c>
      <c r="D19" s="58">
        <f t="shared" si="4"/>
        <v>391.61076763012193</v>
      </c>
      <c r="E19" s="59">
        <f t="shared" si="5"/>
        <v>16.395959619137944</v>
      </c>
      <c r="F19" s="60">
        <f t="shared" si="6"/>
        <v>20.824032003922429</v>
      </c>
      <c r="G19" s="61">
        <f>'[1]cálculos teóricos'!T257</f>
        <v>31.888407704716052</v>
      </c>
      <c r="H19" s="74">
        <f t="shared" si="7"/>
        <v>65.302827901446818</v>
      </c>
      <c r="I19" s="78"/>
      <c r="J19" s="80"/>
      <c r="K19" s="80">
        <v>0.1</v>
      </c>
      <c r="L19" s="80">
        <v>0.9</v>
      </c>
      <c r="M19" s="80">
        <v>1</v>
      </c>
      <c r="N19" s="80">
        <v>1</v>
      </c>
      <c r="O19" s="80">
        <v>1</v>
      </c>
      <c r="P19" s="81">
        <v>1</v>
      </c>
      <c r="Q19" s="81">
        <v>1</v>
      </c>
      <c r="R19" s="80">
        <v>1</v>
      </c>
      <c r="S19" s="80">
        <v>1</v>
      </c>
      <c r="T19" s="80">
        <v>0.5</v>
      </c>
      <c r="U19" s="80"/>
      <c r="V19" s="77"/>
      <c r="W19" s="67">
        <f t="shared" si="0"/>
        <v>4</v>
      </c>
      <c r="X19" s="68">
        <f t="shared" si="1"/>
        <v>4.5</v>
      </c>
      <c r="Y19" s="117">
        <f t="shared" si="2"/>
        <v>8.5</v>
      </c>
      <c r="Z19" s="70">
        <f>'[1]cálculos teóricos'!I257</f>
        <v>11.714971695271378</v>
      </c>
      <c r="AA19" s="71">
        <f t="shared" si="3"/>
        <v>72.556726734823727</v>
      </c>
      <c r="AB19" s="3"/>
    </row>
    <row r="20" spans="1:28" ht="18" customHeight="1">
      <c r="A20" s="79">
        <v>12</v>
      </c>
      <c r="B20" s="75">
        <v>25</v>
      </c>
      <c r="C20" s="73">
        <f>'[1]cálculos teóricos'!K258</f>
        <v>1.0042414507290078</v>
      </c>
      <c r="D20" s="58">
        <f t="shared" si="4"/>
        <v>365.63175919229764</v>
      </c>
      <c r="E20" s="59">
        <f t="shared" si="5"/>
        <v>15.308270493863118</v>
      </c>
      <c r="F20" s="60">
        <f t="shared" si="6"/>
        <v>19.464420597328896</v>
      </c>
      <c r="G20" s="61">
        <f>'[1]cálculos teóricos'!T258</f>
        <v>32.074626016306389</v>
      </c>
      <c r="H20" s="74">
        <f t="shared" si="7"/>
        <v>60.684793604244668</v>
      </c>
      <c r="I20" s="78"/>
      <c r="J20" s="80">
        <v>0.1</v>
      </c>
      <c r="K20" s="80">
        <v>1</v>
      </c>
      <c r="L20" s="80">
        <v>1</v>
      </c>
      <c r="M20" s="80">
        <v>1</v>
      </c>
      <c r="N20" s="80">
        <v>1</v>
      </c>
      <c r="O20" s="80">
        <v>1</v>
      </c>
      <c r="P20" s="81">
        <v>1</v>
      </c>
      <c r="Q20" s="81">
        <v>1</v>
      </c>
      <c r="R20" s="80">
        <v>1</v>
      </c>
      <c r="S20" s="80">
        <v>1</v>
      </c>
      <c r="T20" s="80">
        <v>0.7</v>
      </c>
      <c r="U20" s="80"/>
      <c r="V20" s="77"/>
      <c r="W20" s="67">
        <f t="shared" si="0"/>
        <v>5.0999999999999996</v>
      </c>
      <c r="X20" s="68">
        <f t="shared" si="1"/>
        <v>4.7</v>
      </c>
      <c r="Y20" s="117">
        <f t="shared" si="2"/>
        <v>9.8000000000000007</v>
      </c>
      <c r="Z20" s="70">
        <f>'[1]cálculos teóricos'!I258</f>
        <v>11.737289834251907</v>
      </c>
      <c r="AA20" s="71">
        <f t="shared" si="3"/>
        <v>83.494572753937774</v>
      </c>
      <c r="AB20" s="3"/>
    </row>
    <row r="21" spans="1:28" ht="18" customHeight="1">
      <c r="A21" s="79">
        <v>13</v>
      </c>
      <c r="B21" s="75">
        <v>27.4</v>
      </c>
      <c r="C21" s="73">
        <f>'[1]cálculos teóricos'!K259</f>
        <v>1.0051226676681373</v>
      </c>
      <c r="D21" s="58">
        <f t="shared" si="4"/>
        <v>401.08404879402673</v>
      </c>
      <c r="E21" s="59">
        <f t="shared" si="5"/>
        <v>16.792586954908312</v>
      </c>
      <c r="F21" s="60">
        <f t="shared" si="6"/>
        <v>21.319816173635392</v>
      </c>
      <c r="G21" s="61">
        <f>'[1]cálculos teóricos'!T259</f>
        <v>32.260624180242964</v>
      </c>
      <c r="H21" s="74">
        <f t="shared" si="7"/>
        <v>66.086186226651066</v>
      </c>
      <c r="I21" s="78"/>
      <c r="J21" s="80"/>
      <c r="K21" s="80">
        <v>1</v>
      </c>
      <c r="L21" s="80">
        <v>1</v>
      </c>
      <c r="M21" s="80">
        <v>1</v>
      </c>
      <c r="N21" s="80">
        <v>1</v>
      </c>
      <c r="O21" s="80">
        <v>1</v>
      </c>
      <c r="P21" s="81">
        <v>1</v>
      </c>
      <c r="Q21" s="81">
        <v>1</v>
      </c>
      <c r="R21" s="80">
        <v>1</v>
      </c>
      <c r="S21" s="80">
        <v>1</v>
      </c>
      <c r="T21" s="80">
        <v>1</v>
      </c>
      <c r="U21" s="80">
        <v>0.1</v>
      </c>
      <c r="V21" s="77"/>
      <c r="W21" s="67">
        <f t="shared" si="0"/>
        <v>5</v>
      </c>
      <c r="X21" s="68">
        <f t="shared" si="1"/>
        <v>5.0999999999999996</v>
      </c>
      <c r="Y21" s="117">
        <f t="shared" si="2"/>
        <v>10.1</v>
      </c>
      <c r="Z21" s="70">
        <f>'[1]cálculos teóricos'!I259</f>
        <v>11.759659030229781</v>
      </c>
      <c r="AA21" s="71">
        <f t="shared" si="3"/>
        <v>85.886843947061692</v>
      </c>
      <c r="AB21" s="3"/>
    </row>
    <row r="22" spans="1:28" ht="18" customHeight="1">
      <c r="A22" s="79">
        <v>14</v>
      </c>
      <c r="B22" s="75">
        <v>28.9</v>
      </c>
      <c r="C22" s="73">
        <f>'[1]cálculos teóricos'!K260</f>
        <v>1.0059970847931912</v>
      </c>
      <c r="D22" s="58">
        <f t="shared" si="4"/>
        <v>423.409233932745</v>
      </c>
      <c r="E22" s="59">
        <f t="shared" si="5"/>
        <v>17.727297806296168</v>
      </c>
      <c r="F22" s="60">
        <f t="shared" si="6"/>
        <v>22.488204737870209</v>
      </c>
      <c r="G22" s="61">
        <f>'[1]cálculos teóricos'!T260</f>
        <v>32.446340833028621</v>
      </c>
      <c r="H22" s="74">
        <f t="shared" si="7"/>
        <v>69.308908679706747</v>
      </c>
      <c r="I22" s="78"/>
      <c r="J22" s="80">
        <v>0.4</v>
      </c>
      <c r="K22" s="80">
        <v>1</v>
      </c>
      <c r="L22" s="80">
        <v>1</v>
      </c>
      <c r="M22" s="80">
        <v>1</v>
      </c>
      <c r="N22" s="80">
        <v>1</v>
      </c>
      <c r="O22" s="80">
        <v>1</v>
      </c>
      <c r="P22" s="81">
        <v>1</v>
      </c>
      <c r="Q22" s="80">
        <v>1</v>
      </c>
      <c r="R22" s="80">
        <v>1</v>
      </c>
      <c r="S22" s="80">
        <v>1</v>
      </c>
      <c r="T22" s="80">
        <v>0.1</v>
      </c>
      <c r="U22" s="80"/>
      <c r="V22" s="77"/>
      <c r="W22" s="67">
        <f t="shared" si="0"/>
        <v>5.4</v>
      </c>
      <c r="X22" s="68">
        <f t="shared" si="1"/>
        <v>4.0999999999999996</v>
      </c>
      <c r="Y22" s="117">
        <f t="shared" si="2"/>
        <v>9.5</v>
      </c>
      <c r="Z22" s="70">
        <f>'[1]cálculos teóricos'!I260</f>
        <v>11.782076090575021</v>
      </c>
      <c r="AA22" s="71">
        <f t="shared" si="3"/>
        <v>80.630951005310934</v>
      </c>
      <c r="AB22" s="3"/>
    </row>
    <row r="23" spans="1:28" ht="18" customHeight="1">
      <c r="A23" s="79">
        <v>15</v>
      </c>
      <c r="B23" s="75">
        <v>12.9</v>
      </c>
      <c r="C23" s="73">
        <f>'[1]cálculos teóricos'!K261</f>
        <v>1.0068644121474433</v>
      </c>
      <c r="D23" s="58">
        <f t="shared" si="4"/>
        <v>189.15876127538985</v>
      </c>
      <c r="E23" s="59">
        <f t="shared" si="5"/>
        <v>7.9196990170780222</v>
      </c>
      <c r="F23" s="60">
        <f t="shared" si="6"/>
        <v>10.228706251347528</v>
      </c>
      <c r="G23" s="61">
        <f>'[1]cálculos teóricos'!T261</f>
        <v>32.63171517371709</v>
      </c>
      <c r="H23" s="74">
        <f t="shared" si="7"/>
        <v>31.345904427316601</v>
      </c>
      <c r="I23" s="78"/>
      <c r="J23" s="80"/>
      <c r="K23" s="80"/>
      <c r="L23" s="80"/>
      <c r="M23" s="80"/>
      <c r="N23" s="80"/>
      <c r="O23" s="80"/>
      <c r="P23" s="81"/>
      <c r="Q23" s="80">
        <v>0.1</v>
      </c>
      <c r="R23" s="80"/>
      <c r="S23" s="80">
        <v>0.1</v>
      </c>
      <c r="T23" s="80"/>
      <c r="U23" s="80"/>
      <c r="V23" s="77"/>
      <c r="W23" s="67">
        <f t="shared" si="0"/>
        <v>0</v>
      </c>
      <c r="X23" s="68">
        <f t="shared" si="1"/>
        <v>0.2</v>
      </c>
      <c r="Y23" s="117">
        <f t="shared" si="2"/>
        <v>0.2</v>
      </c>
      <c r="Z23" s="70">
        <f>'[1]cálculos teóricos'!I261</f>
        <v>11.804537863424434</v>
      </c>
      <c r="AA23" s="71">
        <f t="shared" si="3"/>
        <v>1.6942637002307945</v>
      </c>
      <c r="AB23" s="3"/>
    </row>
    <row r="24" spans="1:28" ht="18" customHeight="1">
      <c r="A24" s="79">
        <v>16</v>
      </c>
      <c r="B24" s="75">
        <v>26.6</v>
      </c>
      <c r="C24" s="73">
        <f>'[1]cálculos teóricos'!K262</f>
        <v>1.0077243678484233</v>
      </c>
      <c r="D24" s="58">
        <f t="shared" si="4"/>
        <v>390.38143590886972</v>
      </c>
      <c r="E24" s="59">
        <f t="shared" si="5"/>
        <v>16.344489958632558</v>
      </c>
      <c r="F24" s="60">
        <f t="shared" si="6"/>
        <v>20.759694928290696</v>
      </c>
      <c r="G24" s="61">
        <f>'[1]cálculos teóricos'!T262</f>
        <v>32.816686981362338</v>
      </c>
      <c r="H24" s="74">
        <f t="shared" si="7"/>
        <v>63.259569560086312</v>
      </c>
      <c r="I24" s="78"/>
      <c r="J24" s="80"/>
      <c r="K24" s="80">
        <v>0.9</v>
      </c>
      <c r="L24" s="80">
        <v>1</v>
      </c>
      <c r="M24" s="80">
        <v>1</v>
      </c>
      <c r="N24" s="80">
        <v>1</v>
      </c>
      <c r="O24" s="80">
        <v>1</v>
      </c>
      <c r="P24" s="81">
        <v>1</v>
      </c>
      <c r="Q24" s="80">
        <v>1</v>
      </c>
      <c r="R24" s="80">
        <v>1</v>
      </c>
      <c r="S24" s="80">
        <v>0.6</v>
      </c>
      <c r="T24" s="80"/>
      <c r="U24" s="80"/>
      <c r="V24" s="77"/>
      <c r="W24" s="67">
        <f t="shared" si="0"/>
        <v>4.9000000000000004</v>
      </c>
      <c r="X24" s="68">
        <f t="shared" si="1"/>
        <v>3.6</v>
      </c>
      <c r="Y24" s="117">
        <f t="shared" si="2"/>
        <v>8.5</v>
      </c>
      <c r="Z24" s="70">
        <f>'[1]cálculos teóricos'!I262</f>
        <v>11.827041231838793</v>
      </c>
      <c r="AA24" s="71">
        <f t="shared" si="3"/>
        <v>71.869200701843454</v>
      </c>
      <c r="AB24" s="3"/>
    </row>
    <row r="25" spans="1:28" ht="18" customHeight="1">
      <c r="A25" s="79">
        <v>17</v>
      </c>
      <c r="B25" s="75">
        <v>26.4</v>
      </c>
      <c r="C25" s="73">
        <f>'[1]cálculos teóricos'!K263</f>
        <v>1.0085766781091658</v>
      </c>
      <c r="D25" s="58">
        <f t="shared" si="4"/>
        <v>387.77393032337085</v>
      </c>
      <c r="E25" s="59">
        <f t="shared" si="5"/>
        <v>16.23531891477889</v>
      </c>
      <c r="F25" s="60">
        <f t="shared" si="6"/>
        <v>20.623231123473616</v>
      </c>
      <c r="G25" s="61">
        <f>'[1]cálculos teóricos'!T263</f>
        <v>33.001196632569247</v>
      </c>
      <c r="H25" s="74">
        <f t="shared" si="7"/>
        <v>62.492373695080865</v>
      </c>
      <c r="I25" s="78"/>
      <c r="J25" s="80">
        <v>0.3</v>
      </c>
      <c r="K25" s="80">
        <v>1</v>
      </c>
      <c r="L25" s="80">
        <v>1</v>
      </c>
      <c r="M25" s="80">
        <v>1</v>
      </c>
      <c r="N25" s="80">
        <v>1</v>
      </c>
      <c r="O25" s="80">
        <v>1</v>
      </c>
      <c r="P25" s="81">
        <v>1</v>
      </c>
      <c r="Q25" s="80">
        <v>1</v>
      </c>
      <c r="R25" s="80">
        <v>1</v>
      </c>
      <c r="S25" s="80">
        <v>1</v>
      </c>
      <c r="T25" s="80">
        <v>0.1</v>
      </c>
      <c r="U25" s="80"/>
      <c r="V25" s="77"/>
      <c r="W25" s="67">
        <f t="shared" si="0"/>
        <v>5.3</v>
      </c>
      <c r="X25" s="68">
        <f t="shared" si="1"/>
        <v>4.0999999999999996</v>
      </c>
      <c r="Y25" s="117">
        <f t="shared" si="2"/>
        <v>9.3999999999999986</v>
      </c>
      <c r="Z25" s="70">
        <f>'[1]cálculos teóricos'!I263</f>
        <v>11.849583107878678</v>
      </c>
      <c r="AA25" s="71">
        <f t="shared" si="3"/>
        <v>79.327685323798661</v>
      </c>
      <c r="AB25" s="3"/>
    </row>
    <row r="26" spans="1:28" ht="18" customHeight="1">
      <c r="A26" s="79">
        <v>18</v>
      </c>
      <c r="B26" s="75">
        <v>8.8000000000000007</v>
      </c>
      <c r="C26" s="73">
        <f>'[1]cálculos teóricos'!K264</f>
        <v>1.0094210772585084</v>
      </c>
      <c r="D26" s="58">
        <f t="shared" si="4"/>
        <v>129.36619395615776</v>
      </c>
      <c r="E26" s="59">
        <f t="shared" si="5"/>
        <v>5.416303808556413</v>
      </c>
      <c r="F26" s="60">
        <f t="shared" si="6"/>
        <v>7.0994622406955168</v>
      </c>
      <c r="G26" s="61">
        <f>'[1]cálculos teóricos'!T264</f>
        <v>33.185185119202401</v>
      </c>
      <c r="H26" s="74">
        <f t="shared" si="7"/>
        <v>21.393468848204368</v>
      </c>
      <c r="I26" s="78"/>
      <c r="J26" s="80"/>
      <c r="K26" s="80"/>
      <c r="L26" s="80"/>
      <c r="M26" s="80"/>
      <c r="N26" s="80">
        <v>0.5</v>
      </c>
      <c r="O26" s="80"/>
      <c r="P26" s="81"/>
      <c r="Q26" s="80"/>
      <c r="R26" s="80">
        <v>0.1</v>
      </c>
      <c r="S26" s="80">
        <v>0.7</v>
      </c>
      <c r="T26" s="80"/>
      <c r="U26" s="80"/>
      <c r="V26" s="77"/>
      <c r="W26" s="67">
        <f t="shared" si="0"/>
        <v>0.5</v>
      </c>
      <c r="X26" s="68">
        <f t="shared" si="1"/>
        <v>0.79999999999999993</v>
      </c>
      <c r="Y26" s="117">
        <f t="shared" si="2"/>
        <v>1.2999999999999998</v>
      </c>
      <c r="Z26" s="70">
        <f>'[1]cálculos teóricos'!I264</f>
        <v>11.872160426606762</v>
      </c>
      <c r="AA26" s="71">
        <f t="shared" si="3"/>
        <v>10.949986803468077</v>
      </c>
      <c r="AB26" s="3"/>
    </row>
    <row r="27" spans="1:28" ht="18" customHeight="1">
      <c r="A27" s="79">
        <v>19</v>
      </c>
      <c r="B27" s="75">
        <v>23.7</v>
      </c>
      <c r="C27" s="73">
        <f>'[1]cálculos teóricos'!K265</f>
        <v>1.0102573077608699</v>
      </c>
      <c r="D27" s="58">
        <f t="shared" si="4"/>
        <v>348.69531054733767</v>
      </c>
      <c r="E27" s="59">
        <f t="shared" si="5"/>
        <v>14.599175261995933</v>
      </c>
      <c r="F27" s="60">
        <f t="shared" si="6"/>
        <v>18.578051557494916</v>
      </c>
      <c r="G27" s="61">
        <f>'[1]cálculos teóricos'!T265</f>
        <v>33.368594066304397</v>
      </c>
      <c r="H27" s="74">
        <f t="shared" si="7"/>
        <v>55.675260158038938</v>
      </c>
      <c r="I27" s="78"/>
      <c r="J27" s="80"/>
      <c r="K27" s="80">
        <v>0.2</v>
      </c>
      <c r="L27" s="80">
        <v>1</v>
      </c>
      <c r="M27" s="80">
        <v>1</v>
      </c>
      <c r="N27" s="80">
        <v>1</v>
      </c>
      <c r="O27" s="80">
        <v>1</v>
      </c>
      <c r="P27" s="81">
        <v>1</v>
      </c>
      <c r="Q27" s="80">
        <v>1</v>
      </c>
      <c r="R27" s="80">
        <v>1</v>
      </c>
      <c r="S27" s="80">
        <v>0.1</v>
      </c>
      <c r="T27" s="80"/>
      <c r="U27" s="80"/>
      <c r="V27" s="77"/>
      <c r="W27" s="67">
        <f t="shared" si="0"/>
        <v>4.2</v>
      </c>
      <c r="X27" s="68">
        <f t="shared" si="1"/>
        <v>3.1</v>
      </c>
      <c r="Y27" s="117">
        <f t="shared" si="2"/>
        <v>7.3000000000000007</v>
      </c>
      <c r="Z27" s="70">
        <f>'[1]cálculos teóricos'!I265</f>
        <v>11.894770140024326</v>
      </c>
      <c r="AA27" s="71">
        <f t="shared" si="3"/>
        <v>61.371509613594533</v>
      </c>
      <c r="AB27" s="3"/>
    </row>
    <row r="28" spans="1:28" ht="18" customHeight="1">
      <c r="A28" s="79">
        <v>20</v>
      </c>
      <c r="B28" s="75">
        <v>5.3</v>
      </c>
      <c r="C28" s="73">
        <f>'[1]cálculos teóricos'!K266</f>
        <v>1.0110851202358924</v>
      </c>
      <c r="D28" s="58">
        <f t="shared" si="4"/>
        <v>78.042172187343724</v>
      </c>
      <c r="E28" s="59">
        <f t="shared" si="5"/>
        <v>3.2674696651397066</v>
      </c>
      <c r="F28" s="60">
        <f t="shared" si="6"/>
        <v>4.4134195614246341</v>
      </c>
      <c r="G28" s="61">
        <f>'[1]cálculos teóricos'!T266</f>
        <v>33.551365750272652</v>
      </c>
      <c r="H28" s="74">
        <f t="shared" si="7"/>
        <v>13.154217310479437</v>
      </c>
      <c r="I28" s="78"/>
      <c r="J28" s="80"/>
      <c r="K28" s="80"/>
      <c r="L28" s="80"/>
      <c r="M28" s="80"/>
      <c r="N28" s="80"/>
      <c r="O28" s="80"/>
      <c r="P28" s="81"/>
      <c r="Q28" s="80"/>
      <c r="R28" s="80"/>
      <c r="S28" s="80"/>
      <c r="T28" s="80"/>
      <c r="U28" s="80"/>
      <c r="V28" s="77"/>
      <c r="W28" s="67">
        <f t="shared" si="0"/>
        <v>0</v>
      </c>
      <c r="X28" s="68">
        <f t="shared" si="1"/>
        <v>0</v>
      </c>
      <c r="Y28" s="117">
        <f t="shared" si="2"/>
        <v>0</v>
      </c>
      <c r="Z28" s="70">
        <f>'[1]cálculos teóricos'!I266</f>
        <v>11.917409210949348</v>
      </c>
      <c r="AA28" s="71">
        <f t="shared" si="3"/>
        <v>0</v>
      </c>
      <c r="AB28" s="3"/>
    </row>
    <row r="29" spans="1:28" ht="18" customHeight="1">
      <c r="A29" s="79">
        <v>21</v>
      </c>
      <c r="B29" s="75">
        <v>10.199999999999999</v>
      </c>
      <c r="C29" s="73">
        <f>'[1]cálculos teóricos'!K267</f>
        <v>1.0119042734782999</v>
      </c>
      <c r="D29" s="58">
        <f t="shared" si="4"/>
        <v>150.31605244537246</v>
      </c>
      <c r="E29" s="59">
        <f t="shared" si="5"/>
        <v>6.2934324837828539</v>
      </c>
      <c r="F29" s="60">
        <f t="shared" si="6"/>
        <v>8.1958730847285679</v>
      </c>
      <c r="G29" s="61">
        <f>'[1]cálculos teóricos'!T267</f>
        <v>33.733443117336968</v>
      </c>
      <c r="H29" s="74">
        <f t="shared" si="7"/>
        <v>24.295987386227942</v>
      </c>
      <c r="I29" s="78"/>
      <c r="J29" s="80"/>
      <c r="K29" s="80"/>
      <c r="L29" s="80"/>
      <c r="M29" s="80"/>
      <c r="N29" s="80"/>
      <c r="O29" s="80"/>
      <c r="P29" s="81"/>
      <c r="Q29" s="81"/>
      <c r="R29" s="81"/>
      <c r="S29" s="81"/>
      <c r="T29" s="80"/>
      <c r="U29" s="80"/>
      <c r="V29" s="77"/>
      <c r="W29" s="67">
        <f t="shared" si="0"/>
        <v>0</v>
      </c>
      <c r="X29" s="68">
        <f t="shared" si="1"/>
        <v>0</v>
      </c>
      <c r="Y29" s="117">
        <f t="shared" si="2"/>
        <v>0</v>
      </c>
      <c r="Z29" s="70">
        <f>'[1]cálculos teóricos'!I267</f>
        <v>11.940074606843586</v>
      </c>
      <c r="AA29" s="71">
        <f t="shared" si="3"/>
        <v>0</v>
      </c>
      <c r="AB29" s="3"/>
    </row>
    <row r="30" spans="1:28" ht="18" customHeight="1">
      <c r="A30" s="79">
        <v>22</v>
      </c>
      <c r="B30" s="75">
        <v>6.7</v>
      </c>
      <c r="C30" s="73">
        <f>'[1]cálculos teóricos'!K268</f>
        <v>1.0127145344782673</v>
      </c>
      <c r="D30" s="58">
        <f t="shared" si="4"/>
        <v>98.816076423257456</v>
      </c>
      <c r="E30" s="59">
        <f t="shared" si="5"/>
        <v>4.1372314876889433</v>
      </c>
      <c r="F30" s="60">
        <f t="shared" si="6"/>
        <v>5.5006218396111795</v>
      </c>
      <c r="G30" s="61">
        <f>'[1]cálculos teóricos'!T268</f>
        <v>33.914769802376469</v>
      </c>
      <c r="H30" s="74">
        <f t="shared" si="7"/>
        <v>16.218956730839263</v>
      </c>
      <c r="I30" s="78"/>
      <c r="J30" s="80"/>
      <c r="K30" s="80"/>
      <c r="L30" s="80"/>
      <c r="M30" s="80"/>
      <c r="N30" s="80"/>
      <c r="O30" s="80"/>
      <c r="P30" s="81"/>
      <c r="Q30" s="80"/>
      <c r="R30" s="80"/>
      <c r="S30" s="80"/>
      <c r="T30" s="80"/>
      <c r="U30" s="80"/>
      <c r="V30" s="77"/>
      <c r="W30" s="67">
        <f t="shared" si="0"/>
        <v>0</v>
      </c>
      <c r="X30" s="68">
        <f t="shared" si="1"/>
        <v>0</v>
      </c>
      <c r="Y30" s="117">
        <f t="shared" si="2"/>
        <v>0</v>
      </c>
      <c r="Z30" s="70">
        <f>'[1]cálculos teóricos'!I268</f>
        <v>11.962763293595893</v>
      </c>
      <c r="AA30" s="71">
        <f t="shared" si="3"/>
        <v>0</v>
      </c>
      <c r="AB30" s="3"/>
    </row>
    <row r="31" spans="1:28" ht="18" customHeight="1">
      <c r="A31" s="79">
        <v>23</v>
      </c>
      <c r="B31" s="75">
        <v>15.4</v>
      </c>
      <c r="C31" s="73">
        <f>'[1]cálculos teóricos'!K269</f>
        <v>1.0135156784425661</v>
      </c>
      <c r="D31" s="58">
        <f t="shared" si="4"/>
        <v>227.309167978174</v>
      </c>
      <c r="E31" s="59">
        <f t="shared" si="5"/>
        <v>9.5169802449101883</v>
      </c>
      <c r="F31" s="60">
        <f t="shared" si="6"/>
        <v>12.225307786137737</v>
      </c>
      <c r="G31" s="61">
        <f>'[1]cálculos teóricos'!T269</f>
        <v>34.095290148107495</v>
      </c>
      <c r="H31" s="74">
        <f t="shared" si="7"/>
        <v>35.856294910622189</v>
      </c>
      <c r="I31" s="78"/>
      <c r="J31" s="80"/>
      <c r="K31" s="80"/>
      <c r="L31" s="80">
        <v>0.1</v>
      </c>
      <c r="M31" s="80"/>
      <c r="N31" s="80"/>
      <c r="O31" s="80">
        <v>0.1</v>
      </c>
      <c r="P31" s="81"/>
      <c r="Q31" s="80">
        <v>0.7</v>
      </c>
      <c r="R31" s="80"/>
      <c r="S31" s="80"/>
      <c r="T31" s="80"/>
      <c r="U31" s="80"/>
      <c r="V31" s="77"/>
      <c r="W31" s="67">
        <f t="shared" si="0"/>
        <v>0.2</v>
      </c>
      <c r="X31" s="68">
        <f t="shared" si="1"/>
        <v>0.7</v>
      </c>
      <c r="Y31" s="117">
        <f t="shared" si="2"/>
        <v>0.89999999999999991</v>
      </c>
      <c r="Z31" s="70">
        <f>'[1]cálculos teóricos'!I269</f>
        <v>11.985472229268808</v>
      </c>
      <c r="AA31" s="71">
        <f t="shared" si="3"/>
        <v>7.5090908625375512</v>
      </c>
      <c r="AB31" s="3"/>
    </row>
    <row r="32" spans="1:28" ht="18" customHeight="1">
      <c r="A32" s="79">
        <v>24</v>
      </c>
      <c r="B32" s="75">
        <v>27</v>
      </c>
      <c r="C32" s="73">
        <f>'[1]cálculos teóricos'!K270</f>
        <v>1.0143074888166961</v>
      </c>
      <c r="D32" s="58">
        <f t="shared" si="4"/>
        <v>398.84041206131269</v>
      </c>
      <c r="E32" s="59">
        <f t="shared" si="5"/>
        <v>16.698650372183039</v>
      </c>
      <c r="F32" s="60">
        <f t="shared" si="6"/>
        <v>21.202395445228799</v>
      </c>
      <c r="G32" s="61">
        <f>'[1]cálculos teóricos'!T270</f>
        <v>34.274949224668816</v>
      </c>
      <c r="H32" s="74">
        <f t="shared" si="7"/>
        <v>61.859742829228566</v>
      </c>
      <c r="I32" s="78"/>
      <c r="J32" s="80"/>
      <c r="K32" s="80">
        <v>0.6</v>
      </c>
      <c r="L32" s="80">
        <v>0.7</v>
      </c>
      <c r="M32" s="80">
        <v>1</v>
      </c>
      <c r="N32" s="80">
        <v>1</v>
      </c>
      <c r="O32" s="80">
        <v>1</v>
      </c>
      <c r="P32" s="81">
        <v>1</v>
      </c>
      <c r="Q32" s="80">
        <v>1</v>
      </c>
      <c r="R32" s="80">
        <v>1</v>
      </c>
      <c r="S32" s="80">
        <v>0.1</v>
      </c>
      <c r="T32" s="80"/>
      <c r="U32" s="80"/>
      <c r="V32" s="77"/>
      <c r="W32" s="67">
        <f t="shared" si="0"/>
        <v>4.3</v>
      </c>
      <c r="X32" s="68">
        <f t="shared" si="1"/>
        <v>3.1</v>
      </c>
      <c r="Y32" s="117">
        <f t="shared" si="2"/>
        <v>7.4</v>
      </c>
      <c r="Z32" s="70">
        <f>'[1]cálculos teóricos'!I270</f>
        <v>12.008198357815731</v>
      </c>
      <c r="AA32" s="71">
        <f t="shared" si="3"/>
        <v>61.624564980504253</v>
      </c>
      <c r="AB32" s="3"/>
    </row>
    <row r="33" spans="1:28" ht="18" customHeight="1">
      <c r="A33" s="79">
        <v>25</v>
      </c>
      <c r="B33" s="75">
        <v>29.7</v>
      </c>
      <c r="C33" s="73">
        <f>'[1]cálculos teóricos'!K271</f>
        <v>1.0150897573081683</v>
      </c>
      <c r="D33" s="58">
        <f t="shared" si="4"/>
        <v>439.06281251255803</v>
      </c>
      <c r="E33" s="59">
        <f t="shared" si="5"/>
        <v>18.382681834275779</v>
      </c>
      <c r="F33" s="60">
        <f t="shared" si="6"/>
        <v>23.307434772844726</v>
      </c>
      <c r="G33" s="61">
        <f>'[1]cálculos teóricos'!T271</f>
        <v>34.453692849623536</v>
      </c>
      <c r="H33" s="74">
        <f t="shared" si="7"/>
        <v>67.648582329250658</v>
      </c>
      <c r="I33" s="147"/>
      <c r="J33" s="80">
        <v>0.3</v>
      </c>
      <c r="K33" s="80">
        <v>1</v>
      </c>
      <c r="L33" s="80">
        <v>1</v>
      </c>
      <c r="M33" s="80">
        <v>1</v>
      </c>
      <c r="N33" s="80">
        <v>1</v>
      </c>
      <c r="O33" s="80">
        <v>1</v>
      </c>
      <c r="P33" s="81">
        <v>1</v>
      </c>
      <c r="Q33" s="80">
        <v>1</v>
      </c>
      <c r="R33" s="80">
        <v>1</v>
      </c>
      <c r="S33" s="80">
        <v>1</v>
      </c>
      <c r="T33" s="80">
        <v>1</v>
      </c>
      <c r="U33" s="80">
        <v>0.2</v>
      </c>
      <c r="V33" s="77"/>
      <c r="W33" s="67">
        <f t="shared" si="0"/>
        <v>5.3</v>
      </c>
      <c r="X33" s="68">
        <f t="shared" si="1"/>
        <v>5.2</v>
      </c>
      <c r="Y33" s="117">
        <f t="shared" si="2"/>
        <v>10.5</v>
      </c>
      <c r="Z33" s="70">
        <f>'[1]cálculos teóricos'!I271</f>
        <v>12.030938602775587</v>
      </c>
      <c r="AA33" s="71">
        <f t="shared" si="3"/>
        <v>87.274986155923088</v>
      </c>
      <c r="AB33" s="3"/>
    </row>
    <row r="34" spans="1:28" ht="18" customHeight="1">
      <c r="A34" s="79">
        <v>26</v>
      </c>
      <c r="B34" s="75">
        <v>30.2</v>
      </c>
      <c r="C34" s="73">
        <f>'[1]cálculos teóricos'!K272</f>
        <v>1.0158622839110589</v>
      </c>
      <c r="D34" s="58">
        <f t="shared" si="4"/>
        <v>446.79421322650893</v>
      </c>
      <c r="E34" s="59">
        <f t="shared" si="5"/>
        <v>18.706380119367473</v>
      </c>
      <c r="F34" s="60">
        <f t="shared" si="6"/>
        <v>23.712057629209347</v>
      </c>
      <c r="G34" s="61">
        <f>'[1]cálculos teóricos'!T272</f>
        <v>34.631467608390317</v>
      </c>
      <c r="H34" s="74">
        <f t="shared" si="7"/>
        <v>68.469687445369843</v>
      </c>
      <c r="I34" s="147"/>
      <c r="J34" s="80">
        <v>0.4</v>
      </c>
      <c r="K34" s="80">
        <v>1</v>
      </c>
      <c r="L34" s="80">
        <v>1</v>
      </c>
      <c r="M34" s="80">
        <v>1</v>
      </c>
      <c r="N34" s="80">
        <v>1</v>
      </c>
      <c r="O34" s="80">
        <v>1</v>
      </c>
      <c r="P34" s="81">
        <v>1</v>
      </c>
      <c r="Q34" s="80">
        <v>1</v>
      </c>
      <c r="R34" s="80">
        <v>1</v>
      </c>
      <c r="S34" s="80">
        <v>1</v>
      </c>
      <c r="T34" s="80">
        <v>1</v>
      </c>
      <c r="U34" s="80">
        <v>0.3</v>
      </c>
      <c r="V34" s="77"/>
      <c r="W34" s="67">
        <f t="shared" si="0"/>
        <v>5.4</v>
      </c>
      <c r="X34" s="68">
        <f t="shared" si="1"/>
        <v>5.3</v>
      </c>
      <c r="Y34" s="117">
        <f t="shared" si="2"/>
        <v>10.7</v>
      </c>
      <c r="Z34" s="70">
        <f>'[1]cálculos teóricos'!I272</f>
        <v>12.053689860952399</v>
      </c>
      <c r="AA34" s="71">
        <f t="shared" si="3"/>
        <v>88.769498165556413</v>
      </c>
      <c r="AB34" s="3"/>
    </row>
    <row r="35" spans="1:28" ht="18" customHeight="1">
      <c r="A35" s="79">
        <v>27</v>
      </c>
      <c r="B35" s="75">
        <v>29.7</v>
      </c>
      <c r="C35" s="73">
        <f>'[1]cálculos teóricos'!K273</f>
        <v>1.0166248769318984</v>
      </c>
      <c r="D35" s="58">
        <f t="shared" si="4"/>
        <v>439.72680693737175</v>
      </c>
      <c r="E35" s="59">
        <f t="shared" si="5"/>
        <v>18.410481952853878</v>
      </c>
      <c r="F35" s="60">
        <f t="shared" si="6"/>
        <v>23.34218492106735</v>
      </c>
      <c r="G35" s="61">
        <f>'[1]cálculos teóricos'!T273</f>
        <v>34.808220875109512</v>
      </c>
      <c r="H35" s="74">
        <f t="shared" si="7"/>
        <v>67.059402446388063</v>
      </c>
      <c r="I35" s="147"/>
      <c r="J35" s="80">
        <v>0.5</v>
      </c>
      <c r="K35" s="80">
        <v>1</v>
      </c>
      <c r="L35" s="80">
        <v>1</v>
      </c>
      <c r="M35" s="80">
        <v>1</v>
      </c>
      <c r="N35" s="80">
        <v>1</v>
      </c>
      <c r="O35" s="80">
        <v>1</v>
      </c>
      <c r="P35" s="81">
        <v>1</v>
      </c>
      <c r="Q35" s="80">
        <v>1</v>
      </c>
      <c r="R35" s="80">
        <v>1</v>
      </c>
      <c r="S35" s="80">
        <v>1</v>
      </c>
      <c r="T35" s="80">
        <v>0.8</v>
      </c>
      <c r="U35" s="80"/>
      <c r="V35" s="77"/>
      <c r="W35" s="67">
        <f t="shared" si="0"/>
        <v>5.5</v>
      </c>
      <c r="X35" s="68">
        <f t="shared" si="1"/>
        <v>4.8</v>
      </c>
      <c r="Y35" s="117">
        <f t="shared" si="2"/>
        <v>10.3</v>
      </c>
      <c r="Z35" s="70">
        <f>'[1]cálculos teóricos'!I273</f>
        <v>12.076448996086873</v>
      </c>
      <c r="AA35" s="71">
        <f t="shared" si="3"/>
        <v>85.28997227030483</v>
      </c>
      <c r="AB35" s="3"/>
    </row>
    <row r="36" spans="1:28" ht="18" customHeight="1">
      <c r="A36" s="79">
        <v>28</v>
      </c>
      <c r="B36" s="75">
        <v>13.8</v>
      </c>
      <c r="C36" s="73">
        <f>'[1]cálculos teóricos'!K274</f>
        <v>1.0173773530169188</v>
      </c>
      <c r="D36" s="58">
        <f t="shared" si="4"/>
        <v>204.46873611313418</v>
      </c>
      <c r="E36" s="59">
        <f t="shared" si="5"/>
        <v>8.5606970435847014</v>
      </c>
      <c r="F36" s="60">
        <f t="shared" si="6"/>
        <v>11.029953784480876</v>
      </c>
      <c r="G36" s="61">
        <f>'[1]cálculos teóricos'!T274</f>
        <v>34.983900833942378</v>
      </c>
      <c r="H36" s="74">
        <f t="shared" si="7"/>
        <v>31.528656100520674</v>
      </c>
      <c r="I36" s="147"/>
      <c r="J36" s="80"/>
      <c r="K36" s="80">
        <v>0.2</v>
      </c>
      <c r="L36" s="80">
        <v>0.2</v>
      </c>
      <c r="M36" s="80">
        <v>0.8</v>
      </c>
      <c r="N36" s="80">
        <v>0.4</v>
      </c>
      <c r="O36" s="80">
        <v>0.3</v>
      </c>
      <c r="P36" s="81">
        <v>0.3</v>
      </c>
      <c r="Q36" s="80"/>
      <c r="R36" s="80"/>
      <c r="S36" s="80"/>
      <c r="T36" s="80"/>
      <c r="U36" s="80"/>
      <c r="V36" s="77"/>
      <c r="W36" s="67">
        <f t="shared" si="0"/>
        <v>1.9000000000000001</v>
      </c>
      <c r="X36" s="68">
        <f t="shared" si="1"/>
        <v>0.3</v>
      </c>
      <c r="Y36" s="117">
        <f t="shared" si="2"/>
        <v>2.2000000000000002</v>
      </c>
      <c r="Z36" s="70">
        <f>'[1]cálculos teóricos'!I274</f>
        <v>12.099212832527423</v>
      </c>
      <c r="AA36" s="71">
        <f t="shared" si="3"/>
        <v>18.183001079917684</v>
      </c>
      <c r="AB36" s="3"/>
    </row>
    <row r="37" spans="1:28" ht="18" customHeight="1">
      <c r="A37" s="84">
        <v>29</v>
      </c>
      <c r="B37" s="75">
        <v>13.1</v>
      </c>
      <c r="C37" s="73">
        <f>'[1]cálculos teóricos'!K275</f>
        <v>1.0181195371806306</v>
      </c>
      <c r="D37" s="58">
        <f t="shared" si="4"/>
        <v>194.23872882446452</v>
      </c>
      <c r="E37" s="59">
        <f t="shared" si="5"/>
        <v>8.1323870984226794</v>
      </c>
      <c r="F37" s="60">
        <f t="shared" si="6"/>
        <v>10.494566353028352</v>
      </c>
      <c r="G37" s="61">
        <f>'[1]cálculos teóricos'!T275</f>
        <v>35.158456500793754</v>
      </c>
      <c r="H37" s="74">
        <f t="shared" si="7"/>
        <v>29.849337535029221</v>
      </c>
      <c r="I37" s="78"/>
      <c r="J37" s="80"/>
      <c r="K37" s="80"/>
      <c r="L37" s="80"/>
      <c r="M37" s="80"/>
      <c r="N37" s="80"/>
      <c r="O37" s="80"/>
      <c r="P37" s="81">
        <v>0.1</v>
      </c>
      <c r="Q37" s="80">
        <v>0.6</v>
      </c>
      <c r="R37" s="80">
        <v>0.1</v>
      </c>
      <c r="S37" s="80"/>
      <c r="T37" s="80"/>
      <c r="U37" s="80"/>
      <c r="V37" s="77"/>
      <c r="W37" s="67">
        <f t="shared" si="0"/>
        <v>0</v>
      </c>
      <c r="X37" s="68">
        <f t="shared" si="1"/>
        <v>0.79999999999999993</v>
      </c>
      <c r="Y37" s="117">
        <f t="shared" si="2"/>
        <v>0.79999999999999993</v>
      </c>
      <c r="Z37" s="70">
        <f>'[1]cálculos teóricos'!I275</f>
        <v>12.121978148908402</v>
      </c>
      <c r="AA37" s="71">
        <f t="shared" si="3"/>
        <v>6.5995829242774278</v>
      </c>
      <c r="AB37" s="3"/>
    </row>
    <row r="38" spans="1:28" ht="18" customHeight="1" thickBot="1">
      <c r="A38" s="79">
        <v>30</v>
      </c>
      <c r="B38" s="75">
        <v>28</v>
      </c>
      <c r="C38" s="73">
        <f>'[1]cálculos teóricos'!K276</f>
        <v>1.018851262835645</v>
      </c>
      <c r="D38" s="58">
        <f t="shared" si="4"/>
        <v>415.46513025659368</v>
      </c>
      <c r="E38" s="59">
        <f t="shared" si="5"/>
        <v>17.394694073583064</v>
      </c>
      <c r="F38" s="60">
        <f t="shared" si="6"/>
        <v>22.072450071978832</v>
      </c>
      <c r="G38" s="61">
        <f>'[1]cálculos teóricos'!T276</f>
        <v>35.331837745441064</v>
      </c>
      <c r="H38" s="74">
        <f t="shared" si="7"/>
        <v>62.471842622527852</v>
      </c>
      <c r="I38" s="78"/>
      <c r="J38" s="80"/>
      <c r="K38" s="80">
        <v>0.7</v>
      </c>
      <c r="L38" s="80">
        <v>1</v>
      </c>
      <c r="M38" s="80">
        <v>1</v>
      </c>
      <c r="N38" s="80">
        <v>1</v>
      </c>
      <c r="O38" s="80">
        <v>1</v>
      </c>
      <c r="P38" s="81">
        <v>1</v>
      </c>
      <c r="Q38" s="80">
        <v>1</v>
      </c>
      <c r="R38" s="80">
        <v>0.9</v>
      </c>
      <c r="S38" s="80">
        <v>0.6</v>
      </c>
      <c r="T38" s="80">
        <v>0.1</v>
      </c>
      <c r="U38" s="80"/>
      <c r="V38" s="77"/>
      <c r="W38" s="67">
        <f t="shared" si="0"/>
        <v>4.7</v>
      </c>
      <c r="X38" s="68">
        <f t="shared" si="1"/>
        <v>3.6</v>
      </c>
      <c r="Y38" s="120">
        <f t="shared" si="2"/>
        <v>8.3000000000000007</v>
      </c>
      <c r="Z38" s="70">
        <f>'[1]cálculos teóricos'!I276</f>
        <v>12.144741671843036</v>
      </c>
      <c r="AA38" s="71">
        <f t="shared" si="3"/>
        <v>68.342334685003038</v>
      </c>
      <c r="AB38" s="3"/>
    </row>
    <row r="39" spans="1:28" ht="18" customHeight="1" thickTop="1" thickBot="1">
      <c r="A39" s="86"/>
      <c r="B39" s="87"/>
      <c r="C39" s="88"/>
      <c r="D39" s="89"/>
      <c r="E39" s="119"/>
      <c r="F39" s="91"/>
      <c r="G39" s="92"/>
      <c r="H39" s="93"/>
      <c r="I39" s="94"/>
      <c r="J39" s="80"/>
      <c r="K39" s="80"/>
      <c r="L39" s="80"/>
      <c r="M39" s="80"/>
      <c r="N39" s="80"/>
      <c r="O39" s="87"/>
      <c r="P39" s="81"/>
      <c r="Q39" s="80"/>
      <c r="R39" s="80"/>
      <c r="S39" s="80"/>
      <c r="T39" s="80"/>
      <c r="U39" s="80"/>
      <c r="V39" s="77"/>
      <c r="W39" s="67"/>
      <c r="X39" s="68"/>
      <c r="Y39" s="124"/>
      <c r="Z39" s="164"/>
      <c r="AA39" s="122"/>
      <c r="AB39" s="3"/>
    </row>
    <row r="40" spans="1:28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123">
        <f>SUM(I9:I39)</f>
        <v>0</v>
      </c>
      <c r="J40" s="103">
        <f t="shared" ref="J40:AA40" si="8">SUM(J9:J39)</f>
        <v>3.1999999999999997</v>
      </c>
      <c r="K40" s="103">
        <f t="shared" si="8"/>
        <v>14.499999999999996</v>
      </c>
      <c r="L40" s="103">
        <f t="shared" si="8"/>
        <v>18.499999999999996</v>
      </c>
      <c r="M40" s="103">
        <f t="shared" si="8"/>
        <v>21.5</v>
      </c>
      <c r="N40" s="103">
        <f t="shared" si="8"/>
        <v>22.099999999999998</v>
      </c>
      <c r="O40" s="103">
        <f t="shared" si="8"/>
        <v>22.200000000000003</v>
      </c>
      <c r="P40" s="103">
        <f t="shared" si="8"/>
        <v>21.400000000000002</v>
      </c>
      <c r="Q40" s="103">
        <f t="shared" si="8"/>
        <v>23.099999999999998</v>
      </c>
      <c r="R40" s="103">
        <f t="shared" si="8"/>
        <v>21.9</v>
      </c>
      <c r="S40" s="103">
        <f t="shared" si="8"/>
        <v>19</v>
      </c>
      <c r="T40" s="103">
        <f t="shared" si="8"/>
        <v>10</v>
      </c>
      <c r="U40" s="103">
        <f t="shared" si="8"/>
        <v>0.7</v>
      </c>
      <c r="V40" s="103">
        <f t="shared" si="8"/>
        <v>0</v>
      </c>
      <c r="W40" s="103">
        <f t="shared" si="8"/>
        <v>102.00000000000001</v>
      </c>
      <c r="X40" s="103">
        <f t="shared" si="8"/>
        <v>96.09999999999998</v>
      </c>
      <c r="Y40" s="103">
        <f t="shared" si="8"/>
        <v>198.10000000000005</v>
      </c>
      <c r="Z40" s="103">
        <f t="shared" si="8"/>
        <v>354.51886153317855</v>
      </c>
      <c r="AA40" s="103">
        <f t="shared" si="8"/>
        <v>1681.7532354232612</v>
      </c>
      <c r="AB40" s="100"/>
    </row>
    <row r="41" spans="1:28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8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</sheetData>
  <sheetProtection selectLockedCells="1" selectUnlockedCells="1"/>
  <mergeCells count="2">
    <mergeCell ref="I5:W5"/>
    <mergeCell ref="I7:U7"/>
  </mergeCells>
  <pageMargins left="0.78749999999999998" right="0" top="0.39374999999999999" bottom="0.98402777777777772" header="0.51180555555555551" footer="0.51180555555555551"/>
  <pageSetup paperSize="39" scale="50" firstPageNumber="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31" sqref="A31"/>
    </sheetView>
  </sheetViews>
  <sheetFormatPr defaultColWidth="11.42578125" defaultRowHeight="12.75"/>
  <cols>
    <col min="1" max="1" width="8.7109375" style="7" customWidth="1"/>
    <col min="2" max="2" width="12.7109375" style="7" customWidth="1"/>
    <col min="3" max="3" width="13.42578125" style="7" customWidth="1"/>
    <col min="4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93</v>
      </c>
      <c r="B1" s="2"/>
      <c r="C1" s="3"/>
      <c r="D1" s="4"/>
      <c r="E1" s="3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59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88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86</v>
      </c>
      <c r="W3" s="3"/>
      <c r="X3" s="3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9"/>
      <c r="X4" s="3"/>
      <c r="Y4" s="108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52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53" t="s">
        <v>49</v>
      </c>
      <c r="Z8" s="51" t="s">
        <v>49</v>
      </c>
      <c r="AA8" s="54" t="s">
        <v>49</v>
      </c>
      <c r="AB8" s="3"/>
    </row>
    <row r="9" spans="1:28" ht="18" customHeight="1">
      <c r="A9" s="109">
        <v>1</v>
      </c>
      <c r="B9" s="56">
        <v>29.3</v>
      </c>
      <c r="C9" s="73">
        <f>'[1]cálculos teóricos'!K277</f>
        <v>1.01957237182362</v>
      </c>
      <c r="D9" s="58">
        <f>IF(B9&gt;0,B9*C9*14.25*1.022,-999)</f>
        <v>435.06228754566138</v>
      </c>
      <c r="E9" s="59">
        <f>IF(B9&gt;0,D9*4.1868/100,-999)</f>
        <v>18.215187854961751</v>
      </c>
      <c r="F9" s="60">
        <f>IF(B9&gt;0,(7.86+1.25*D9)*4.1868/100,-999)</f>
        <v>23.098067298702187</v>
      </c>
      <c r="G9" s="61">
        <f>'[1]cálculos teóricos'!T277</f>
        <v>35.503995314044545</v>
      </c>
      <c r="H9" s="62">
        <f>IF(B9&gt;0,100*F9/G9,-999)</f>
        <v>65.057656453568569</v>
      </c>
      <c r="I9" s="63"/>
      <c r="J9" s="63">
        <v>0.3</v>
      </c>
      <c r="K9" s="63">
        <v>1</v>
      </c>
      <c r="L9" s="63">
        <v>1</v>
      </c>
      <c r="M9" s="63">
        <v>1</v>
      </c>
      <c r="N9" s="63">
        <v>1</v>
      </c>
      <c r="O9" s="145">
        <v>1</v>
      </c>
      <c r="P9" s="78">
        <v>1</v>
      </c>
      <c r="Q9" s="75">
        <v>1</v>
      </c>
      <c r="R9" s="75">
        <v>1</v>
      </c>
      <c r="S9" s="75">
        <v>1</v>
      </c>
      <c r="T9" s="81">
        <v>1</v>
      </c>
      <c r="U9" s="63"/>
      <c r="V9" s="64"/>
      <c r="W9" s="67">
        <f t="shared" ref="W9:W39" si="0">SUM(I9:O9)</f>
        <v>5.3</v>
      </c>
      <c r="X9" s="68">
        <f>SUM(P9:V9)</f>
        <v>5</v>
      </c>
      <c r="Y9" s="114">
        <f>W9+X9</f>
        <v>10.3</v>
      </c>
      <c r="Z9" s="70">
        <f>'[1]cálculos teóricos'!I277</f>
        <v>12.167500069639472</v>
      </c>
      <c r="AA9" s="71">
        <f>100*Y9/Z9</f>
        <v>84.651735697957506</v>
      </c>
      <c r="AB9" s="3"/>
    </row>
    <row r="10" spans="1:28" ht="18" customHeight="1">
      <c r="A10" s="109">
        <v>2</v>
      </c>
      <c r="B10" s="56">
        <v>28.2</v>
      </c>
      <c r="C10" s="73">
        <f>'[1]cálculos teóricos'!K278</f>
        <v>1.020282714447148</v>
      </c>
      <c r="D10" s="58">
        <f>IF(B10&gt;0,B10*C10*14.25*1.022,-999)</f>
        <v>419.02062219419929</v>
      </c>
      <c r="E10" s="59">
        <f>IF(B10&gt;0,D10*4.1868/100,-999)</f>
        <v>17.543555410026737</v>
      </c>
      <c r="F10" s="60">
        <f>IF(B10&gt;0,(7.86+1.25*D10)*4.1868/100,-999)</f>
        <v>22.258526742533423</v>
      </c>
      <c r="G10" s="61">
        <f>'[1]cálculos teóricos'!T278</f>
        <v>35.67488085200516</v>
      </c>
      <c r="H10" s="74">
        <f>IF(B10&gt;0,100*F10/G10,-999)</f>
        <v>62.392715016684768</v>
      </c>
      <c r="I10" s="56"/>
      <c r="J10" s="75">
        <v>0.2</v>
      </c>
      <c r="K10" s="75">
        <v>1</v>
      </c>
      <c r="L10" s="75">
        <v>1</v>
      </c>
      <c r="M10" s="75">
        <v>1</v>
      </c>
      <c r="N10" s="75">
        <v>1</v>
      </c>
      <c r="O10" s="75">
        <v>1</v>
      </c>
      <c r="P10" s="78">
        <v>1</v>
      </c>
      <c r="Q10" s="75">
        <v>1</v>
      </c>
      <c r="R10" s="75">
        <v>1</v>
      </c>
      <c r="S10" s="75">
        <v>1</v>
      </c>
      <c r="T10" s="81">
        <v>0.8</v>
      </c>
      <c r="U10" s="81"/>
      <c r="V10" s="77"/>
      <c r="W10" s="67">
        <f t="shared" si="0"/>
        <v>5.2</v>
      </c>
      <c r="X10" s="68">
        <f t="shared" ref="X10:X39" si="1">SUM(P10:V10)</f>
        <v>4.8</v>
      </c>
      <c r="Y10" s="117">
        <f t="shared" ref="Y10:Y39" si="2">W10+X10</f>
        <v>10</v>
      </c>
      <c r="Z10" s="70">
        <f>'[1]cálculos teóricos'!I278</f>
        <v>12.190249946048064</v>
      </c>
      <c r="AA10" s="71">
        <f t="shared" ref="AA10:AA39" si="3">100*Y10/Z10</f>
        <v>82.032772455513779</v>
      </c>
      <c r="AB10" s="3"/>
    </row>
    <row r="11" spans="1:28" ht="18" customHeight="1">
      <c r="A11" s="109">
        <v>3</v>
      </c>
      <c r="B11" s="56">
        <v>15.2</v>
      </c>
      <c r="C11" s="73">
        <f>'[1]cálculos teóricos'!K279</f>
        <v>1.0209821495023679</v>
      </c>
      <c r="D11" s="58">
        <f t="shared" ref="D11:D39" si="4">IF(B11&gt;0,B11*C11*14.25*1.022,-999)</f>
        <v>226.00991772102157</v>
      </c>
      <c r="E11" s="59">
        <f t="shared" ref="E11:E39" si="5">IF(B11&gt;0,D11*4.1868/100,-999)</f>
        <v>9.4625832351437307</v>
      </c>
      <c r="F11" s="60">
        <f t="shared" ref="F11:F39" si="6">IF(B11&gt;0,(7.86+1.25*D11)*4.1868/100,-999)</f>
        <v>12.157311523929664</v>
      </c>
      <c r="G11" s="61">
        <f>'[1]cálculos teóricos'!T279</f>
        <v>35.84444692712988</v>
      </c>
      <c r="H11" s="74">
        <f t="shared" ref="H11:H39" si="7">IF(B11&gt;0,100*F11/G11,-999)</f>
        <v>33.916861790739638</v>
      </c>
      <c r="I11" s="56"/>
      <c r="J11" s="75"/>
      <c r="K11" s="75"/>
      <c r="L11" s="75"/>
      <c r="M11" s="75">
        <v>0.2</v>
      </c>
      <c r="N11" s="75">
        <v>0.3</v>
      </c>
      <c r="O11" s="75">
        <v>0.7</v>
      </c>
      <c r="P11" s="78">
        <v>0.2</v>
      </c>
      <c r="Q11" s="75">
        <v>0.8</v>
      </c>
      <c r="R11" s="75">
        <v>0.3</v>
      </c>
      <c r="S11" s="75"/>
      <c r="T11" s="81"/>
      <c r="U11" s="81"/>
      <c r="V11" s="77"/>
      <c r="W11" s="67">
        <f t="shared" si="0"/>
        <v>1.2</v>
      </c>
      <c r="X11" s="68">
        <f t="shared" si="1"/>
        <v>1.3</v>
      </c>
      <c r="Y11" s="117">
        <f t="shared" si="2"/>
        <v>2.5</v>
      </c>
      <c r="Z11" s="70">
        <f>'[1]cálculos teóricos'!I279</f>
        <v>12.212987834048798</v>
      </c>
      <c r="AA11" s="71">
        <f t="shared" si="3"/>
        <v>20.470011384357619</v>
      </c>
      <c r="AB11" s="3"/>
    </row>
    <row r="12" spans="1:28" ht="18" customHeight="1">
      <c r="A12" s="109">
        <v>4</v>
      </c>
      <c r="B12" s="56">
        <v>7</v>
      </c>
      <c r="C12" s="73">
        <f>'[1]cálculos teóricos'!K280</f>
        <v>1.0216705443120255</v>
      </c>
      <c r="D12" s="58">
        <f t="shared" si="4"/>
        <v>104.15369280461729</v>
      </c>
      <c r="E12" s="59">
        <f t="shared" si="5"/>
        <v>4.360706810343717</v>
      </c>
      <c r="F12" s="60">
        <f t="shared" si="6"/>
        <v>5.7799659929296467</v>
      </c>
      <c r="G12" s="61">
        <f>'[1]cálculos teóricos'!T280</f>
        <v>36.012647053054536</v>
      </c>
      <c r="H12" s="74">
        <f t="shared" si="7"/>
        <v>16.049822675946281</v>
      </c>
      <c r="I12" s="56"/>
      <c r="J12" s="75"/>
      <c r="K12" s="75"/>
      <c r="L12" s="75"/>
      <c r="M12" s="75"/>
      <c r="N12" s="75"/>
      <c r="O12" s="75"/>
      <c r="P12" s="78"/>
      <c r="Q12" s="78"/>
      <c r="R12" s="75"/>
      <c r="S12" s="75"/>
      <c r="T12" s="81"/>
      <c r="U12" s="81"/>
      <c r="V12" s="77"/>
      <c r="W12" s="67">
        <f t="shared" si="0"/>
        <v>0</v>
      </c>
      <c r="X12" s="68">
        <f t="shared" si="1"/>
        <v>0</v>
      </c>
      <c r="Y12" s="117">
        <f t="shared" si="2"/>
        <v>0</v>
      </c>
      <c r="Z12" s="70">
        <f>'[1]cálculos teóricos'!I280</f>
        <v>12.235710189687937</v>
      </c>
      <c r="AA12" s="71">
        <f t="shared" si="3"/>
        <v>0</v>
      </c>
      <c r="AB12" s="3"/>
    </row>
    <row r="13" spans="1:28" ht="18" customHeight="1">
      <c r="A13" s="72">
        <v>5</v>
      </c>
      <c r="B13" s="56">
        <v>29.4</v>
      </c>
      <c r="C13" s="73">
        <f>'[1]cálculos teóricos'!K281</f>
        <v>1.0223477747586711</v>
      </c>
      <c r="D13" s="58">
        <f t="shared" si="4"/>
        <v>437.73547744031845</v>
      </c>
      <c r="E13" s="59">
        <f t="shared" si="5"/>
        <v>18.327108969471254</v>
      </c>
      <c r="F13" s="60">
        <f t="shared" si="6"/>
        <v>23.237968691839068</v>
      </c>
      <c r="G13" s="61">
        <f>'[1]cálculos teóricos'!T281</f>
        <v>36.179435712867594</v>
      </c>
      <c r="H13" s="74">
        <f t="shared" si="7"/>
        <v>64.229770956804174</v>
      </c>
      <c r="I13" s="56"/>
      <c r="J13" s="75"/>
      <c r="K13" s="75">
        <v>0.1</v>
      </c>
      <c r="L13" s="75">
        <v>0.6</v>
      </c>
      <c r="M13" s="75">
        <v>1</v>
      </c>
      <c r="N13" s="75">
        <v>1</v>
      </c>
      <c r="O13" s="75">
        <v>1</v>
      </c>
      <c r="P13" s="78">
        <v>1</v>
      </c>
      <c r="Q13" s="78">
        <v>1</v>
      </c>
      <c r="R13" s="75">
        <v>1</v>
      </c>
      <c r="S13" s="75">
        <v>1</v>
      </c>
      <c r="T13" s="81">
        <v>1</v>
      </c>
      <c r="U13" s="81"/>
      <c r="V13" s="77"/>
      <c r="W13" s="67">
        <f t="shared" si="0"/>
        <v>3.7</v>
      </c>
      <c r="X13" s="68">
        <f t="shared" si="1"/>
        <v>5</v>
      </c>
      <c r="Y13" s="117">
        <f t="shared" si="2"/>
        <v>8.6999999999999993</v>
      </c>
      <c r="Z13" s="70">
        <f>'[1]cálculos teóricos'!I281</f>
        <v>12.25841338597343</v>
      </c>
      <c r="AA13" s="71">
        <f t="shared" si="3"/>
        <v>70.971664326110002</v>
      </c>
      <c r="AB13" s="3"/>
    </row>
    <row r="14" spans="1:28" ht="18" customHeight="1">
      <c r="A14" s="72">
        <v>6</v>
      </c>
      <c r="B14" s="56">
        <v>29</v>
      </c>
      <c r="C14" s="73">
        <f>'[1]cálculos teóricos'!K282</f>
        <v>1.0230137253176346</v>
      </c>
      <c r="D14" s="58">
        <f t="shared" si="4"/>
        <v>432.06115127123775</v>
      </c>
      <c r="E14" s="59">
        <f t="shared" si="5"/>
        <v>18.089536281424181</v>
      </c>
      <c r="F14" s="60">
        <f t="shared" si="6"/>
        <v>22.941002831780228</v>
      </c>
      <c r="G14" s="61">
        <f>'[1]cálculos teóricos'!T282</f>
        <v>36.344768382870527</v>
      </c>
      <c r="H14" s="74">
        <f t="shared" si="7"/>
        <v>63.120509092561555</v>
      </c>
      <c r="I14" s="56"/>
      <c r="J14" s="75"/>
      <c r="K14" s="75">
        <v>1</v>
      </c>
      <c r="L14" s="75">
        <v>1</v>
      </c>
      <c r="M14" s="75">
        <v>1</v>
      </c>
      <c r="N14" s="75">
        <v>1</v>
      </c>
      <c r="O14" s="75">
        <v>1</v>
      </c>
      <c r="P14" s="78">
        <v>1</v>
      </c>
      <c r="Q14" s="81">
        <v>1</v>
      </c>
      <c r="R14" s="81">
        <v>1</v>
      </c>
      <c r="S14" s="81">
        <v>1</v>
      </c>
      <c r="T14" s="81">
        <v>1</v>
      </c>
      <c r="U14" s="81"/>
      <c r="V14" s="77"/>
      <c r="W14" s="67">
        <f t="shared" si="0"/>
        <v>5</v>
      </c>
      <c r="X14" s="68">
        <f t="shared" si="1"/>
        <v>5</v>
      </c>
      <c r="Y14" s="117">
        <f t="shared" si="2"/>
        <v>10</v>
      </c>
      <c r="Z14" s="70">
        <f>'[1]cálculos teóricos'!I282</f>
        <v>12.281093706839203</v>
      </c>
      <c r="AA14" s="71">
        <f t="shared" si="3"/>
        <v>81.42597262677927</v>
      </c>
      <c r="AB14" s="3"/>
    </row>
    <row r="15" spans="1:28" ht="18" customHeight="1">
      <c r="A15" s="72">
        <v>7</v>
      </c>
      <c r="B15" s="56">
        <v>25.5</v>
      </c>
      <c r="C15" s="73">
        <f>'[1]cálculos teóricos'!K283</f>
        <v>1.0236682890893776</v>
      </c>
      <c r="D15" s="58">
        <f t="shared" si="4"/>
        <v>380.15892476790532</v>
      </c>
      <c r="E15" s="59">
        <f t="shared" si="5"/>
        <v>15.91649386218266</v>
      </c>
      <c r="F15" s="60">
        <f t="shared" si="6"/>
        <v>20.224699807728324</v>
      </c>
      <c r="G15" s="61">
        <f>'[1]cálculos teóricos'!T283</f>
        <v>36.508601556402283</v>
      </c>
      <c r="H15" s="74">
        <f t="shared" si="7"/>
        <v>55.397081634263934</v>
      </c>
      <c r="I15" s="56"/>
      <c r="J15" s="75"/>
      <c r="K15" s="75">
        <v>0.7</v>
      </c>
      <c r="L15" s="75">
        <v>1</v>
      </c>
      <c r="M15" s="75">
        <v>1</v>
      </c>
      <c r="N15" s="75">
        <v>1</v>
      </c>
      <c r="O15" s="75">
        <v>1</v>
      </c>
      <c r="P15" s="78">
        <v>0.8</v>
      </c>
      <c r="Q15" s="81">
        <v>0.7</v>
      </c>
      <c r="R15" s="81">
        <v>1</v>
      </c>
      <c r="S15" s="81">
        <v>1</v>
      </c>
      <c r="T15" s="81">
        <v>0.5</v>
      </c>
      <c r="U15" s="81"/>
      <c r="V15" s="77"/>
      <c r="W15" s="67">
        <f t="shared" si="0"/>
        <v>4.7</v>
      </c>
      <c r="X15" s="68">
        <f t="shared" si="1"/>
        <v>4</v>
      </c>
      <c r="Y15" s="117">
        <f t="shared" si="2"/>
        <v>8.6999999999999993</v>
      </c>
      <c r="Z15" s="70">
        <f>'[1]cálculos teóricos'!I283</f>
        <v>12.303747341188917</v>
      </c>
      <c r="AA15" s="71">
        <f t="shared" si="3"/>
        <v>70.710164625010208</v>
      </c>
      <c r="AB15" s="3"/>
    </row>
    <row r="16" spans="1:28" ht="18" customHeight="1">
      <c r="A16" s="79">
        <v>8</v>
      </c>
      <c r="B16" s="75">
        <v>14.2</v>
      </c>
      <c r="C16" s="73">
        <f>'[1]cálculos teóricos'!K284</f>
        <v>1.0243113678307814</v>
      </c>
      <c r="D16" s="58">
        <f t="shared" si="4"/>
        <v>211.82933219673089</v>
      </c>
      <c r="E16" s="59">
        <f t="shared" si="5"/>
        <v>8.8688704804127276</v>
      </c>
      <c r="F16" s="60">
        <f t="shared" si="6"/>
        <v>11.415170580515911</v>
      </c>
      <c r="G16" s="61">
        <f>'[1]cálculos teóricos'!T284</f>
        <v>36.670892767648695</v>
      </c>
      <c r="H16" s="74">
        <f t="shared" si="7"/>
        <v>31.128695592015827</v>
      </c>
      <c r="I16" s="78"/>
      <c r="J16" s="80"/>
      <c r="K16" s="80"/>
      <c r="L16" s="80"/>
      <c r="M16" s="80"/>
      <c r="N16" s="80">
        <v>0.7</v>
      </c>
      <c r="O16" s="75">
        <v>0.3</v>
      </c>
      <c r="P16" s="81">
        <v>0.8</v>
      </c>
      <c r="Q16" s="81"/>
      <c r="R16" s="80">
        <v>0.2</v>
      </c>
      <c r="S16" s="80"/>
      <c r="T16" s="80"/>
      <c r="U16" s="80"/>
      <c r="V16" s="77"/>
      <c r="W16" s="67">
        <f t="shared" si="0"/>
        <v>1</v>
      </c>
      <c r="X16" s="68">
        <f t="shared" si="1"/>
        <v>1</v>
      </c>
      <c r="Y16" s="117">
        <f t="shared" si="2"/>
        <v>2</v>
      </c>
      <c r="Z16" s="70">
        <f>'[1]cálculos teóricos'!I284</f>
        <v>12.326370377030226</v>
      </c>
      <c r="AA16" s="71">
        <f t="shared" si="3"/>
        <v>16.225376480062064</v>
      </c>
      <c r="AB16" s="3"/>
    </row>
    <row r="17" spans="1:28" ht="18" customHeight="1">
      <c r="A17" s="79">
        <v>9</v>
      </c>
      <c r="B17" s="75">
        <v>4.2</v>
      </c>
      <c r="C17" s="73">
        <f>'[1]cálculos teóricos'!K285</f>
        <v>1.0249428719848979</v>
      </c>
      <c r="D17" s="58">
        <f t="shared" si="4"/>
        <v>62.69237316783866</v>
      </c>
      <c r="E17" s="59">
        <f t="shared" si="5"/>
        <v>2.6248042797910687</v>
      </c>
      <c r="F17" s="60">
        <f t="shared" si="6"/>
        <v>3.6100878297388364</v>
      </c>
      <c r="G17" s="61">
        <f>'[1]cálculos teóricos'!T285</f>
        <v>36.831600615350567</v>
      </c>
      <c r="H17" s="74">
        <f t="shared" si="7"/>
        <v>9.8016045173834616</v>
      </c>
      <c r="I17" s="78"/>
      <c r="J17" s="80"/>
      <c r="K17" s="80"/>
      <c r="L17" s="80"/>
      <c r="M17" s="80"/>
      <c r="N17" s="80"/>
      <c r="O17" s="75"/>
      <c r="P17" s="81"/>
      <c r="Q17" s="81"/>
      <c r="R17" s="80"/>
      <c r="S17" s="80"/>
      <c r="T17" s="80"/>
      <c r="U17" s="80"/>
      <c r="V17" s="77"/>
      <c r="W17" s="67">
        <f t="shared" si="0"/>
        <v>0</v>
      </c>
      <c r="X17" s="68">
        <f t="shared" si="1"/>
        <v>0</v>
      </c>
      <c r="Y17" s="117">
        <f t="shared" si="2"/>
        <v>0</v>
      </c>
      <c r="Z17" s="70">
        <f>'[1]cálculos teóricos'!I285</f>
        <v>12.348958795711455</v>
      </c>
      <c r="AA17" s="71">
        <f t="shared" si="3"/>
        <v>0</v>
      </c>
      <c r="AB17" s="3"/>
    </row>
    <row r="18" spans="1:28" ht="18" customHeight="1">
      <c r="A18" s="79">
        <v>10</v>
      </c>
      <c r="B18" s="75">
        <v>30.6</v>
      </c>
      <c r="C18" s="73">
        <f>'[1]cálculos teóricos'!K286</f>
        <v>1.025562720708646</v>
      </c>
      <c r="D18" s="58">
        <f t="shared" si="4"/>
        <v>457.03495010103524</v>
      </c>
      <c r="E18" s="59">
        <f t="shared" si="5"/>
        <v>19.135139290830143</v>
      </c>
      <c r="F18" s="60">
        <f t="shared" si="6"/>
        <v>24.248006593537681</v>
      </c>
      <c r="G18" s="61">
        <f>'[1]cálculos teóricos'!T286</f>
        <v>36.990684786317473</v>
      </c>
      <c r="H18" s="74">
        <f t="shared" si="7"/>
        <v>65.551656406498324</v>
      </c>
      <c r="I18" s="78"/>
      <c r="J18" s="80"/>
      <c r="K18" s="80">
        <v>0.7</v>
      </c>
      <c r="L18" s="80">
        <v>1</v>
      </c>
      <c r="M18" s="80">
        <v>0.9</v>
      </c>
      <c r="N18" s="80">
        <v>0.9</v>
      </c>
      <c r="O18" s="75">
        <v>0.7</v>
      </c>
      <c r="P18" s="78">
        <v>1</v>
      </c>
      <c r="Q18" s="81">
        <v>1</v>
      </c>
      <c r="R18" s="80">
        <v>1</v>
      </c>
      <c r="S18" s="80">
        <v>1</v>
      </c>
      <c r="T18" s="80">
        <v>1</v>
      </c>
      <c r="U18" s="80">
        <v>0.7</v>
      </c>
      <c r="V18" s="77"/>
      <c r="W18" s="67">
        <f t="shared" si="0"/>
        <v>4.2</v>
      </c>
      <c r="X18" s="68">
        <f t="shared" si="1"/>
        <v>5.7</v>
      </c>
      <c r="Y18" s="117">
        <f t="shared" si="2"/>
        <v>9.9</v>
      </c>
      <c r="Z18" s="70">
        <f>'[1]cálculos teóricos'!I286</f>
        <v>12.371508466272868</v>
      </c>
      <c r="AA18" s="71">
        <f t="shared" si="3"/>
        <v>80.022577901387862</v>
      </c>
      <c r="AB18" s="3"/>
    </row>
    <row r="19" spans="1:28" ht="18" customHeight="1">
      <c r="A19" s="79">
        <v>11</v>
      </c>
      <c r="B19" s="75">
        <v>34.799999999999997</v>
      </c>
      <c r="C19" s="73">
        <f>'[1]cálculos teóricos'!K287</f>
        <v>1.0261708418979132</v>
      </c>
      <c r="D19" s="58">
        <f t="shared" si="4"/>
        <v>520.07343914811304</v>
      </c>
      <c r="E19" s="59">
        <f t="shared" si="5"/>
        <v>21.774434750253196</v>
      </c>
      <c r="F19" s="60">
        <f t="shared" si="6"/>
        <v>27.547125917816494</v>
      </c>
      <c r="G19" s="61">
        <f>'[1]cálculos teóricos'!T287</f>
        <v>37.148106078648368</v>
      </c>
      <c r="H19" s="74">
        <f t="shared" si="7"/>
        <v>74.154859629976571</v>
      </c>
      <c r="I19" s="78"/>
      <c r="J19" s="80">
        <v>1</v>
      </c>
      <c r="K19" s="80">
        <v>1</v>
      </c>
      <c r="L19" s="80">
        <v>1</v>
      </c>
      <c r="M19" s="80">
        <v>1</v>
      </c>
      <c r="N19" s="80">
        <v>1</v>
      </c>
      <c r="O19" s="75">
        <v>1</v>
      </c>
      <c r="P19" s="81">
        <v>1</v>
      </c>
      <c r="Q19" s="80">
        <v>1</v>
      </c>
      <c r="R19" s="80">
        <v>1</v>
      </c>
      <c r="S19" s="80">
        <v>1</v>
      </c>
      <c r="T19" s="80">
        <v>0.6</v>
      </c>
      <c r="U19" s="80">
        <v>0.4</v>
      </c>
      <c r="V19" s="77"/>
      <c r="W19" s="67">
        <f t="shared" si="0"/>
        <v>6</v>
      </c>
      <c r="X19" s="68">
        <f t="shared" si="1"/>
        <v>5</v>
      </c>
      <c r="Y19" s="117">
        <f t="shared" si="2"/>
        <v>11</v>
      </c>
      <c r="Z19" s="70">
        <f>'[1]cálculos teóricos'!I287</f>
        <v>12.394015139925731</v>
      </c>
      <c r="AA19" s="71">
        <f t="shared" si="3"/>
        <v>88.752513820681969</v>
      </c>
      <c r="AB19" s="3"/>
    </row>
    <row r="20" spans="1:28" ht="18" customHeight="1">
      <c r="A20" s="79">
        <v>12</v>
      </c>
      <c r="B20" s="75">
        <v>35</v>
      </c>
      <c r="C20" s="73">
        <f>'[1]cálculos teóricos'!K288</f>
        <v>1.0267671722094867</v>
      </c>
      <c r="D20" s="58">
        <f t="shared" si="4"/>
        <v>523.36632993655007</v>
      </c>
      <c r="E20" s="59">
        <f t="shared" si="5"/>
        <v>21.912301501783478</v>
      </c>
      <c r="F20" s="60">
        <f t="shared" si="6"/>
        <v>27.719459357229344</v>
      </c>
      <c r="G20" s="61">
        <f>'[1]cálculos teóricos'!T288</f>
        <v>37.303826424554515</v>
      </c>
      <c r="H20" s="74">
        <f t="shared" si="7"/>
        <v>74.307281622411665</v>
      </c>
      <c r="I20" s="78"/>
      <c r="J20" s="80">
        <v>0.3</v>
      </c>
      <c r="K20" s="80">
        <v>0.9</v>
      </c>
      <c r="L20" s="80">
        <v>1</v>
      </c>
      <c r="M20" s="80">
        <v>1</v>
      </c>
      <c r="N20" s="80">
        <v>1</v>
      </c>
      <c r="O20" s="75">
        <v>1</v>
      </c>
      <c r="P20" s="81">
        <v>1</v>
      </c>
      <c r="Q20" s="80">
        <v>1</v>
      </c>
      <c r="R20" s="80">
        <v>1</v>
      </c>
      <c r="S20" s="80">
        <v>1</v>
      </c>
      <c r="T20" s="80">
        <v>1</v>
      </c>
      <c r="U20" s="80">
        <v>0.5</v>
      </c>
      <c r="V20" s="77"/>
      <c r="W20" s="67">
        <f t="shared" si="0"/>
        <v>5.2</v>
      </c>
      <c r="X20" s="68">
        <f t="shared" si="1"/>
        <v>5.5</v>
      </c>
      <c r="Y20" s="117">
        <f t="shared" si="2"/>
        <v>10.7</v>
      </c>
      <c r="Z20" s="70">
        <f>'[1]cálculos teóricos'!I288</f>
        <v>12.416474444672822</v>
      </c>
      <c r="AA20" s="71">
        <f t="shared" si="3"/>
        <v>86.175830729396296</v>
      </c>
      <c r="AB20" s="3"/>
    </row>
    <row r="21" spans="1:28" ht="18" customHeight="1">
      <c r="A21" s="79">
        <v>13</v>
      </c>
      <c r="B21" s="75">
        <v>31.2</v>
      </c>
      <c r="C21" s="73">
        <f>'[1]cálculos teóricos'!K289</f>
        <v>1.0273516570792156</v>
      </c>
      <c r="D21" s="58">
        <f t="shared" si="4"/>
        <v>466.80927876564243</v>
      </c>
      <c r="E21" s="59">
        <f t="shared" si="5"/>
        <v>19.544370883359917</v>
      </c>
      <c r="F21" s="60">
        <f t="shared" si="6"/>
        <v>24.759546084199897</v>
      </c>
      <c r="G21" s="61">
        <f>'[1]cálculos teóricos'!T289</f>
        <v>37.457808912674437</v>
      </c>
      <c r="H21" s="74">
        <f t="shared" si="7"/>
        <v>66.099824850732574</v>
      </c>
      <c r="I21" s="78"/>
      <c r="J21" s="80">
        <v>0.7</v>
      </c>
      <c r="K21" s="80">
        <v>1</v>
      </c>
      <c r="L21" s="80">
        <v>1</v>
      </c>
      <c r="M21" s="80">
        <v>1</v>
      </c>
      <c r="N21" s="80">
        <v>1</v>
      </c>
      <c r="O21" s="75">
        <v>1</v>
      </c>
      <c r="P21" s="81">
        <v>1</v>
      </c>
      <c r="Q21" s="80">
        <v>1</v>
      </c>
      <c r="R21" s="80">
        <v>1</v>
      </c>
      <c r="S21" s="80">
        <v>1</v>
      </c>
      <c r="T21" s="80">
        <v>1</v>
      </c>
      <c r="U21" s="80"/>
      <c r="V21" s="77"/>
      <c r="W21" s="67">
        <f t="shared" si="0"/>
        <v>5.7</v>
      </c>
      <c r="X21" s="68">
        <f t="shared" si="1"/>
        <v>5</v>
      </c>
      <c r="Y21" s="117">
        <f t="shared" si="2"/>
        <v>10.7</v>
      </c>
      <c r="Z21" s="70">
        <f>'[1]cálculos teóricos'!I289</f>
        <v>12.438881880084809</v>
      </c>
      <c r="AA21" s="71">
        <f t="shared" si="3"/>
        <v>86.020593355188666</v>
      </c>
      <c r="AB21" s="3"/>
    </row>
    <row r="22" spans="1:28" ht="18" customHeight="1">
      <c r="A22" s="79">
        <v>14</v>
      </c>
      <c r="B22" s="75">
        <v>31.3</v>
      </c>
      <c r="C22" s="73">
        <f>'[1]cálculos teóricos'!K290</f>
        <v>1.0279242507357855</v>
      </c>
      <c r="D22" s="58">
        <f t="shared" si="4"/>
        <v>468.56647204098618</v>
      </c>
      <c r="E22" s="59">
        <f t="shared" si="5"/>
        <v>19.617941051412007</v>
      </c>
      <c r="F22" s="60">
        <f t="shared" si="6"/>
        <v>24.851508794265008</v>
      </c>
      <c r="G22" s="61">
        <f>'[1]cálculos teóricos'!T290</f>
        <v>37.610017809767371</v>
      </c>
      <c r="H22" s="74">
        <f t="shared" si="7"/>
        <v>66.076833358507585</v>
      </c>
      <c r="I22" s="78"/>
      <c r="J22" s="80">
        <v>0.2</v>
      </c>
      <c r="K22" s="80">
        <v>1</v>
      </c>
      <c r="L22" s="80">
        <v>1</v>
      </c>
      <c r="M22" s="80">
        <v>1</v>
      </c>
      <c r="N22" s="80">
        <v>1</v>
      </c>
      <c r="O22" s="75">
        <v>1</v>
      </c>
      <c r="P22" s="81">
        <v>1</v>
      </c>
      <c r="Q22" s="80">
        <v>1</v>
      </c>
      <c r="R22" s="80">
        <v>1</v>
      </c>
      <c r="S22" s="80">
        <v>1</v>
      </c>
      <c r="T22" s="80">
        <v>1</v>
      </c>
      <c r="U22" s="80">
        <v>0.1</v>
      </c>
      <c r="V22" s="77"/>
      <c r="W22" s="67">
        <f t="shared" si="0"/>
        <v>5.2</v>
      </c>
      <c r="X22" s="68">
        <f t="shared" si="1"/>
        <v>5.0999999999999996</v>
      </c>
      <c r="Y22" s="117">
        <f t="shared" si="2"/>
        <v>10.3</v>
      </c>
      <c r="Z22" s="70">
        <f>'[1]cálculos teóricos'!I290</f>
        <v>12.461232812247786</v>
      </c>
      <c r="AA22" s="71">
        <f t="shared" si="3"/>
        <v>82.656348333982066</v>
      </c>
      <c r="AB22" s="3"/>
    </row>
    <row r="23" spans="1:28" ht="18" customHeight="1">
      <c r="A23" s="79">
        <v>15</v>
      </c>
      <c r="B23" s="75">
        <v>9.1999999999999993</v>
      </c>
      <c r="C23" s="73">
        <f>'[1]cálculos teóricos'!K291</f>
        <v>1.0284849162094551</v>
      </c>
      <c r="D23" s="58">
        <f t="shared" si="4"/>
        <v>137.80072871039087</v>
      </c>
      <c r="E23" s="59">
        <f t="shared" si="5"/>
        <v>5.7694409096466446</v>
      </c>
      <c r="F23" s="60">
        <f t="shared" si="6"/>
        <v>7.5408836170583076</v>
      </c>
      <c r="G23" s="61">
        <f>'[1]cálculos teóricos'!T291</f>
        <v>37.760418581666087</v>
      </c>
      <c r="H23" s="74">
        <f t="shared" si="7"/>
        <v>19.970339048941717</v>
      </c>
      <c r="I23" s="78"/>
      <c r="J23" s="80"/>
      <c r="K23" s="80"/>
      <c r="L23" s="80"/>
      <c r="M23" s="80"/>
      <c r="N23" s="80"/>
      <c r="O23" s="75"/>
      <c r="P23" s="81"/>
      <c r="Q23" s="80"/>
      <c r="R23" s="80"/>
      <c r="S23" s="80"/>
      <c r="T23" s="80"/>
      <c r="U23" s="80"/>
      <c r="V23" s="77"/>
      <c r="W23" s="67">
        <f t="shared" si="0"/>
        <v>0</v>
      </c>
      <c r="X23" s="68">
        <f t="shared" si="1"/>
        <v>0</v>
      </c>
      <c r="Y23" s="117">
        <f t="shared" si="2"/>
        <v>0</v>
      </c>
      <c r="Z23" s="70">
        <f>'[1]cálculos teóricos'!I291</f>
        <v>12.483522468897803</v>
      </c>
      <c r="AA23" s="71">
        <f t="shared" si="3"/>
        <v>0</v>
      </c>
      <c r="AB23" s="3"/>
    </row>
    <row r="24" spans="1:28" ht="18" customHeight="1">
      <c r="A24" s="79">
        <v>16</v>
      </c>
      <c r="B24" s="75">
        <v>6.3</v>
      </c>
      <c r="C24" s="73">
        <f>'[1]cálculos teóricos'!K292</f>
        <v>1.0290336253351089</v>
      </c>
      <c r="D24" s="58">
        <f t="shared" si="4"/>
        <v>94.413886576177504</v>
      </c>
      <c r="E24" s="59">
        <f t="shared" si="5"/>
        <v>3.9529206031713993</v>
      </c>
      <c r="F24" s="60">
        <f t="shared" si="6"/>
        <v>5.2702332339642499</v>
      </c>
      <c r="G24" s="61">
        <f>'[1]cálculos teóricos'!T292</f>
        <v>37.908977913368176</v>
      </c>
      <c r="H24" s="74">
        <f t="shared" si="7"/>
        <v>13.902335341269545</v>
      </c>
      <c r="I24" s="78"/>
      <c r="J24" s="80"/>
      <c r="K24" s="80"/>
      <c r="L24" s="80"/>
      <c r="M24" s="80"/>
      <c r="N24" s="80"/>
      <c r="O24" s="75"/>
      <c r="P24" s="81"/>
      <c r="Q24" s="80"/>
      <c r="R24" s="80"/>
      <c r="S24" s="80"/>
      <c r="T24" s="80"/>
      <c r="U24" s="80"/>
      <c r="V24" s="77"/>
      <c r="W24" s="67">
        <f t="shared" si="0"/>
        <v>0</v>
      </c>
      <c r="X24" s="68">
        <f t="shared" si="1"/>
        <v>0</v>
      </c>
      <c r="Y24" s="117">
        <f t="shared" si="2"/>
        <v>0</v>
      </c>
      <c r="Z24" s="70">
        <f>'[1]cálculos teóricos'!I292</f>
        <v>12.505745934759188</v>
      </c>
      <c r="AA24" s="71">
        <f t="shared" si="3"/>
        <v>0</v>
      </c>
      <c r="AB24" s="3"/>
    </row>
    <row r="25" spans="1:28" ht="18" customHeight="1">
      <c r="A25" s="79">
        <v>17</v>
      </c>
      <c r="B25" s="75">
        <v>15.1</v>
      </c>
      <c r="C25" s="73">
        <f>'[1]cálculos teóricos'!K293</f>
        <v>1.0295703587489491</v>
      </c>
      <c r="D25" s="58">
        <f t="shared" si="4"/>
        <v>226.41163358656883</v>
      </c>
      <c r="E25" s="59">
        <f t="shared" si="5"/>
        <v>9.4794022750024638</v>
      </c>
      <c r="F25" s="60">
        <f t="shared" si="6"/>
        <v>12.178335323753078</v>
      </c>
      <c r="G25" s="61">
        <f>'[1]cálculos teóricos'!T293</f>
        <v>38.055663728141198</v>
      </c>
      <c r="H25" s="74">
        <f t="shared" si="7"/>
        <v>32.001374120687082</v>
      </c>
      <c r="I25" s="78"/>
      <c r="J25" s="80"/>
      <c r="K25" s="80"/>
      <c r="L25" s="80">
        <v>0.8</v>
      </c>
      <c r="M25" s="80">
        <v>0.2</v>
      </c>
      <c r="N25" s="80"/>
      <c r="O25" s="75"/>
      <c r="P25" s="81"/>
      <c r="Q25" s="80"/>
      <c r="R25" s="80"/>
      <c r="S25" s="80"/>
      <c r="T25" s="80"/>
      <c r="U25" s="80"/>
      <c r="V25" s="77"/>
      <c r="W25" s="67">
        <f t="shared" si="0"/>
        <v>1</v>
      </c>
      <c r="X25" s="68">
        <f t="shared" si="1"/>
        <v>0</v>
      </c>
      <c r="Y25" s="117">
        <f t="shared" si="2"/>
        <v>1</v>
      </c>
      <c r="Z25" s="70">
        <f>'[1]cálculos teóricos'!I293</f>
        <v>12.527898147104127</v>
      </c>
      <c r="AA25" s="71">
        <f t="shared" si="3"/>
        <v>7.9821849464122119</v>
      </c>
      <c r="AB25" s="3"/>
    </row>
    <row r="26" spans="1:28" ht="18" customHeight="1">
      <c r="A26" s="79">
        <v>18</v>
      </c>
      <c r="B26" s="75">
        <v>28</v>
      </c>
      <c r="C26" s="73">
        <f>'[1]cálculos teóricos'!K294</f>
        <v>1.0300951058781556</v>
      </c>
      <c r="D26" s="58">
        <f t="shared" si="4"/>
        <v>420.05012208478252</v>
      </c>
      <c r="E26" s="59">
        <f t="shared" si="5"/>
        <v>17.586658511445673</v>
      </c>
      <c r="F26" s="60">
        <f t="shared" si="6"/>
        <v>22.312405619307096</v>
      </c>
      <c r="G26" s="61">
        <f>'[1]cálculos teóricos'!T294</f>
        <v>38.200445205516317</v>
      </c>
      <c r="H26" s="74">
        <f t="shared" si="7"/>
        <v>58.40875806359734</v>
      </c>
      <c r="I26" s="78"/>
      <c r="J26" s="80">
        <v>0.2</v>
      </c>
      <c r="K26" s="80">
        <v>0.2</v>
      </c>
      <c r="L26" s="80"/>
      <c r="M26" s="80">
        <v>0.7</v>
      </c>
      <c r="N26" s="80">
        <v>1</v>
      </c>
      <c r="O26" s="75">
        <v>0.8</v>
      </c>
      <c r="P26" s="81">
        <v>0.3</v>
      </c>
      <c r="Q26" s="80">
        <v>0.8</v>
      </c>
      <c r="R26" s="80">
        <v>0.5</v>
      </c>
      <c r="S26" s="80">
        <v>0.2</v>
      </c>
      <c r="T26" s="80">
        <v>0.6</v>
      </c>
      <c r="U26" s="80"/>
      <c r="V26" s="77"/>
      <c r="W26" s="67">
        <f t="shared" si="0"/>
        <v>2.9000000000000004</v>
      </c>
      <c r="X26" s="68">
        <f t="shared" si="1"/>
        <v>2.4</v>
      </c>
      <c r="Y26" s="117">
        <f t="shared" si="2"/>
        <v>5.3000000000000007</v>
      </c>
      <c r="Z26" s="70">
        <f>'[1]cálculos teóricos'!I294</f>
        <v>12.549973891551732</v>
      </c>
      <c r="AA26" s="71">
        <f t="shared" si="3"/>
        <v>42.231163552999924</v>
      </c>
      <c r="AB26" s="3"/>
    </row>
    <row r="27" spans="1:28" ht="18" customHeight="1">
      <c r="A27" s="79">
        <v>19</v>
      </c>
      <c r="B27" s="75">
        <v>23.1</v>
      </c>
      <c r="C27" s="73">
        <f>'[1]cálculos teóricos'!K295</f>
        <v>1.0306078649228301</v>
      </c>
      <c r="D27" s="58">
        <f t="shared" si="4"/>
        <v>346.71385150256401</v>
      </c>
      <c r="E27" s="59">
        <f t="shared" si="5"/>
        <v>14.51621553470935</v>
      </c>
      <c r="F27" s="60">
        <f t="shared" si="6"/>
        <v>18.474351898386686</v>
      </c>
      <c r="G27" s="61">
        <f>'[1]cálculos teóricos'!T295</f>
        <v>38.34329279804254</v>
      </c>
      <c r="H27" s="74">
        <f t="shared" si="7"/>
        <v>48.181443350973282</v>
      </c>
      <c r="I27" s="78"/>
      <c r="J27" s="80"/>
      <c r="K27" s="80"/>
      <c r="L27" s="80"/>
      <c r="M27" s="80">
        <v>0.8</v>
      </c>
      <c r="N27" s="80">
        <v>1</v>
      </c>
      <c r="O27" s="75">
        <v>1</v>
      </c>
      <c r="P27" s="81">
        <v>1</v>
      </c>
      <c r="Q27" s="81">
        <v>0.7</v>
      </c>
      <c r="R27" s="80"/>
      <c r="S27" s="80"/>
      <c r="T27" s="80"/>
      <c r="U27" s="80"/>
      <c r="V27" s="77"/>
      <c r="W27" s="67">
        <f t="shared" si="0"/>
        <v>2.8</v>
      </c>
      <c r="X27" s="68">
        <f t="shared" si="1"/>
        <v>1.7</v>
      </c>
      <c r="Y27" s="117">
        <f t="shared" si="2"/>
        <v>4.5</v>
      </c>
      <c r="Z27" s="70">
        <f>'[1]cálculos teóricos'!I295</f>
        <v>12.571967798125707</v>
      </c>
      <c r="AA27" s="71">
        <f t="shared" si="3"/>
        <v>35.793919235705353</v>
      </c>
      <c r="AB27" s="3"/>
    </row>
    <row r="28" spans="1:28" ht="18" customHeight="1">
      <c r="A28" s="79">
        <v>20</v>
      </c>
      <c r="B28" s="75">
        <v>21</v>
      </c>
      <c r="C28" s="73">
        <f>'[1]cálculos teóricos'!K296</f>
        <v>1.0311086428295455</v>
      </c>
      <c r="D28" s="58">
        <f t="shared" si="4"/>
        <v>315.34756511680985</v>
      </c>
      <c r="E28" s="59">
        <f t="shared" si="5"/>
        <v>13.202971856310594</v>
      </c>
      <c r="F28" s="60">
        <f t="shared" si="6"/>
        <v>16.832797300388243</v>
      </c>
      <c r="G28" s="61">
        <f>'[1]cálculos teóricos'!T296</f>
        <v>38.484178246675384</v>
      </c>
      <c r="H28" s="74">
        <f t="shared" si="7"/>
        <v>43.739526390543141</v>
      </c>
      <c r="I28" s="78"/>
      <c r="J28" s="80">
        <v>0.1</v>
      </c>
      <c r="K28" s="80">
        <v>1</v>
      </c>
      <c r="L28" s="80">
        <v>1</v>
      </c>
      <c r="M28" s="80">
        <v>1</v>
      </c>
      <c r="N28" s="80">
        <v>1</v>
      </c>
      <c r="O28" s="75">
        <v>0.9</v>
      </c>
      <c r="P28" s="81">
        <v>0.7</v>
      </c>
      <c r="Q28" s="81">
        <v>0.3</v>
      </c>
      <c r="R28" s="80">
        <v>0.2</v>
      </c>
      <c r="S28" s="80"/>
      <c r="T28" s="80"/>
      <c r="U28" s="80"/>
      <c r="V28" s="77"/>
      <c r="W28" s="67">
        <f t="shared" si="0"/>
        <v>5</v>
      </c>
      <c r="X28" s="68">
        <f t="shared" si="1"/>
        <v>1.2</v>
      </c>
      <c r="Y28" s="117">
        <f t="shared" si="2"/>
        <v>6.2</v>
      </c>
      <c r="Z28" s="70">
        <f>'[1]cálculos teóricos'!I296</f>
        <v>12.593874337590313</v>
      </c>
      <c r="AA28" s="71">
        <f t="shared" si="3"/>
        <v>49.230283182151361</v>
      </c>
      <c r="AB28" s="3"/>
    </row>
    <row r="29" spans="1:28" ht="18" customHeight="1">
      <c r="A29" s="79">
        <v>21</v>
      </c>
      <c r="B29" s="75">
        <v>24.7</v>
      </c>
      <c r="C29" s="73">
        <f>'[1]cálculos teóricos'!K297</f>
        <v>1.0315974552558274</v>
      </c>
      <c r="D29" s="58">
        <f t="shared" si="4"/>
        <v>371.08463762857059</v>
      </c>
      <c r="E29" s="59">
        <f t="shared" si="5"/>
        <v>15.536571608232993</v>
      </c>
      <c r="F29" s="60">
        <f t="shared" si="6"/>
        <v>19.749796990291244</v>
      </c>
      <c r="G29" s="61">
        <f>'[1]cálculos teóricos'!T297</f>
        <v>38.623074594672374</v>
      </c>
      <c r="H29" s="74">
        <f t="shared" si="7"/>
        <v>51.134709490516613</v>
      </c>
      <c r="I29" s="78"/>
      <c r="J29" s="80"/>
      <c r="K29" s="80"/>
      <c r="L29" s="80"/>
      <c r="M29" s="80">
        <v>0.1</v>
      </c>
      <c r="N29" s="80">
        <v>0.7</v>
      </c>
      <c r="O29" s="75">
        <v>1</v>
      </c>
      <c r="P29" s="81">
        <v>1</v>
      </c>
      <c r="Q29" s="81">
        <v>1</v>
      </c>
      <c r="R29" s="80">
        <v>1</v>
      </c>
      <c r="S29" s="80">
        <v>0.5</v>
      </c>
      <c r="T29" s="80">
        <v>0.9</v>
      </c>
      <c r="U29" s="80">
        <v>0.1</v>
      </c>
      <c r="V29" s="77"/>
      <c r="W29" s="67">
        <f t="shared" si="0"/>
        <v>1.7999999999999998</v>
      </c>
      <c r="X29" s="68">
        <f t="shared" si="1"/>
        <v>4.5</v>
      </c>
      <c r="Y29" s="117">
        <f t="shared" si="2"/>
        <v>6.3</v>
      </c>
      <c r="Z29" s="70">
        <f>'[1]cálculos teóricos'!I297</f>
        <v>12.615687818085217</v>
      </c>
      <c r="AA29" s="71">
        <f t="shared" si="3"/>
        <v>49.937824166579617</v>
      </c>
      <c r="AB29" s="3"/>
    </row>
    <row r="30" spans="1:28" ht="18" customHeight="1">
      <c r="A30" s="79">
        <v>22</v>
      </c>
      <c r="B30" s="75">
        <v>29.9</v>
      </c>
      <c r="C30" s="73">
        <f>'[1]cálculos teóricos'!K298</f>
        <v>1.0320743265248982</v>
      </c>
      <c r="D30" s="58">
        <f t="shared" si="4"/>
        <v>449.41537218492607</v>
      </c>
      <c r="E30" s="59">
        <f t="shared" si="5"/>
        <v>18.816122802638482</v>
      </c>
      <c r="F30" s="60">
        <f t="shared" si="6"/>
        <v>23.849235983298104</v>
      </c>
      <c r="G30" s="61">
        <f>'[1]cálculos teóricos'!T298</f>
        <v>38.759956199870359</v>
      </c>
      <c r="H30" s="74">
        <f t="shared" si="7"/>
        <v>61.530606124312058</v>
      </c>
      <c r="I30" s="78"/>
      <c r="J30" s="80"/>
      <c r="K30" s="80">
        <v>0.7</v>
      </c>
      <c r="L30" s="80">
        <v>1</v>
      </c>
      <c r="M30" s="80">
        <v>0.8</v>
      </c>
      <c r="N30" s="80">
        <v>0.8</v>
      </c>
      <c r="O30" s="75">
        <v>1</v>
      </c>
      <c r="P30" s="81">
        <v>1</v>
      </c>
      <c r="Q30" s="81">
        <v>1</v>
      </c>
      <c r="R30" s="80">
        <v>1</v>
      </c>
      <c r="S30" s="80"/>
      <c r="T30" s="80">
        <v>0.1</v>
      </c>
      <c r="U30" s="80"/>
      <c r="V30" s="77"/>
      <c r="W30" s="67">
        <f t="shared" si="0"/>
        <v>4.3</v>
      </c>
      <c r="X30" s="68">
        <f t="shared" si="1"/>
        <v>3.1</v>
      </c>
      <c r="Y30" s="117">
        <f t="shared" si="2"/>
        <v>7.4</v>
      </c>
      <c r="Z30" s="70">
        <f>'[1]cálculos teóricos'!I298</f>
        <v>12.637402382080378</v>
      </c>
      <c r="AA30" s="71">
        <f t="shared" si="3"/>
        <v>58.556337578465289</v>
      </c>
      <c r="AB30" s="3"/>
    </row>
    <row r="31" spans="1:28" ht="18" customHeight="1">
      <c r="A31" s="79">
        <v>23</v>
      </c>
      <c r="B31" s="75">
        <v>37.1</v>
      </c>
      <c r="C31" s="73">
        <f>'[1]cálculos teóricos'!K299</f>
        <v>1.032539289570032</v>
      </c>
      <c r="D31" s="58">
        <f t="shared" si="4"/>
        <v>557.88701850953225</v>
      </c>
      <c r="E31" s="59">
        <f t="shared" si="5"/>
        <v>23.357613690957095</v>
      </c>
      <c r="F31" s="60">
        <f t="shared" si="6"/>
        <v>29.526099593696369</v>
      </c>
      <c r="G31" s="61">
        <f>'[1]cálculos teóricos'!T299</f>
        <v>38.894798745221976</v>
      </c>
      <c r="H31" s="74">
        <f t="shared" si="7"/>
        <v>75.912719814043243</v>
      </c>
      <c r="I31" s="78"/>
      <c r="J31" s="80">
        <v>1</v>
      </c>
      <c r="K31" s="80">
        <v>0.8</v>
      </c>
      <c r="L31" s="80">
        <v>1</v>
      </c>
      <c r="M31" s="80">
        <v>1</v>
      </c>
      <c r="N31" s="80">
        <v>1</v>
      </c>
      <c r="O31" s="75">
        <v>1</v>
      </c>
      <c r="P31" s="81">
        <v>1</v>
      </c>
      <c r="Q31" s="81">
        <v>1</v>
      </c>
      <c r="R31" s="80">
        <v>1</v>
      </c>
      <c r="S31" s="80">
        <v>1</v>
      </c>
      <c r="T31" s="80">
        <v>1</v>
      </c>
      <c r="U31" s="80">
        <v>0.3</v>
      </c>
      <c r="V31" s="77"/>
      <c r="W31" s="67">
        <f t="shared" si="0"/>
        <v>5.8</v>
      </c>
      <c r="X31" s="68">
        <f t="shared" si="1"/>
        <v>5.3</v>
      </c>
      <c r="Y31" s="117">
        <f t="shared" si="2"/>
        <v>11.1</v>
      </c>
      <c r="Z31" s="70">
        <f>'[1]cálculos teóricos'!I299</f>
        <v>12.65901200367289</v>
      </c>
      <c r="AA31" s="71">
        <f t="shared" si="3"/>
        <v>87.684568090933496</v>
      </c>
      <c r="AB31" s="3"/>
    </row>
    <row r="32" spans="1:28" ht="18" customHeight="1">
      <c r="A32" s="79">
        <v>24</v>
      </c>
      <c r="B32" s="75">
        <v>12.5</v>
      </c>
      <c r="C32" s="73">
        <f>'[1]cálculos teóricos'!K300</f>
        <v>1.0329923858678827</v>
      </c>
      <c r="D32" s="58">
        <f t="shared" si="4"/>
        <v>188.04980764483636</v>
      </c>
      <c r="E32" s="59">
        <f t="shared" si="5"/>
        <v>7.8732693464740091</v>
      </c>
      <c r="F32" s="60">
        <f t="shared" si="6"/>
        <v>10.170669163092512</v>
      </c>
      <c r="G32" s="61">
        <f>'[1]cálculos teóricos'!T300</f>
        <v>39.027579247470733</v>
      </c>
      <c r="H32" s="74">
        <f t="shared" si="7"/>
        <v>26.060210136532216</v>
      </c>
      <c r="I32" s="78"/>
      <c r="J32" s="80"/>
      <c r="K32" s="80"/>
      <c r="L32" s="80"/>
      <c r="M32" s="80"/>
      <c r="N32" s="80"/>
      <c r="O32" s="75"/>
      <c r="P32" s="81"/>
      <c r="Q32" s="81"/>
      <c r="R32" s="80">
        <v>0.6</v>
      </c>
      <c r="S32" s="80">
        <v>0.3</v>
      </c>
      <c r="T32" s="80"/>
      <c r="U32" s="80"/>
      <c r="V32" s="77"/>
      <c r="W32" s="67">
        <f t="shared" si="0"/>
        <v>0</v>
      </c>
      <c r="X32" s="68">
        <f t="shared" si="1"/>
        <v>0.89999999999999991</v>
      </c>
      <c r="Y32" s="117">
        <f t="shared" si="2"/>
        <v>0.89999999999999991</v>
      </c>
      <c r="Z32" s="70">
        <f>'[1]cálculos teóricos'!I300</f>
        <v>12.680510486248172</v>
      </c>
      <c r="AA32" s="71">
        <f t="shared" si="3"/>
        <v>7.0975060584196248</v>
      </c>
      <c r="AB32" s="3"/>
    </row>
    <row r="33" spans="1:28" ht="18" customHeight="1">
      <c r="A33" s="79">
        <v>25</v>
      </c>
      <c r="B33" s="75">
        <v>20.399999999999999</v>
      </c>
      <c r="C33" s="73">
        <f>'[1]cálculos teóricos'!K301</f>
        <v>1.0334336653601741</v>
      </c>
      <c r="D33" s="58">
        <f t="shared" si="4"/>
        <v>307.02838818364705</v>
      </c>
      <c r="E33" s="59">
        <f t="shared" si="5"/>
        <v>12.854664556472935</v>
      </c>
      <c r="F33" s="60">
        <f t="shared" si="6"/>
        <v>16.397413175591172</v>
      </c>
      <c r="G33" s="61">
        <f>'[1]cálculos teóricos'!T301</f>
        <v>39.158276063849144</v>
      </c>
      <c r="H33" s="74">
        <f t="shared" si="7"/>
        <v>41.874706508668901</v>
      </c>
      <c r="I33" s="78"/>
      <c r="J33" s="80"/>
      <c r="K33" s="80">
        <v>0.2</v>
      </c>
      <c r="L33" s="80">
        <v>1</v>
      </c>
      <c r="M33" s="80">
        <v>1</v>
      </c>
      <c r="N33" s="80">
        <v>0.7</v>
      </c>
      <c r="O33" s="80">
        <v>0.7</v>
      </c>
      <c r="P33" s="78"/>
      <c r="Q33" s="81"/>
      <c r="R33" s="80">
        <v>0.5</v>
      </c>
      <c r="S33" s="80">
        <v>0.6</v>
      </c>
      <c r="T33" s="80">
        <v>0.4</v>
      </c>
      <c r="U33" s="80"/>
      <c r="V33" s="77"/>
      <c r="W33" s="67">
        <f t="shared" si="0"/>
        <v>3.6000000000000005</v>
      </c>
      <c r="X33" s="68">
        <f t="shared" si="1"/>
        <v>1.5</v>
      </c>
      <c r="Y33" s="117">
        <f t="shared" si="2"/>
        <v>5.1000000000000005</v>
      </c>
      <c r="Z33" s="70">
        <f>'[1]cálculos teóricos'!I301</f>
        <v>12.701891460528639</v>
      </c>
      <c r="AA33" s="71">
        <f t="shared" si="3"/>
        <v>40.151500395420193</v>
      </c>
      <c r="AB33" s="3"/>
    </row>
    <row r="34" spans="1:28" ht="18" customHeight="1">
      <c r="A34" s="79">
        <v>26</v>
      </c>
      <c r="B34" s="75">
        <v>22.6</v>
      </c>
      <c r="C34" s="73">
        <f>'[1]cálculos teóricos'!K302</f>
        <v>1.03386318636316</v>
      </c>
      <c r="D34" s="58">
        <f t="shared" si="4"/>
        <v>340.28066322995733</v>
      </c>
      <c r="E34" s="59">
        <f t="shared" si="5"/>
        <v>14.246870808111852</v>
      </c>
      <c r="F34" s="60">
        <f t="shared" si="6"/>
        <v>18.137670990139817</v>
      </c>
      <c r="G34" s="61">
        <f>'[1]cálculos teóricos'!T302</f>
        <v>39.286868896688745</v>
      </c>
      <c r="H34" s="74">
        <f t="shared" si="7"/>
        <v>46.167260205530233</v>
      </c>
      <c r="I34" s="78"/>
      <c r="J34" s="80">
        <v>0.1</v>
      </c>
      <c r="K34" s="80">
        <v>0.4</v>
      </c>
      <c r="L34" s="80">
        <v>0.5</v>
      </c>
      <c r="M34" s="80">
        <v>0.2</v>
      </c>
      <c r="N34" s="80">
        <v>0.3</v>
      </c>
      <c r="O34" s="75">
        <v>0.2</v>
      </c>
      <c r="P34" s="78">
        <v>0.9</v>
      </c>
      <c r="Q34" s="81">
        <v>0.7</v>
      </c>
      <c r="R34" s="80">
        <v>0.9</v>
      </c>
      <c r="S34" s="80">
        <v>1</v>
      </c>
      <c r="T34" s="80">
        <v>0.1</v>
      </c>
      <c r="U34" s="80"/>
      <c r="V34" s="77"/>
      <c r="W34" s="67">
        <f t="shared" si="0"/>
        <v>1.7</v>
      </c>
      <c r="X34" s="68">
        <f t="shared" si="1"/>
        <v>3.6</v>
      </c>
      <c r="Y34" s="117">
        <f t="shared" si="2"/>
        <v>5.3</v>
      </c>
      <c r="Z34" s="70">
        <f>'[1]cálculos teóricos'!I302</f>
        <v>12.723148383033188</v>
      </c>
      <c r="AA34" s="71">
        <f t="shared" si="3"/>
        <v>41.656356119117149</v>
      </c>
      <c r="AB34" s="3"/>
    </row>
    <row r="35" spans="1:28" ht="18" customHeight="1">
      <c r="A35" s="79">
        <v>27</v>
      </c>
      <c r="B35" s="75">
        <v>31.4</v>
      </c>
      <c r="C35" s="73">
        <f>'[1]cálculos teóricos'!K303</f>
        <v>1.0342810154643007</v>
      </c>
      <c r="D35" s="58">
        <f t="shared" si="4"/>
        <v>472.97039925763033</v>
      </c>
      <c r="E35" s="59">
        <f t="shared" si="5"/>
        <v>19.802324676118467</v>
      </c>
      <c r="F35" s="60">
        <f t="shared" si="6"/>
        <v>25.081988325148085</v>
      </c>
      <c r="G35" s="61">
        <f>'[1]cálculos teóricos'!T303</f>
        <v>39.413338795836367</v>
      </c>
      <c r="H35" s="74">
        <f t="shared" si="7"/>
        <v>63.638324210680047</v>
      </c>
      <c r="I35" s="78"/>
      <c r="J35" s="80"/>
      <c r="K35" s="80">
        <v>0.7</v>
      </c>
      <c r="L35" s="80">
        <v>1</v>
      </c>
      <c r="M35" s="80">
        <v>1</v>
      </c>
      <c r="N35" s="80">
        <v>1</v>
      </c>
      <c r="O35" s="75">
        <v>1</v>
      </c>
      <c r="P35" s="81">
        <v>1</v>
      </c>
      <c r="Q35" s="81">
        <v>1</v>
      </c>
      <c r="R35" s="80">
        <v>1</v>
      </c>
      <c r="S35" s="80">
        <v>1</v>
      </c>
      <c r="T35" s="80">
        <v>0.9</v>
      </c>
      <c r="U35" s="80">
        <v>0.3</v>
      </c>
      <c r="V35" s="77"/>
      <c r="W35" s="67">
        <f t="shared" si="0"/>
        <v>4.7</v>
      </c>
      <c r="X35" s="68">
        <f t="shared" si="1"/>
        <v>5.2</v>
      </c>
      <c r="Y35" s="117">
        <f t="shared" si="2"/>
        <v>9.9</v>
      </c>
      <c r="Z35" s="70">
        <f>'[1]cálculos teóricos'!I303</f>
        <v>12.744274534971474</v>
      </c>
      <c r="AA35" s="71">
        <f t="shared" si="3"/>
        <v>77.681942372109759</v>
      </c>
      <c r="AB35" s="3"/>
    </row>
    <row r="36" spans="1:28" ht="18" customHeight="1">
      <c r="A36" s="79">
        <v>28</v>
      </c>
      <c r="B36" s="75">
        <v>38.9</v>
      </c>
      <c r="C36" s="73">
        <f>'[1]cálculos teóricos'!K304</f>
        <v>1.034687227405628</v>
      </c>
      <c r="D36" s="58">
        <f t="shared" si="4"/>
        <v>586.17116327292047</v>
      </c>
      <c r="E36" s="59">
        <f t="shared" si="5"/>
        <v>24.541814263910634</v>
      </c>
      <c r="F36" s="60">
        <f t="shared" si="6"/>
        <v>31.00635030988829</v>
      </c>
      <c r="G36" s="61">
        <f>'[1]cálculos teóricos'!T304</f>
        <v>39.537668158777905</v>
      </c>
      <c r="H36" s="74">
        <f t="shared" si="7"/>
        <v>78.422303979513913</v>
      </c>
      <c r="I36" s="78">
        <v>0.3</v>
      </c>
      <c r="J36" s="80">
        <v>1</v>
      </c>
      <c r="K36" s="80">
        <v>1</v>
      </c>
      <c r="L36" s="80">
        <v>1</v>
      </c>
      <c r="M36" s="80">
        <v>1</v>
      </c>
      <c r="N36" s="80">
        <v>1</v>
      </c>
      <c r="O36" s="75">
        <v>1</v>
      </c>
      <c r="P36" s="81">
        <v>1</v>
      </c>
      <c r="Q36" s="81">
        <v>1</v>
      </c>
      <c r="R36" s="80">
        <v>1</v>
      </c>
      <c r="S36" s="80">
        <v>1</v>
      </c>
      <c r="T36" s="80">
        <v>1</v>
      </c>
      <c r="U36" s="80">
        <v>0.6</v>
      </c>
      <c r="V36" s="77"/>
      <c r="W36" s="67">
        <f t="shared" si="0"/>
        <v>6.3</v>
      </c>
      <c r="X36" s="68">
        <f t="shared" si="1"/>
        <v>5.6</v>
      </c>
      <c r="Y36" s="117">
        <f t="shared" si="2"/>
        <v>11.899999999999999</v>
      </c>
      <c r="Z36" s="70">
        <f>'[1]cálculos teóricos'!I304</f>
        <v>12.765263021597068</v>
      </c>
      <c r="AA36" s="71">
        <f t="shared" si="3"/>
        <v>93.221737616113629</v>
      </c>
      <c r="AB36" s="3"/>
    </row>
    <row r="37" spans="1:28" ht="18" customHeight="1">
      <c r="A37" s="79">
        <v>29</v>
      </c>
      <c r="B37" s="75">
        <v>28.4</v>
      </c>
      <c r="C37" s="73">
        <f>'[1]cálculos teóricos'!K305</f>
        <v>1.0350819049533166</v>
      </c>
      <c r="D37" s="58">
        <f t="shared" si="4"/>
        <v>428.11339516716862</v>
      </c>
      <c r="E37" s="59">
        <f t="shared" si="5"/>
        <v>17.924251628859015</v>
      </c>
      <c r="F37" s="60">
        <f t="shared" si="6"/>
        <v>22.734397016073771</v>
      </c>
      <c r="G37" s="61">
        <f>'[1]cálculos teóricos'!T305</f>
        <v>39.659840728377716</v>
      </c>
      <c r="H37" s="74">
        <f t="shared" si="7"/>
        <v>57.323470287682419</v>
      </c>
      <c r="I37" s="78"/>
      <c r="J37" s="80">
        <v>0.3</v>
      </c>
      <c r="K37" s="80">
        <v>0.5</v>
      </c>
      <c r="L37" s="80">
        <v>0.9</v>
      </c>
      <c r="M37" s="80">
        <v>0.9</v>
      </c>
      <c r="N37" s="80">
        <v>0.6</v>
      </c>
      <c r="O37" s="75">
        <v>1</v>
      </c>
      <c r="P37" s="78">
        <v>1</v>
      </c>
      <c r="Q37" s="81">
        <v>1</v>
      </c>
      <c r="R37" s="80">
        <v>0.4</v>
      </c>
      <c r="S37" s="80">
        <v>0.1</v>
      </c>
      <c r="T37" s="80"/>
      <c r="U37" s="80"/>
      <c r="V37" s="77"/>
      <c r="W37" s="67">
        <f t="shared" si="0"/>
        <v>4.2</v>
      </c>
      <c r="X37" s="68">
        <f t="shared" si="1"/>
        <v>2.5</v>
      </c>
      <c r="Y37" s="117">
        <f t="shared" si="2"/>
        <v>6.7</v>
      </c>
      <c r="Z37" s="70">
        <f>'[1]cálculos teóricos'!I305</f>
        <v>12.786106772043812</v>
      </c>
      <c r="AA37" s="71">
        <f t="shared" si="3"/>
        <v>52.400626081499787</v>
      </c>
      <c r="AB37" s="3"/>
    </row>
    <row r="38" spans="1:28" ht="18" customHeight="1" thickBot="1">
      <c r="A38" s="79">
        <v>30</v>
      </c>
      <c r="B38" s="75">
        <v>4.4000000000000004</v>
      </c>
      <c r="C38" s="73">
        <f>'[1]cálculos teóricos'!K306</f>
        <v>1.0354651387530205</v>
      </c>
      <c r="D38" s="58">
        <f t="shared" si="4"/>
        <v>66.351984812210318</v>
      </c>
      <c r="E38" s="59">
        <f t="shared" si="5"/>
        <v>2.7780249001176212</v>
      </c>
      <c r="F38" s="60">
        <f t="shared" si="6"/>
        <v>3.8016136051470273</v>
      </c>
      <c r="G38" s="61">
        <f>'[1]cálculos teóricos'!T306</f>
        <v>39.779841588149978</v>
      </c>
      <c r="H38" s="74">
        <f t="shared" si="7"/>
        <v>9.5566333433552195</v>
      </c>
      <c r="I38" s="78"/>
      <c r="J38" s="80"/>
      <c r="K38" s="80"/>
      <c r="L38" s="80"/>
      <c r="M38" s="80"/>
      <c r="N38" s="80"/>
      <c r="O38" s="75"/>
      <c r="P38" s="81"/>
      <c r="Q38" s="80"/>
      <c r="R38" s="80"/>
      <c r="S38" s="80"/>
      <c r="T38" s="80"/>
      <c r="U38" s="80"/>
      <c r="V38" s="77"/>
      <c r="W38" s="67">
        <f t="shared" si="0"/>
        <v>0</v>
      </c>
      <c r="X38" s="68">
        <f t="shared" si="1"/>
        <v>0</v>
      </c>
      <c r="Y38" s="120">
        <f t="shared" si="2"/>
        <v>0</v>
      </c>
      <c r="Z38" s="70">
        <f>'[1]cálculos teóricos'!I306</f>
        <v>12.806798539669806</v>
      </c>
      <c r="AA38" s="71">
        <f t="shared" si="3"/>
        <v>0</v>
      </c>
      <c r="AB38" s="3"/>
    </row>
    <row r="39" spans="1:28" ht="18" customHeight="1" thickTop="1" thickBot="1">
      <c r="A39" s="86">
        <v>31</v>
      </c>
      <c r="B39" s="87">
        <v>11.3</v>
      </c>
      <c r="C39" s="88">
        <f>'[1]cálculos teóricos'!K307</f>
        <v>1.0358370271705748</v>
      </c>
      <c r="D39" s="89">
        <f t="shared" si="4"/>
        <v>170.46516176074493</v>
      </c>
      <c r="E39" s="90">
        <f t="shared" si="5"/>
        <v>7.1370353925988681</v>
      </c>
      <c r="F39" s="91">
        <f t="shared" si="6"/>
        <v>9.2503767207485854</v>
      </c>
      <c r="G39" s="92">
        <f>'[1]cálculos teóricos'!T307</f>
        <v>39.897657154987527</v>
      </c>
      <c r="H39" s="93">
        <f t="shared" si="7"/>
        <v>23.185262946178316</v>
      </c>
      <c r="I39" s="94"/>
      <c r="J39" s="87"/>
      <c r="K39" s="87"/>
      <c r="L39" s="87"/>
      <c r="M39" s="87"/>
      <c r="N39" s="87"/>
      <c r="O39" s="87"/>
      <c r="P39" s="94"/>
      <c r="Q39" s="87"/>
      <c r="R39" s="87"/>
      <c r="S39" s="87"/>
      <c r="T39" s="87"/>
      <c r="U39" s="87"/>
      <c r="V39" s="77"/>
      <c r="W39" s="67">
        <f t="shared" si="0"/>
        <v>0</v>
      </c>
      <c r="X39" s="68">
        <f t="shared" si="1"/>
        <v>0</v>
      </c>
      <c r="Y39" s="124">
        <f t="shared" si="2"/>
        <v>0</v>
      </c>
      <c r="Z39" s="98">
        <f>'[1]cálculos teóricos'!I307</f>
        <v>12.82733090293323</v>
      </c>
      <c r="AA39" s="99">
        <f t="shared" si="3"/>
        <v>0</v>
      </c>
      <c r="AB39" s="3"/>
    </row>
    <row r="40" spans="1:28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123">
        <f>SUM(I9:I39)</f>
        <v>0.3</v>
      </c>
      <c r="J40" s="103">
        <f t="shared" ref="J40:AA40" si="8">SUM(J9:J39)</f>
        <v>5.3999999999999995</v>
      </c>
      <c r="K40" s="103">
        <f t="shared" si="8"/>
        <v>13.899999999999999</v>
      </c>
      <c r="L40" s="103">
        <f t="shared" si="8"/>
        <v>17.799999999999997</v>
      </c>
      <c r="M40" s="103">
        <f t="shared" si="8"/>
        <v>18.799999999999997</v>
      </c>
      <c r="N40" s="103">
        <f t="shared" si="8"/>
        <v>20</v>
      </c>
      <c r="O40" s="103">
        <f t="shared" si="8"/>
        <v>20.299999999999997</v>
      </c>
      <c r="P40" s="103">
        <f t="shared" si="8"/>
        <v>19.7</v>
      </c>
      <c r="Q40" s="103">
        <f t="shared" si="8"/>
        <v>19</v>
      </c>
      <c r="R40" s="103">
        <f t="shared" si="8"/>
        <v>18.599999999999998</v>
      </c>
      <c r="S40" s="103">
        <f t="shared" si="8"/>
        <v>15.7</v>
      </c>
      <c r="T40" s="103">
        <f t="shared" si="8"/>
        <v>13.899999999999999</v>
      </c>
      <c r="U40" s="103">
        <f t="shared" si="8"/>
        <v>3</v>
      </c>
      <c r="V40" s="103">
        <f t="shared" si="8"/>
        <v>0</v>
      </c>
      <c r="W40" s="103">
        <f>SUM(I40:O40)</f>
        <v>96.499999999999986</v>
      </c>
      <c r="X40" s="103">
        <f>SUM(P40:V40)</f>
        <v>89.9</v>
      </c>
      <c r="Y40" s="103">
        <f>W40+X40</f>
        <v>186.39999999999998</v>
      </c>
      <c r="Z40" s="103">
        <f t="shared" si="8"/>
        <v>387.58755327226424</v>
      </c>
      <c r="AA40" s="103">
        <f t="shared" si="8"/>
        <v>1493.7415111323544</v>
      </c>
      <c r="AB40" s="100"/>
    </row>
    <row r="41" spans="1:28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87"/>
      <c r="X41" s="187"/>
      <c r="Y41" s="187"/>
      <c r="Z41" s="100"/>
      <c r="AA41" s="100"/>
      <c r="AB41" s="100"/>
    </row>
    <row r="42" spans="1:28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</sheetData>
  <sheetProtection selectLockedCells="1" selectUnlockedCells="1"/>
  <mergeCells count="2">
    <mergeCell ref="I5:W5"/>
    <mergeCell ref="I7:U7"/>
  </mergeCells>
  <pageMargins left="0" right="0" top="0.39374999999999999" bottom="0.98402777777777772" header="0.51180555555555551" footer="0.51180555555555551"/>
  <pageSetup paperSize="39" scale="50" firstPageNumber="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31" sqref="A31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94</v>
      </c>
      <c r="B1" s="2"/>
      <c r="C1" s="3"/>
      <c r="D1" s="4"/>
      <c r="E1" s="188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59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95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65" t="s">
        <v>96</v>
      </c>
      <c r="T3" s="165"/>
      <c r="U3" s="3"/>
      <c r="V3" s="8" t="s">
        <v>88</v>
      </c>
      <c r="W3" s="3"/>
      <c r="X3" s="3"/>
      <c r="Y3" s="100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165" t="s">
        <v>97</v>
      </c>
      <c r="T4" s="165"/>
      <c r="U4" s="165"/>
      <c r="V4" s="3"/>
      <c r="W4" s="9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53" t="s">
        <v>49</v>
      </c>
      <c r="Z8" s="51" t="s">
        <v>49</v>
      </c>
      <c r="AA8" s="54" t="s">
        <v>49</v>
      </c>
      <c r="AB8" s="3"/>
    </row>
    <row r="9" spans="1:28" ht="18" customHeight="1">
      <c r="A9" s="109">
        <v>1</v>
      </c>
      <c r="B9" s="132">
        <v>-99</v>
      </c>
      <c r="C9" s="73">
        <f>'[1]cálculos teóricos'!K308</f>
        <v>1.0361976761177196</v>
      </c>
      <c r="D9" s="58">
        <f>IF(B9&gt;0,B9*C9*14.25*1.022,-999)</f>
        <v>-999</v>
      </c>
      <c r="E9" s="59">
        <f>IF(B9&gt;0,D9*4.1868/100,-999)</f>
        <v>-999</v>
      </c>
      <c r="F9" s="60">
        <f>IF(B9&gt;0,(7.86+1.25*D9)*4.1868/100,-999)</f>
        <v>-999</v>
      </c>
      <c r="G9" s="61">
        <f>'[1]cálculos teóricos'!T308</f>
        <v>40.013275169282224</v>
      </c>
      <c r="H9" s="62">
        <f>IF(B9&gt;0,100*F9/G9,-999)</f>
        <v>-999</v>
      </c>
      <c r="I9" s="63"/>
      <c r="J9" s="63"/>
      <c r="K9" s="63"/>
      <c r="L9" s="63"/>
      <c r="M9" s="63"/>
      <c r="N9" s="63"/>
      <c r="O9" s="64"/>
      <c r="P9" s="63"/>
      <c r="Q9" s="63"/>
      <c r="R9" s="63">
        <v>0.2</v>
      </c>
      <c r="S9" s="63">
        <v>0.9</v>
      </c>
      <c r="T9" s="63">
        <v>0.7</v>
      </c>
      <c r="U9" s="63">
        <v>0.5</v>
      </c>
      <c r="V9" s="64"/>
      <c r="W9" s="67">
        <f t="shared" ref="W9:W38" si="0">SUM(I9:O9)</f>
        <v>0</v>
      </c>
      <c r="X9" s="68">
        <f>SUM(P9:V9)</f>
        <v>2.2999999999999998</v>
      </c>
      <c r="Y9" s="114">
        <f>W9+X9</f>
        <v>2.2999999999999998</v>
      </c>
      <c r="Z9" s="70">
        <f>'[1]cálculos teóricos'!I308</f>
        <v>12.847696266824101</v>
      </c>
      <c r="AA9" s="71">
        <f>100*Y9/Z9</f>
        <v>17.902042142287897</v>
      </c>
      <c r="AB9" s="3"/>
    </row>
    <row r="10" spans="1:28" ht="18" customHeight="1">
      <c r="A10" s="109">
        <v>2</v>
      </c>
      <c r="B10" s="132">
        <v>-99</v>
      </c>
      <c r="C10" s="73">
        <f>'[1]cálculos teóricos'!K309</f>
        <v>1.0365471988625521</v>
      </c>
      <c r="D10" s="58">
        <f>IF(B10&gt;0,B10*C10*14.25*1.022,-999)</f>
        <v>-999</v>
      </c>
      <c r="E10" s="59">
        <f>IF(B10&gt;0,D10*4.1868/100,-999)</f>
        <v>-999</v>
      </c>
      <c r="F10" s="60">
        <f>IF(B10&gt;0,(7.86+1.25*D10)*4.1868/100,-999)</f>
        <v>-999</v>
      </c>
      <c r="G10" s="61">
        <f>'[1]cálculos teóricos'!T309</f>
        <v>40.126684682382106</v>
      </c>
      <c r="H10" s="74">
        <f>IF(B10&gt;0,100*F10/G10,-999)</f>
        <v>-999</v>
      </c>
      <c r="I10" s="56"/>
      <c r="J10" s="75">
        <v>0.2</v>
      </c>
      <c r="K10" s="75"/>
      <c r="L10" s="75"/>
      <c r="M10" s="75"/>
      <c r="N10" s="75">
        <v>0.5</v>
      </c>
      <c r="O10" s="76">
        <v>0.9</v>
      </c>
      <c r="P10" s="78">
        <v>0.9</v>
      </c>
      <c r="Q10" s="81">
        <v>1</v>
      </c>
      <c r="R10" s="81">
        <v>1</v>
      </c>
      <c r="S10" s="81">
        <v>1</v>
      </c>
      <c r="T10" s="81">
        <v>1</v>
      </c>
      <c r="U10" s="81">
        <v>0.9</v>
      </c>
      <c r="V10" s="77"/>
      <c r="W10" s="67">
        <f t="shared" si="0"/>
        <v>1.6</v>
      </c>
      <c r="X10" s="68">
        <f t="shared" ref="X10:X38" si="1">SUM(P10:V10)</f>
        <v>5.8000000000000007</v>
      </c>
      <c r="Y10" s="117">
        <f t="shared" ref="Y10:Y38" si="2">W10+X10</f>
        <v>7.4</v>
      </c>
      <c r="Z10" s="70">
        <f>'[1]cálculos teóricos'!I309</f>
        <v>12.867886864875677</v>
      </c>
      <c r="AA10" s="71">
        <f t="shared" ref="AA10:AA38" si="3">100*Y10/Z10</f>
        <v>57.507499698331351</v>
      </c>
      <c r="AB10" s="3"/>
    </row>
    <row r="11" spans="1:28" ht="18" customHeight="1">
      <c r="A11" s="109">
        <v>3</v>
      </c>
      <c r="B11" s="56">
        <v>29.3</v>
      </c>
      <c r="C11" s="73">
        <f>'[1]cálculos teóricos'!K310</f>
        <v>1.0368857158244706</v>
      </c>
      <c r="D11" s="58">
        <f t="shared" ref="D11:D38" si="4">IF(B11&gt;0,B11*C11*14.25*1.022,-999)</f>
        <v>442.45007408660354</v>
      </c>
      <c r="E11" s="59">
        <f t="shared" ref="E11:E38" si="5">IF(B11&gt;0,D11*4.1868/100,-999)</f>
        <v>18.524499701857916</v>
      </c>
      <c r="F11" s="60">
        <f t="shared" ref="F11:F38" si="6">IF(B11&gt;0,(7.86+1.25*D11)*4.1868/100,-999)</f>
        <v>23.484707107322393</v>
      </c>
      <c r="G11" s="61">
        <f>'[1]cálculos teóricos'!T310</f>
        <v>40.237876041340378</v>
      </c>
      <c r="H11" s="74">
        <f t="shared" ref="H11:H38" si="7">IF(B11&gt;0,100*F11/G11,-999)</f>
        <v>58.364678799632003</v>
      </c>
      <c r="I11" s="56">
        <v>0.1</v>
      </c>
      <c r="J11" s="75">
        <v>1</v>
      </c>
      <c r="K11" s="75">
        <v>0.8</v>
      </c>
      <c r="L11" s="75">
        <v>0.8</v>
      </c>
      <c r="M11" s="75">
        <v>1</v>
      </c>
      <c r="N11" s="75">
        <v>0.5</v>
      </c>
      <c r="O11" s="76">
        <v>0.8</v>
      </c>
      <c r="P11" s="78">
        <v>0.3</v>
      </c>
      <c r="Q11" s="81">
        <v>0.2</v>
      </c>
      <c r="R11" s="81"/>
      <c r="S11" s="81"/>
      <c r="T11" s="81"/>
      <c r="U11" s="81"/>
      <c r="V11" s="77"/>
      <c r="W11" s="67">
        <f t="shared" si="0"/>
        <v>5</v>
      </c>
      <c r="X11" s="68">
        <f t="shared" si="1"/>
        <v>0.5</v>
      </c>
      <c r="Y11" s="117">
        <f t="shared" si="2"/>
        <v>5.5</v>
      </c>
      <c r="Z11" s="70">
        <f>'[1]cálculos teóricos'!I310</f>
        <v>12.887894761778501</v>
      </c>
      <c r="AA11" s="71">
        <f t="shared" si="3"/>
        <v>42.675705393803298</v>
      </c>
      <c r="AB11" s="3"/>
    </row>
    <row r="12" spans="1:28" ht="18" customHeight="1">
      <c r="A12" s="109">
        <v>4</v>
      </c>
      <c r="B12" s="56">
        <v>32.799999999999997</v>
      </c>
      <c r="C12" s="73">
        <f>'[1]cálculos teóricos'!K311</f>
        <v>1.0372133543534348</v>
      </c>
      <c r="D12" s="58">
        <f t="shared" si="4"/>
        <v>495.45897930494084</v>
      </c>
      <c r="E12" s="59">
        <f t="shared" si="5"/>
        <v>20.743876545539262</v>
      </c>
      <c r="F12" s="60">
        <f t="shared" si="6"/>
        <v>26.258928161924079</v>
      </c>
      <c r="G12" s="61">
        <f>'[1]cálculos teóricos'!T311</f>
        <v>40.346840870923295</v>
      </c>
      <c r="H12" s="74">
        <f t="shared" si="7"/>
        <v>65.082984429762547</v>
      </c>
      <c r="I12" s="56"/>
      <c r="J12" s="75">
        <v>0.8</v>
      </c>
      <c r="K12" s="75">
        <v>0.8</v>
      </c>
      <c r="L12" s="75">
        <v>0.9</v>
      </c>
      <c r="M12" s="75">
        <v>1</v>
      </c>
      <c r="N12" s="75">
        <v>1</v>
      </c>
      <c r="O12" s="76">
        <v>1</v>
      </c>
      <c r="P12" s="78">
        <v>1</v>
      </c>
      <c r="Q12" s="81">
        <v>1</v>
      </c>
      <c r="R12" s="81">
        <v>1</v>
      </c>
      <c r="S12" s="81">
        <v>1</v>
      </c>
      <c r="T12" s="81">
        <v>0.9</v>
      </c>
      <c r="U12" s="81">
        <v>0.7</v>
      </c>
      <c r="V12" s="77"/>
      <c r="W12" s="67">
        <f t="shared" si="0"/>
        <v>5.5</v>
      </c>
      <c r="X12" s="68">
        <f t="shared" si="1"/>
        <v>5.6000000000000005</v>
      </c>
      <c r="Y12" s="117">
        <f t="shared" si="2"/>
        <v>11.100000000000001</v>
      </c>
      <c r="Z12" s="70">
        <f>'[1]cálculos teóricos'!I311</f>
        <v>12.907711856619468</v>
      </c>
      <c r="AA12" s="71">
        <f t="shared" si="3"/>
        <v>85.995102178451432</v>
      </c>
      <c r="AB12" s="3"/>
    </row>
    <row r="13" spans="1:28" ht="18" customHeight="1">
      <c r="A13" s="72">
        <v>5</v>
      </c>
      <c r="B13" s="56">
        <v>23</v>
      </c>
      <c r="C13" s="73">
        <f>'[1]cálculos teóricos'!K312</f>
        <v>1.0375302484934286</v>
      </c>
      <c r="D13" s="58">
        <f t="shared" si="4"/>
        <v>347.53165080048308</v>
      </c>
      <c r="E13" s="59">
        <f t="shared" si="5"/>
        <v>14.550455155714626</v>
      </c>
      <c r="F13" s="60">
        <f t="shared" si="6"/>
        <v>18.517151424643281</v>
      </c>
      <c r="G13" s="61">
        <f>'[1]cálculos teóricos'!T312</f>
        <v>40.453572052854859</v>
      </c>
      <c r="H13" s="74">
        <f t="shared" si="7"/>
        <v>45.773835251061598</v>
      </c>
      <c r="I13" s="56"/>
      <c r="J13" s="75"/>
      <c r="K13" s="75"/>
      <c r="L13" s="75"/>
      <c r="M13" s="75"/>
      <c r="N13" s="75">
        <v>0.4</v>
      </c>
      <c r="O13" s="76">
        <v>0.5</v>
      </c>
      <c r="P13" s="78">
        <v>0.8</v>
      </c>
      <c r="Q13" s="81">
        <v>0.5</v>
      </c>
      <c r="R13" s="81">
        <v>1</v>
      </c>
      <c r="S13" s="81">
        <v>1</v>
      </c>
      <c r="T13" s="81">
        <v>0.5</v>
      </c>
      <c r="U13" s="81"/>
      <c r="V13" s="77"/>
      <c r="W13" s="67">
        <f t="shared" si="0"/>
        <v>0.9</v>
      </c>
      <c r="X13" s="68">
        <f t="shared" si="1"/>
        <v>3.8</v>
      </c>
      <c r="Y13" s="117">
        <f t="shared" si="2"/>
        <v>4.7</v>
      </c>
      <c r="Z13" s="70">
        <f>'[1]cálculos teóricos'!I312</f>
        <v>12.927329886767305</v>
      </c>
      <c r="AA13" s="71">
        <f t="shared" si="3"/>
        <v>36.357082562045719</v>
      </c>
      <c r="AB13" s="3"/>
    </row>
    <row r="14" spans="1:28" ht="18" customHeight="1">
      <c r="A14" s="109">
        <v>6</v>
      </c>
      <c r="B14" s="56">
        <v>32.799999999999997</v>
      </c>
      <c r="C14" s="73">
        <f>'[1]cálculos teóricos'!K313</f>
        <v>1.0378365387300734</v>
      </c>
      <c r="D14" s="58">
        <f t="shared" si="4"/>
        <v>495.75666376288996</v>
      </c>
      <c r="E14" s="59">
        <f t="shared" si="5"/>
        <v>20.756339998424679</v>
      </c>
      <c r="F14" s="60">
        <f t="shared" si="6"/>
        <v>26.274507478030841</v>
      </c>
      <c r="G14" s="61">
        <f>'[1]cálculos teóricos'!T313</f>
        <v>40.558063702289274</v>
      </c>
      <c r="H14" s="74">
        <f t="shared" si="7"/>
        <v>64.782450343032011</v>
      </c>
      <c r="I14" s="56"/>
      <c r="J14" s="75">
        <v>0.6</v>
      </c>
      <c r="K14" s="75">
        <v>1</v>
      </c>
      <c r="L14" s="75">
        <v>0.7</v>
      </c>
      <c r="M14" s="75">
        <v>1</v>
      </c>
      <c r="N14" s="75">
        <v>0.6</v>
      </c>
      <c r="O14" s="76">
        <v>1</v>
      </c>
      <c r="P14" s="78">
        <v>1</v>
      </c>
      <c r="Q14" s="81">
        <v>0.9</v>
      </c>
      <c r="R14" s="81">
        <v>1</v>
      </c>
      <c r="S14" s="81">
        <v>1</v>
      </c>
      <c r="T14" s="81">
        <v>0.8</v>
      </c>
      <c r="U14" s="81">
        <v>0.2</v>
      </c>
      <c r="V14" s="77"/>
      <c r="W14" s="67">
        <f t="shared" si="0"/>
        <v>4.9000000000000004</v>
      </c>
      <c r="X14" s="68">
        <f t="shared" si="1"/>
        <v>4.9000000000000004</v>
      </c>
      <c r="Y14" s="117">
        <f t="shared" si="2"/>
        <v>9.8000000000000007</v>
      </c>
      <c r="Z14" s="70">
        <f>'[1]cálculos teóricos'!I313</f>
        <v>12.946740432424651</v>
      </c>
      <c r="AA14" s="71">
        <f t="shared" si="3"/>
        <v>75.694728346111347</v>
      </c>
      <c r="AB14" s="3"/>
    </row>
    <row r="15" spans="1:28" ht="18" customHeight="1">
      <c r="A15" s="72">
        <v>7</v>
      </c>
      <c r="B15" s="56">
        <v>36.1</v>
      </c>
      <c r="C15" s="73">
        <f>'[1]cálculos teóricos'!K314</f>
        <v>1.0381323717224153</v>
      </c>
      <c r="D15" s="58">
        <f t="shared" si="4"/>
        <v>545.79015272041624</v>
      </c>
      <c r="E15" s="59">
        <f t="shared" si="5"/>
        <v>22.851142114098387</v>
      </c>
      <c r="F15" s="60">
        <f t="shared" si="6"/>
        <v>28.893010122622982</v>
      </c>
      <c r="G15" s="61">
        <f>'[1]cálculos teóricos'!T314</f>
        <v>40.660311141513574</v>
      </c>
      <c r="H15" s="74">
        <f t="shared" si="7"/>
        <v>71.059490966668108</v>
      </c>
      <c r="I15" s="56"/>
      <c r="J15" s="75">
        <v>0.9</v>
      </c>
      <c r="K15" s="75">
        <v>0.8</v>
      </c>
      <c r="L15" s="75">
        <v>0.5</v>
      </c>
      <c r="M15" s="75">
        <v>1</v>
      </c>
      <c r="N15" s="75">
        <v>1</v>
      </c>
      <c r="O15" s="76">
        <v>1</v>
      </c>
      <c r="P15" s="78">
        <v>1</v>
      </c>
      <c r="Q15" s="78">
        <v>1</v>
      </c>
      <c r="R15" s="75">
        <v>1</v>
      </c>
      <c r="S15" s="75">
        <v>1</v>
      </c>
      <c r="T15" s="81">
        <v>1</v>
      </c>
      <c r="U15" s="81">
        <v>0.6</v>
      </c>
      <c r="V15" s="77"/>
      <c r="W15" s="67">
        <f t="shared" si="0"/>
        <v>5.2</v>
      </c>
      <c r="X15" s="68">
        <f t="shared" si="1"/>
        <v>5.6</v>
      </c>
      <c r="Y15" s="117">
        <f t="shared" si="2"/>
        <v>10.8</v>
      </c>
      <c r="Z15" s="70">
        <f>'[1]cálculos teóricos'!I314</f>
        <v>12.965934921865541</v>
      </c>
      <c r="AA15" s="71">
        <f t="shared" si="3"/>
        <v>83.295189009371441</v>
      </c>
      <c r="AB15" s="3"/>
    </row>
    <row r="16" spans="1:28" ht="18" customHeight="1">
      <c r="A16" s="79">
        <v>8</v>
      </c>
      <c r="B16" s="75">
        <v>36.799999999999997</v>
      </c>
      <c r="C16" s="73">
        <f>'[1]cálculos teóricos'!K315</f>
        <v>1.0384179000189673</v>
      </c>
      <c r="D16" s="58">
        <f t="shared" si="4"/>
        <v>556.52636639888533</v>
      </c>
      <c r="E16" s="59">
        <f t="shared" si="5"/>
        <v>23.300645908388528</v>
      </c>
      <c r="F16" s="60">
        <f t="shared" si="6"/>
        <v>29.454889865485661</v>
      </c>
      <c r="G16" s="61">
        <f>'[1]cálculos teóricos'!T315</f>
        <v>40.76031087089649</v>
      </c>
      <c r="H16" s="74">
        <f t="shared" si="7"/>
        <v>72.263653628110376</v>
      </c>
      <c r="I16" s="78"/>
      <c r="J16" s="80">
        <v>0.7</v>
      </c>
      <c r="K16" s="80">
        <v>1</v>
      </c>
      <c r="L16" s="80">
        <v>1</v>
      </c>
      <c r="M16" s="80">
        <v>1</v>
      </c>
      <c r="N16" s="80">
        <v>1</v>
      </c>
      <c r="O16" s="77">
        <v>1</v>
      </c>
      <c r="P16" s="81">
        <v>1</v>
      </c>
      <c r="Q16" s="81">
        <v>1</v>
      </c>
      <c r="R16" s="80">
        <v>1</v>
      </c>
      <c r="S16" s="80">
        <v>1</v>
      </c>
      <c r="T16" s="80">
        <v>1</v>
      </c>
      <c r="U16" s="80">
        <v>0.3</v>
      </c>
      <c r="V16" s="77"/>
      <c r="W16" s="67">
        <f t="shared" si="0"/>
        <v>5.7</v>
      </c>
      <c r="X16" s="68">
        <f t="shared" si="1"/>
        <v>5.3</v>
      </c>
      <c r="Y16" s="117">
        <f t="shared" si="2"/>
        <v>11</v>
      </c>
      <c r="Z16" s="70">
        <f>'[1]cálculos teóricos'!I315</f>
        <v>12.984904637375484</v>
      </c>
      <c r="AA16" s="71">
        <f t="shared" si="3"/>
        <v>84.713752678150783</v>
      </c>
      <c r="AB16" s="3"/>
    </row>
    <row r="17" spans="1:28" ht="18" customHeight="1">
      <c r="A17" s="79">
        <v>9</v>
      </c>
      <c r="B17" s="75">
        <v>29.1</v>
      </c>
      <c r="C17" s="73">
        <f>'[1]cálculos teóricos'!K316</f>
        <v>1.0386932817581682</v>
      </c>
      <c r="D17" s="58">
        <f t="shared" si="4"/>
        <v>440.1959796185559</v>
      </c>
      <c r="E17" s="59">
        <f t="shared" si="5"/>
        <v>18.430125274669695</v>
      </c>
      <c r="F17" s="60">
        <f t="shared" si="6"/>
        <v>23.366739073337122</v>
      </c>
      <c r="G17" s="61">
        <f>'[1]cálculos teóricos'!T316</f>
        <v>40.858060537111371</v>
      </c>
      <c r="H17" s="74">
        <f t="shared" si="7"/>
        <v>57.190034882133268</v>
      </c>
      <c r="I17" s="78"/>
      <c r="J17" s="80"/>
      <c r="K17" s="80">
        <v>0.1</v>
      </c>
      <c r="L17" s="80">
        <v>0.9</v>
      </c>
      <c r="M17" s="80">
        <v>1</v>
      </c>
      <c r="N17" s="80">
        <v>1</v>
      </c>
      <c r="O17" s="77">
        <v>1</v>
      </c>
      <c r="P17" s="78">
        <v>1</v>
      </c>
      <c r="Q17" s="81">
        <v>1</v>
      </c>
      <c r="R17" s="80">
        <v>1</v>
      </c>
      <c r="S17" s="80"/>
      <c r="T17" s="80"/>
      <c r="U17" s="80"/>
      <c r="V17" s="77"/>
      <c r="W17" s="67">
        <f t="shared" si="0"/>
        <v>4</v>
      </c>
      <c r="X17" s="68">
        <f t="shared" si="1"/>
        <v>3</v>
      </c>
      <c r="Y17" s="117">
        <f t="shared" si="2"/>
        <v>7</v>
      </c>
      <c r="Z17" s="70">
        <f>'[1]cálculos teóricos'!I316</f>
        <v>13.003640721909486</v>
      </c>
      <c r="AA17" s="71">
        <f t="shared" si="3"/>
        <v>53.831078154949999</v>
      </c>
      <c r="AB17" s="3"/>
    </row>
    <row r="18" spans="1:28" ht="18" customHeight="1">
      <c r="A18" s="79">
        <v>10</v>
      </c>
      <c r="B18" s="75">
        <v>21.7</v>
      </c>
      <c r="C18" s="73">
        <f>'[1]cálculos teóricos'!K317</f>
        <v>1.0389586803534896</v>
      </c>
      <c r="D18" s="58">
        <f t="shared" si="4"/>
        <v>328.33998188681858</v>
      </c>
      <c r="E18" s="59">
        <f t="shared" si="5"/>
        <v>13.746938361637319</v>
      </c>
      <c r="F18" s="60">
        <f t="shared" si="6"/>
        <v>17.512755432046649</v>
      </c>
      <c r="G18" s="61">
        <f>'[1]cálculos teóricos'!T317</f>
        <v>40.95355889867507</v>
      </c>
      <c r="H18" s="74">
        <f t="shared" si="7"/>
        <v>42.762475113275741</v>
      </c>
      <c r="I18" s="78"/>
      <c r="J18" s="80"/>
      <c r="K18" s="80"/>
      <c r="L18" s="80"/>
      <c r="M18" s="80"/>
      <c r="N18" s="80"/>
      <c r="O18" s="77"/>
      <c r="P18" s="81">
        <v>0.5</v>
      </c>
      <c r="Q18" s="80">
        <v>1</v>
      </c>
      <c r="R18" s="80">
        <v>0.6</v>
      </c>
      <c r="S18" s="80"/>
      <c r="T18" s="80"/>
      <c r="U18" s="80"/>
      <c r="V18" s="77"/>
      <c r="W18" s="67">
        <f t="shared" si="0"/>
        <v>0</v>
      </c>
      <c r="X18" s="68">
        <f t="shared" si="1"/>
        <v>2.1</v>
      </c>
      <c r="Y18" s="117">
        <f t="shared" si="2"/>
        <v>2.1</v>
      </c>
      <c r="Z18" s="70">
        <f>'[1]cálculos teóricos'!I317</f>
        <v>13.022134186481196</v>
      </c>
      <c r="AA18" s="71">
        <f t="shared" si="3"/>
        <v>16.126388884704436</v>
      </c>
      <c r="AB18" s="3"/>
    </row>
    <row r="19" spans="1:28" ht="18" customHeight="1">
      <c r="A19" s="84">
        <v>11</v>
      </c>
      <c r="B19" s="75">
        <v>23.4</v>
      </c>
      <c r="C19" s="73">
        <f>'[1]cálculos teóricos'!K318</f>
        <v>1.0392142641634872</v>
      </c>
      <c r="D19" s="58">
        <f t="shared" si="4"/>
        <v>354.14956830579172</v>
      </c>
      <c r="E19" s="59">
        <f t="shared" si="5"/>
        <v>14.827534125826887</v>
      </c>
      <c r="F19" s="60">
        <f t="shared" si="6"/>
        <v>18.863500137283609</v>
      </c>
      <c r="G19" s="61">
        <f>'[1]cálculos teóricos'!T318</f>
        <v>41.046805788856631</v>
      </c>
      <c r="H19" s="74">
        <f t="shared" si="7"/>
        <v>45.956073255290093</v>
      </c>
      <c r="I19" s="78"/>
      <c r="J19" s="80">
        <v>0.6</v>
      </c>
      <c r="K19" s="80">
        <v>0.8</v>
      </c>
      <c r="L19" s="80">
        <v>1</v>
      </c>
      <c r="M19" s="80">
        <v>0.9</v>
      </c>
      <c r="N19" s="80">
        <v>0.9</v>
      </c>
      <c r="O19" s="77">
        <v>1</v>
      </c>
      <c r="P19" s="81">
        <v>0.8</v>
      </c>
      <c r="Q19" s="80">
        <v>0.5</v>
      </c>
      <c r="R19" s="80"/>
      <c r="S19" s="80"/>
      <c r="T19" s="80"/>
      <c r="U19" s="80"/>
      <c r="V19" s="77"/>
      <c r="W19" s="67">
        <f t="shared" si="0"/>
        <v>5.2</v>
      </c>
      <c r="X19" s="68">
        <f t="shared" si="1"/>
        <v>1.3</v>
      </c>
      <c r="Y19" s="117">
        <f t="shared" si="2"/>
        <v>6.5</v>
      </c>
      <c r="Z19" s="70">
        <f>'[1]cálculos teóricos'!I318</f>
        <v>13.040375918294128</v>
      </c>
      <c r="AA19" s="71">
        <f t="shared" si="3"/>
        <v>49.845188825279628</v>
      </c>
      <c r="AB19" s="3"/>
    </row>
    <row r="20" spans="1:28" ht="18" customHeight="1">
      <c r="A20" s="84">
        <v>12</v>
      </c>
      <c r="B20" s="75">
        <v>19.8</v>
      </c>
      <c r="C20" s="73">
        <f>'[1]cálculos teóricos'!K319</f>
        <v>1.0394602061471769</v>
      </c>
      <c r="D20" s="58">
        <f t="shared" si="4"/>
        <v>299.73593850204333</v>
      </c>
      <c r="E20" s="59">
        <f t="shared" si="5"/>
        <v>12.549344273203548</v>
      </c>
      <c r="F20" s="60">
        <f t="shared" si="6"/>
        <v>16.015762821504438</v>
      </c>
      <c r="G20" s="61">
        <f>'[1]cálculos teóricos'!T319</f>
        <v>41.137802076023092</v>
      </c>
      <c r="H20" s="74">
        <f t="shared" si="7"/>
        <v>38.931984727592251</v>
      </c>
      <c r="I20" s="78"/>
      <c r="J20" s="80"/>
      <c r="K20" s="80"/>
      <c r="L20" s="80">
        <v>0.3</v>
      </c>
      <c r="M20" s="80">
        <v>0.2</v>
      </c>
      <c r="N20" s="80">
        <v>0.5</v>
      </c>
      <c r="O20" s="77">
        <v>0.7</v>
      </c>
      <c r="P20" s="81"/>
      <c r="Q20" s="80">
        <v>0.2</v>
      </c>
      <c r="R20" s="80"/>
      <c r="S20" s="80"/>
      <c r="T20" s="80"/>
      <c r="U20" s="80"/>
      <c r="V20" s="77"/>
      <c r="W20" s="67">
        <f t="shared" si="0"/>
        <v>1.7</v>
      </c>
      <c r="X20" s="68">
        <f t="shared" si="1"/>
        <v>0.2</v>
      </c>
      <c r="Y20" s="117">
        <f t="shared" si="2"/>
        <v>1.9</v>
      </c>
      <c r="Z20" s="70">
        <f>'[1]cálculos teóricos'!I319</f>
        <v>13.058356689623087</v>
      </c>
      <c r="AA20" s="71">
        <f t="shared" si="3"/>
        <v>14.550069699886878</v>
      </c>
      <c r="AB20" s="3"/>
    </row>
    <row r="21" spans="1:28" ht="18" customHeight="1">
      <c r="A21" s="84">
        <v>13</v>
      </c>
      <c r="B21" s="75">
        <v>19.2</v>
      </c>
      <c r="C21" s="73">
        <f>'[1]cálculos teóricos'!K320</f>
        <v>1.0396966835051891</v>
      </c>
      <c r="D21" s="58">
        <f t="shared" si="4"/>
        <v>290.71915488437418</v>
      </c>
      <c r="E21" s="59">
        <f t="shared" si="5"/>
        <v>12.171829576698979</v>
      </c>
      <c r="F21" s="60">
        <f t="shared" si="6"/>
        <v>15.543869450873721</v>
      </c>
      <c r="G21" s="61">
        <f>'[1]cálculos teóricos'!T320</f>
        <v>41.226549621502578</v>
      </c>
      <c r="H21" s="74">
        <f t="shared" si="7"/>
        <v>37.703541998010159</v>
      </c>
      <c r="I21" s="78"/>
      <c r="J21" s="80"/>
      <c r="K21" s="80"/>
      <c r="L21" s="80">
        <v>0.1</v>
      </c>
      <c r="M21" s="80">
        <v>0.7</v>
      </c>
      <c r="N21" s="80">
        <v>1</v>
      </c>
      <c r="O21" s="77">
        <v>0.8</v>
      </c>
      <c r="P21" s="81">
        <v>0.6</v>
      </c>
      <c r="Q21" s="80">
        <v>0.1</v>
      </c>
      <c r="R21" s="80"/>
      <c r="S21" s="80"/>
      <c r="T21" s="80"/>
      <c r="U21" s="80"/>
      <c r="V21" s="77"/>
      <c r="W21" s="67">
        <f t="shared" si="0"/>
        <v>2.5999999999999996</v>
      </c>
      <c r="X21" s="68">
        <f t="shared" si="1"/>
        <v>0.7</v>
      </c>
      <c r="Y21" s="117">
        <f t="shared" si="2"/>
        <v>3.3</v>
      </c>
      <c r="Z21" s="70">
        <f>'[1]cálculos teóricos'!I320</f>
        <v>13.076067167451267</v>
      </c>
      <c r="AA21" s="71">
        <f t="shared" si="3"/>
        <v>25.236945923727788</v>
      </c>
      <c r="AB21" s="3"/>
    </row>
    <row r="22" spans="1:28" ht="18" customHeight="1">
      <c r="A22" s="84">
        <v>14</v>
      </c>
      <c r="B22" s="75">
        <v>28.4</v>
      </c>
      <c r="C22" s="73">
        <f>'[1]cálculos teóricos'!K321</f>
        <v>1.0399238773072104</v>
      </c>
      <c r="D22" s="58">
        <f t="shared" si="4"/>
        <v>430.11605139544508</v>
      </c>
      <c r="E22" s="59">
        <f t="shared" si="5"/>
        <v>18.008098839824495</v>
      </c>
      <c r="F22" s="60">
        <f t="shared" si="6"/>
        <v>22.839206029780616</v>
      </c>
      <c r="G22" s="61">
        <f>'[1]cálculos teóricos'!T321</f>
        <v>41.31305123505652</v>
      </c>
      <c r="H22" s="74">
        <f t="shared" si="7"/>
        <v>55.283270896244588</v>
      </c>
      <c r="I22" s="78"/>
      <c r="J22" s="80"/>
      <c r="K22" s="80"/>
      <c r="L22" s="80">
        <v>0.1</v>
      </c>
      <c r="M22" s="80">
        <v>0.8</v>
      </c>
      <c r="N22" s="80">
        <v>1</v>
      </c>
      <c r="O22" s="77">
        <v>1</v>
      </c>
      <c r="P22" s="81">
        <v>1</v>
      </c>
      <c r="Q22" s="80">
        <v>1</v>
      </c>
      <c r="R22" s="80">
        <v>1</v>
      </c>
      <c r="S22" s="80">
        <v>1</v>
      </c>
      <c r="T22" s="80">
        <v>0.3</v>
      </c>
      <c r="U22" s="80"/>
      <c r="V22" s="77"/>
      <c r="W22" s="67">
        <f t="shared" si="0"/>
        <v>2.9</v>
      </c>
      <c r="X22" s="68">
        <f t="shared" si="1"/>
        <v>4.3</v>
      </c>
      <c r="Y22" s="117">
        <f t="shared" si="2"/>
        <v>7.1999999999999993</v>
      </c>
      <c r="Z22" s="70">
        <f>'[1]cálculos teóricos'!I321</f>
        <v>13.093497923865337</v>
      </c>
      <c r="AA22" s="71">
        <f t="shared" si="3"/>
        <v>54.989125456511196</v>
      </c>
      <c r="AB22" s="3"/>
    </row>
    <row r="23" spans="1:28" ht="18" customHeight="1">
      <c r="A23" s="84">
        <v>15</v>
      </c>
      <c r="B23" s="75">
        <v>33.700000000000003</v>
      </c>
      <c r="C23" s="73">
        <f>'[1]cálculos teóricos'!K322</f>
        <v>1.0401419721063272</v>
      </c>
      <c r="D23" s="58">
        <f t="shared" si="4"/>
        <v>510.49122648296577</v>
      </c>
      <c r="E23" s="59">
        <f t="shared" si="5"/>
        <v>21.373246670388813</v>
      </c>
      <c r="F23" s="60">
        <f t="shared" si="6"/>
        <v>27.045640817986012</v>
      </c>
      <c r="G23" s="61">
        <f>'[1]cálculos teóricos'!T322</f>
        <v>41.397310628066037</v>
      </c>
      <c r="H23" s="74">
        <f t="shared" si="7"/>
        <v>65.331878828983506</v>
      </c>
      <c r="I23" s="78"/>
      <c r="J23" s="80">
        <v>0.9</v>
      </c>
      <c r="K23" s="80">
        <v>1</v>
      </c>
      <c r="L23" s="80">
        <v>1</v>
      </c>
      <c r="M23" s="80">
        <v>1</v>
      </c>
      <c r="N23" s="80">
        <v>1</v>
      </c>
      <c r="O23" s="77">
        <v>1</v>
      </c>
      <c r="P23" s="81">
        <v>1</v>
      </c>
      <c r="Q23" s="80">
        <v>1</v>
      </c>
      <c r="R23" s="80">
        <v>1</v>
      </c>
      <c r="S23" s="80">
        <v>0.5</v>
      </c>
      <c r="T23" s="80">
        <v>0.4</v>
      </c>
      <c r="U23" s="80">
        <v>0.2</v>
      </c>
      <c r="V23" s="77"/>
      <c r="W23" s="67">
        <f t="shared" si="0"/>
        <v>5.9</v>
      </c>
      <c r="X23" s="68">
        <f t="shared" si="1"/>
        <v>4.0999999999999996</v>
      </c>
      <c r="Y23" s="117">
        <f t="shared" si="2"/>
        <v>10</v>
      </c>
      <c r="Z23" s="70">
        <f>'[1]cálculos teóricos'!I322</f>
        <v>13.110639447207307</v>
      </c>
      <c r="AA23" s="71">
        <f t="shared" si="3"/>
        <v>76.273930346929774</v>
      </c>
      <c r="AB23" s="3"/>
    </row>
    <row r="24" spans="1:28" ht="18" customHeight="1">
      <c r="A24" s="84">
        <v>16</v>
      </c>
      <c r="B24" s="75">
        <v>27</v>
      </c>
      <c r="C24" s="73">
        <f>'[1]cálculos teóricos'!K323</f>
        <v>1.0403511555409204</v>
      </c>
      <c r="D24" s="58">
        <f t="shared" si="4"/>
        <v>409.08115945044523</v>
      </c>
      <c r="E24" s="59">
        <f t="shared" si="5"/>
        <v>17.127409983871239</v>
      </c>
      <c r="F24" s="60">
        <f t="shared" si="6"/>
        <v>21.738344959839051</v>
      </c>
      <c r="G24" s="61">
        <f>'[1]cálculos teóricos'!T323</f>
        <v>41.479332364548611</v>
      </c>
      <c r="H24" s="74">
        <f t="shared" si="7"/>
        <v>52.407653934223617</v>
      </c>
      <c r="I24" s="78"/>
      <c r="J24" s="80">
        <v>0.2</v>
      </c>
      <c r="K24" s="80"/>
      <c r="L24" s="80">
        <v>0.1</v>
      </c>
      <c r="M24" s="80">
        <v>0.1</v>
      </c>
      <c r="N24" s="80">
        <v>0.5</v>
      </c>
      <c r="O24" s="77">
        <v>1</v>
      </c>
      <c r="P24" s="81">
        <v>1</v>
      </c>
      <c r="Q24" s="80">
        <v>1</v>
      </c>
      <c r="R24" s="80">
        <v>1</v>
      </c>
      <c r="S24" s="80">
        <v>0.9</v>
      </c>
      <c r="T24" s="80">
        <v>1</v>
      </c>
      <c r="U24" s="80">
        <v>0.4</v>
      </c>
      <c r="V24" s="77"/>
      <c r="W24" s="67">
        <f t="shared" si="0"/>
        <v>1.9</v>
      </c>
      <c r="X24" s="68">
        <f t="shared" si="1"/>
        <v>5.3000000000000007</v>
      </c>
      <c r="Y24" s="117">
        <f t="shared" si="2"/>
        <v>7.2000000000000011</v>
      </c>
      <c r="Z24" s="70">
        <f>'[1]cálculos teóricos'!I323</f>
        <v>13.127482153978651</v>
      </c>
      <c r="AA24" s="71">
        <f t="shared" si="3"/>
        <v>54.846770428233562</v>
      </c>
      <c r="AB24" s="3"/>
    </row>
    <row r="25" spans="1:28" ht="18" customHeight="1">
      <c r="A25" s="84">
        <v>17</v>
      </c>
      <c r="B25" s="75">
        <v>11.4</v>
      </c>
      <c r="C25" s="73">
        <f>'[1]cálculos teóricos'!K324</f>
        <v>1.0405516179248628</v>
      </c>
      <c r="D25" s="58">
        <f t="shared" si="4"/>
        <v>172.75643775919565</v>
      </c>
      <c r="E25" s="59">
        <f t="shared" si="5"/>
        <v>7.232966536102003</v>
      </c>
      <c r="F25" s="60">
        <f t="shared" si="6"/>
        <v>9.3702906501275045</v>
      </c>
      <c r="G25" s="61">
        <f>'[1]cálculos teóricos'!T324</f>
        <v>41.559121810132794</v>
      </c>
      <c r="H25" s="74">
        <f t="shared" si="7"/>
        <v>22.546892816784389</v>
      </c>
      <c r="I25" s="78"/>
      <c r="J25" s="80"/>
      <c r="K25" s="80">
        <v>0.1</v>
      </c>
      <c r="L25" s="80"/>
      <c r="M25" s="80"/>
      <c r="N25" s="80"/>
      <c r="O25" s="77"/>
      <c r="P25" s="81"/>
      <c r="Q25" s="80"/>
      <c r="R25" s="80"/>
      <c r="S25" s="80"/>
      <c r="T25" s="80"/>
      <c r="U25" s="80"/>
      <c r="V25" s="77"/>
      <c r="W25" s="67">
        <f t="shared" si="0"/>
        <v>0.1</v>
      </c>
      <c r="X25" s="68">
        <f t="shared" si="1"/>
        <v>0</v>
      </c>
      <c r="Y25" s="117">
        <f t="shared" si="2"/>
        <v>0.1</v>
      </c>
      <c r="Z25" s="70">
        <f>'[1]cálculos teóricos'!I324</f>
        <v>13.144016401488095</v>
      </c>
      <c r="AA25" s="71">
        <f t="shared" si="3"/>
        <v>0.7608024590465251</v>
      </c>
      <c r="AB25" s="3"/>
    </row>
    <row r="26" spans="1:28" ht="18" customHeight="1">
      <c r="A26" s="84">
        <v>18</v>
      </c>
      <c r="B26" s="75">
        <v>10.8</v>
      </c>
      <c r="C26" s="73">
        <f>'[1]cálculos teóricos'!K325</f>
        <v>1.0407435518268184</v>
      </c>
      <c r="D26" s="58">
        <f t="shared" si="4"/>
        <v>163.69418214392263</v>
      </c>
      <c r="E26" s="59">
        <f t="shared" si="5"/>
        <v>6.8535480180017521</v>
      </c>
      <c r="F26" s="60">
        <f t="shared" si="6"/>
        <v>8.8960175025021915</v>
      </c>
      <c r="G26" s="61">
        <f>'[1]cálculos teóricos'!T325</f>
        <v>41.636685079129691</v>
      </c>
      <c r="H26" s="74">
        <f t="shared" si="7"/>
        <v>21.365815951955561</v>
      </c>
      <c r="I26" s="78"/>
      <c r="J26" s="80"/>
      <c r="K26" s="80"/>
      <c r="L26" s="80"/>
      <c r="M26" s="80"/>
      <c r="N26" s="80"/>
      <c r="O26" s="77"/>
      <c r="P26" s="81"/>
      <c r="Q26" s="80"/>
      <c r="R26" s="80"/>
      <c r="S26" s="80"/>
      <c r="T26" s="80"/>
      <c r="U26" s="80"/>
      <c r="V26" s="77"/>
      <c r="W26" s="67">
        <f t="shared" si="0"/>
        <v>0</v>
      </c>
      <c r="X26" s="68">
        <f t="shared" si="1"/>
        <v>0</v>
      </c>
      <c r="Y26" s="117">
        <f t="shared" si="2"/>
        <v>0</v>
      </c>
      <c r="Z26" s="70">
        <f>'[1]cálculos teóricos'!I325</f>
        <v>13.160232501230519</v>
      </c>
      <c r="AA26" s="71">
        <f t="shared" si="3"/>
        <v>0</v>
      </c>
      <c r="AB26" s="3"/>
    </row>
    <row r="27" spans="1:28" ht="18" customHeight="1">
      <c r="A27" s="79">
        <v>19</v>
      </c>
      <c r="B27" s="75">
        <v>10.4</v>
      </c>
      <c r="C27" s="73">
        <f>'[1]cálculos teóricos'!K326</f>
        <v>1.0409271516395178</v>
      </c>
      <c r="D27" s="58">
        <f t="shared" si="4"/>
        <v>157.65924275818202</v>
      </c>
      <c r="E27" s="59">
        <f t="shared" si="5"/>
        <v>6.6008771757995648</v>
      </c>
      <c r="F27" s="60">
        <f t="shared" si="6"/>
        <v>8.5801789497494561</v>
      </c>
      <c r="G27" s="61">
        <f>'[1]cálculos teóricos'!T326</f>
        <v>41.712028979849315</v>
      </c>
      <c r="H27" s="74">
        <f t="shared" si="7"/>
        <v>20.570034974550051</v>
      </c>
      <c r="I27" s="78"/>
      <c r="J27" s="80"/>
      <c r="K27" s="80"/>
      <c r="L27" s="80"/>
      <c r="M27" s="80"/>
      <c r="N27" s="80"/>
      <c r="O27" s="77"/>
      <c r="P27" s="81"/>
      <c r="Q27" s="80"/>
      <c r="R27" s="80"/>
      <c r="S27" s="80"/>
      <c r="T27" s="80"/>
      <c r="U27" s="80"/>
      <c r="V27" s="77"/>
      <c r="W27" s="67">
        <f t="shared" si="0"/>
        <v>0</v>
      </c>
      <c r="X27" s="68">
        <f t="shared" si="1"/>
        <v>0</v>
      </c>
      <c r="Y27" s="117">
        <f t="shared" si="2"/>
        <v>0</v>
      </c>
      <c r="Z27" s="70">
        <f>'[1]cálculos teóricos'!I326</f>
        <v>13.176120732980356</v>
      </c>
      <c r="AA27" s="71">
        <f t="shared" si="3"/>
        <v>0</v>
      </c>
      <c r="AB27" s="3"/>
    </row>
    <row r="28" spans="1:28" ht="18" customHeight="1">
      <c r="A28" s="79">
        <v>20</v>
      </c>
      <c r="B28" s="75">
        <v>27.8</v>
      </c>
      <c r="C28" s="73">
        <f>'[1]cálculos teóricos'!K327</f>
        <v>1.0411026131399503</v>
      </c>
      <c r="D28" s="58">
        <f t="shared" si="4"/>
        <v>421.50632179968994</v>
      </c>
      <c r="E28" s="59">
        <f t="shared" si="5"/>
        <v>17.647626681109418</v>
      </c>
      <c r="F28" s="60">
        <f t="shared" si="6"/>
        <v>22.388615831386772</v>
      </c>
      <c r="G28" s="61">
        <f>'[1]cálculos teóricos'!T327</f>
        <v>41.785160958320809</v>
      </c>
      <c r="H28" s="74">
        <f t="shared" si="7"/>
        <v>53.580302954243997</v>
      </c>
      <c r="I28" s="78"/>
      <c r="J28" s="80">
        <v>0.4</v>
      </c>
      <c r="K28" s="80">
        <v>0.3</v>
      </c>
      <c r="L28" s="80">
        <v>0.9</v>
      </c>
      <c r="M28" s="80">
        <v>0.8</v>
      </c>
      <c r="N28" s="80">
        <v>0.9</v>
      </c>
      <c r="O28" s="77">
        <v>1</v>
      </c>
      <c r="P28" s="81">
        <v>0.4</v>
      </c>
      <c r="Q28" s="80">
        <v>0.3</v>
      </c>
      <c r="R28" s="80">
        <v>0.9</v>
      </c>
      <c r="S28" s="80">
        <v>0.6</v>
      </c>
      <c r="T28" s="80"/>
      <c r="U28" s="80"/>
      <c r="V28" s="77"/>
      <c r="W28" s="67">
        <f t="shared" si="0"/>
        <v>4.3000000000000007</v>
      </c>
      <c r="X28" s="68">
        <f t="shared" si="1"/>
        <v>2.2000000000000002</v>
      </c>
      <c r="Y28" s="117">
        <f t="shared" si="2"/>
        <v>6.5000000000000009</v>
      </c>
      <c r="Z28" s="70">
        <f>'[1]cálculos teóricos'!I327</f>
        <v>13.191671359578162</v>
      </c>
      <c r="AA28" s="71">
        <f t="shared" si="3"/>
        <v>49.273513740777844</v>
      </c>
      <c r="AB28" s="3"/>
    </row>
    <row r="29" spans="1:28" ht="18" customHeight="1">
      <c r="A29" s="79">
        <v>21</v>
      </c>
      <c r="B29" s="184">
        <v>-99</v>
      </c>
      <c r="C29" s="73">
        <f>'[1]cálculos teóricos'!K328</f>
        <v>1.0412701330414673</v>
      </c>
      <c r="D29" s="58">
        <f t="shared" si="4"/>
        <v>-999</v>
      </c>
      <c r="E29" s="59">
        <f t="shared" si="5"/>
        <v>-999</v>
      </c>
      <c r="F29" s="60">
        <f t="shared" si="6"/>
        <v>-999</v>
      </c>
      <c r="G29" s="61">
        <f>'[1]cálculos teóricos'!T328</f>
        <v>41.856089040582916</v>
      </c>
      <c r="H29" s="74">
        <f t="shared" si="7"/>
        <v>-999</v>
      </c>
      <c r="I29" s="78"/>
      <c r="J29" s="80">
        <v>1</v>
      </c>
      <c r="K29" s="80">
        <v>1</v>
      </c>
      <c r="L29" s="80">
        <v>1</v>
      </c>
      <c r="M29" s="80">
        <v>1</v>
      </c>
      <c r="N29" s="80">
        <v>1</v>
      </c>
      <c r="O29" s="76">
        <v>0.9</v>
      </c>
      <c r="P29" s="81">
        <v>1</v>
      </c>
      <c r="Q29" s="80">
        <v>1</v>
      </c>
      <c r="R29" s="80">
        <v>1</v>
      </c>
      <c r="S29" s="80">
        <v>1</v>
      </c>
      <c r="T29" s="80">
        <v>1</v>
      </c>
      <c r="U29" s="80">
        <v>0.8</v>
      </c>
      <c r="V29" s="77"/>
      <c r="W29" s="67">
        <f t="shared" si="0"/>
        <v>5.9</v>
      </c>
      <c r="X29" s="68">
        <f t="shared" si="1"/>
        <v>5.8</v>
      </c>
      <c r="Y29" s="117">
        <f t="shared" si="2"/>
        <v>11.7</v>
      </c>
      <c r="Z29" s="70">
        <f>'[1]cálculos teóricos'!I328</f>
        <v>13.206874642384781</v>
      </c>
      <c r="AA29" s="71">
        <f t="shared" si="3"/>
        <v>88.59022529411483</v>
      </c>
      <c r="AB29" s="3"/>
    </row>
    <row r="30" spans="1:28" ht="18" customHeight="1">
      <c r="A30" s="84">
        <v>22</v>
      </c>
      <c r="B30" s="75">
        <v>30.1</v>
      </c>
      <c r="C30" s="73">
        <f>'[1]cálculos teóricos'!K329</f>
        <v>1.0414299085388574</v>
      </c>
      <c r="D30" s="58">
        <f t="shared" si="4"/>
        <v>456.52262063747008</v>
      </c>
      <c r="E30" s="59">
        <f t="shared" si="5"/>
        <v>19.113689080849596</v>
      </c>
      <c r="F30" s="60">
        <f t="shared" si="6"/>
        <v>24.221193831061996</v>
      </c>
      <c r="G30" s="61">
        <f>'[1]cálculos teóricos'!T329</f>
        <v>41.924821773720296</v>
      </c>
      <c r="H30" s="74">
        <f t="shared" si="7"/>
        <v>57.77292020891678</v>
      </c>
      <c r="I30" s="78"/>
      <c r="J30" s="80">
        <v>0.8</v>
      </c>
      <c r="K30" s="80">
        <v>0.1</v>
      </c>
      <c r="L30" s="80"/>
      <c r="M30" s="80">
        <v>0.3</v>
      </c>
      <c r="N30" s="80">
        <v>0.9</v>
      </c>
      <c r="O30" s="77">
        <v>1</v>
      </c>
      <c r="P30" s="81">
        <v>1</v>
      </c>
      <c r="Q30" s="80">
        <v>1</v>
      </c>
      <c r="R30" s="80">
        <v>1</v>
      </c>
      <c r="S30" s="80">
        <v>1</v>
      </c>
      <c r="T30" s="80">
        <v>0.9</v>
      </c>
      <c r="U30" s="80">
        <v>0.4</v>
      </c>
      <c r="V30" s="77"/>
      <c r="W30" s="67">
        <f t="shared" si="0"/>
        <v>3.1</v>
      </c>
      <c r="X30" s="68">
        <f t="shared" si="1"/>
        <v>5.3000000000000007</v>
      </c>
      <c r="Y30" s="117">
        <f t="shared" si="2"/>
        <v>8.4</v>
      </c>
      <c r="Z30" s="70">
        <f>'[1]cálculos teóricos'!I329</f>
        <v>13.221720857372709</v>
      </c>
      <c r="AA30" s="71">
        <f t="shared" si="3"/>
        <v>63.531820786520264</v>
      </c>
      <c r="AB30" s="3"/>
    </row>
    <row r="31" spans="1:28" ht="18" customHeight="1">
      <c r="A31" s="84">
        <v>23</v>
      </c>
      <c r="B31" s="75">
        <v>31.8</v>
      </c>
      <c r="C31" s="73">
        <f>'[1]cálculos teóricos'!K330</f>
        <v>1.0415821368474991</v>
      </c>
      <c r="D31" s="58">
        <f t="shared" si="4"/>
        <v>482.37679010931805</v>
      </c>
      <c r="E31" s="59">
        <f t="shared" si="5"/>
        <v>20.196151448296927</v>
      </c>
      <c r="F31" s="60">
        <f t="shared" si="6"/>
        <v>25.574271790371164</v>
      </c>
      <c r="G31" s="61">
        <f>'[1]cálculos teóricos'!T330</f>
        <v>41.991368165827453</v>
      </c>
      <c r="H31" s="74">
        <f t="shared" si="7"/>
        <v>60.903640218094843</v>
      </c>
      <c r="I31" s="78"/>
      <c r="J31" s="80">
        <v>0.7</v>
      </c>
      <c r="K31" s="80">
        <v>0.8</v>
      </c>
      <c r="L31" s="80">
        <v>0.5</v>
      </c>
      <c r="M31" s="80">
        <v>0.7</v>
      </c>
      <c r="N31" s="80">
        <v>0.8</v>
      </c>
      <c r="O31" s="77">
        <v>1</v>
      </c>
      <c r="P31" s="81">
        <v>1</v>
      </c>
      <c r="Q31" s="80">
        <v>1</v>
      </c>
      <c r="R31" s="80">
        <v>1</v>
      </c>
      <c r="S31" s="80">
        <v>1</v>
      </c>
      <c r="T31" s="80">
        <v>0.7</v>
      </c>
      <c r="U31" s="80"/>
      <c r="V31" s="77"/>
      <c r="W31" s="67">
        <f t="shared" si="0"/>
        <v>4.5</v>
      </c>
      <c r="X31" s="68">
        <f t="shared" si="1"/>
        <v>4.7</v>
      </c>
      <c r="Y31" s="117">
        <f t="shared" si="2"/>
        <v>9.1999999999999993</v>
      </c>
      <c r="Z31" s="70">
        <f>'[1]cálculos teóricos'!I330</f>
        <v>13.236200311819495</v>
      </c>
      <c r="AA31" s="71">
        <f t="shared" si="3"/>
        <v>69.506352149904373</v>
      </c>
      <c r="AB31" s="3"/>
    </row>
    <row r="32" spans="1:28" ht="18" customHeight="1">
      <c r="A32" s="84">
        <v>24</v>
      </c>
      <c r="B32" s="75">
        <v>32.4</v>
      </c>
      <c r="C32" s="73">
        <f>'[1]cálculos teóricos'!K331</f>
        <v>1.0417270147377604</v>
      </c>
      <c r="D32" s="58">
        <f t="shared" si="4"/>
        <v>491.54660068392127</v>
      </c>
      <c r="E32" s="59">
        <f t="shared" si="5"/>
        <v>20.580073077434413</v>
      </c>
      <c r="F32" s="60">
        <f t="shared" si="6"/>
        <v>26.054173826793022</v>
      </c>
      <c r="G32" s="61">
        <f>'[1]cálculos teóricos'!T331</f>
        <v>42.055737625089591</v>
      </c>
      <c r="H32" s="74">
        <f t="shared" si="7"/>
        <v>61.951532176312689</v>
      </c>
      <c r="I32" s="78"/>
      <c r="J32" s="80">
        <v>0.3</v>
      </c>
      <c r="K32" s="80">
        <v>0.3</v>
      </c>
      <c r="L32" s="80">
        <v>0.4</v>
      </c>
      <c r="M32" s="80">
        <v>0.5</v>
      </c>
      <c r="N32" s="80">
        <v>1</v>
      </c>
      <c r="O32" s="77">
        <v>1</v>
      </c>
      <c r="P32" s="81">
        <v>0.9</v>
      </c>
      <c r="Q32" s="80">
        <v>1</v>
      </c>
      <c r="R32" s="80">
        <v>1</v>
      </c>
      <c r="S32" s="80">
        <v>1</v>
      </c>
      <c r="T32" s="80">
        <v>0.4</v>
      </c>
      <c r="U32" s="80"/>
      <c r="V32" s="77"/>
      <c r="W32" s="67">
        <f t="shared" si="0"/>
        <v>3.5</v>
      </c>
      <c r="X32" s="68">
        <f t="shared" si="1"/>
        <v>4.3</v>
      </c>
      <c r="Y32" s="117">
        <f t="shared" si="2"/>
        <v>7.8</v>
      </c>
      <c r="Z32" s="70">
        <f>'[1]cálculos teóricos'!I331</f>
        <v>13.250303361563352</v>
      </c>
      <c r="AA32" s="71">
        <f t="shared" si="3"/>
        <v>58.866576765527789</v>
      </c>
      <c r="AB32" s="3"/>
    </row>
    <row r="33" spans="1:28" ht="18" customHeight="1">
      <c r="A33" s="84">
        <v>25</v>
      </c>
      <c r="B33" s="75">
        <v>35.9</v>
      </c>
      <c r="C33" s="73">
        <f>'[1]cálculos teóricos'!K332</f>
        <v>1.0418647380658455</v>
      </c>
      <c r="D33" s="58">
        <f t="shared" si="4"/>
        <v>544.71777635030764</v>
      </c>
      <c r="E33" s="59">
        <f t="shared" si="5"/>
        <v>22.80624386023468</v>
      </c>
      <c r="F33" s="60">
        <f t="shared" si="6"/>
        <v>28.836887305293352</v>
      </c>
      <c r="G33" s="61">
        <f>'[1]cálculos teóricos'!T332</f>
        <v>42.117939898174072</v>
      </c>
      <c r="H33" s="74">
        <f t="shared" si="7"/>
        <v>68.466993815486958</v>
      </c>
      <c r="I33" s="78">
        <v>0.2</v>
      </c>
      <c r="J33" s="80">
        <v>1</v>
      </c>
      <c r="K33" s="80">
        <v>1</v>
      </c>
      <c r="L33" s="80">
        <v>1</v>
      </c>
      <c r="M33" s="80">
        <v>1</v>
      </c>
      <c r="N33" s="80">
        <v>1</v>
      </c>
      <c r="O33" s="77">
        <v>1</v>
      </c>
      <c r="P33" s="81">
        <v>1</v>
      </c>
      <c r="Q33" s="80">
        <v>0.9</v>
      </c>
      <c r="R33" s="80">
        <v>1</v>
      </c>
      <c r="S33" s="80">
        <v>1</v>
      </c>
      <c r="T33" s="80">
        <v>1</v>
      </c>
      <c r="U33" s="80">
        <v>0.3</v>
      </c>
      <c r="V33" s="77"/>
      <c r="W33" s="67">
        <f t="shared" si="0"/>
        <v>6.2</v>
      </c>
      <c r="X33" s="68">
        <f t="shared" si="1"/>
        <v>5.2</v>
      </c>
      <c r="Y33" s="117">
        <f t="shared" si="2"/>
        <v>11.4</v>
      </c>
      <c r="Z33" s="70">
        <f>'[1]cálculos teóricos'!I332</f>
        <v>13.264020428776165</v>
      </c>
      <c r="AA33" s="71">
        <f t="shared" si="3"/>
        <v>85.946791632405876</v>
      </c>
      <c r="AB33" s="3"/>
    </row>
    <row r="34" spans="1:28" ht="18" customHeight="1">
      <c r="A34" s="84">
        <v>26</v>
      </c>
      <c r="B34" s="75">
        <v>27.8</v>
      </c>
      <c r="C34" s="73">
        <f>'[1]cálculos teóricos'!K333</f>
        <v>1.0419955013023439</v>
      </c>
      <c r="D34" s="58">
        <f t="shared" si="4"/>
        <v>421.86782123342385</v>
      </c>
      <c r="E34" s="59">
        <f t="shared" si="5"/>
        <v>17.66276193940099</v>
      </c>
      <c r="F34" s="60">
        <f t="shared" si="6"/>
        <v>22.407534904251232</v>
      </c>
      <c r="G34" s="61">
        <f>'[1]cálculos teóricos'!T333</f>
        <v>42.17798500813155</v>
      </c>
      <c r="H34" s="74">
        <f t="shared" si="7"/>
        <v>53.126138908559177</v>
      </c>
      <c r="I34" s="78">
        <v>0.2</v>
      </c>
      <c r="J34" s="80">
        <v>1</v>
      </c>
      <c r="K34" s="80">
        <v>1</v>
      </c>
      <c r="L34" s="80">
        <v>1</v>
      </c>
      <c r="M34" s="80">
        <v>1</v>
      </c>
      <c r="N34" s="80">
        <v>0.9</v>
      </c>
      <c r="O34" s="77">
        <v>0.9</v>
      </c>
      <c r="P34" s="81">
        <v>0.9</v>
      </c>
      <c r="Q34" s="80">
        <v>0.8</v>
      </c>
      <c r="R34" s="80"/>
      <c r="S34" s="80"/>
      <c r="T34" s="80"/>
      <c r="U34" s="80"/>
      <c r="V34" s="77"/>
      <c r="W34" s="67">
        <f t="shared" si="0"/>
        <v>6.0000000000000009</v>
      </c>
      <c r="X34" s="68">
        <f t="shared" si="1"/>
        <v>1.7000000000000002</v>
      </c>
      <c r="Y34" s="117">
        <f t="shared" si="2"/>
        <v>7.7000000000000011</v>
      </c>
      <c r="Z34" s="70">
        <f>'[1]cálculos teóricos'!I333</f>
        <v>13.277342020204403</v>
      </c>
      <c r="AA34" s="71">
        <f t="shared" si="3"/>
        <v>57.993535063589938</v>
      </c>
      <c r="AB34" s="3"/>
    </row>
    <row r="35" spans="1:28" ht="18" customHeight="1">
      <c r="A35" s="84">
        <v>27</v>
      </c>
      <c r="B35" s="75">
        <v>29.4</v>
      </c>
      <c r="C35" s="73">
        <f>'[1]cálculos teóricos'!K334</f>
        <v>1.0421194970597658</v>
      </c>
      <c r="D35" s="58">
        <f t="shared" si="4"/>
        <v>446.20107448563903</v>
      </c>
      <c r="E35" s="59">
        <f t="shared" si="5"/>
        <v>18.681546586564735</v>
      </c>
      <c r="F35" s="60">
        <f t="shared" si="6"/>
        <v>23.68101571320592</v>
      </c>
      <c r="G35" s="61">
        <f>'[1]cálculos teóricos'!T334</f>
        <v>42.235883192008956</v>
      </c>
      <c r="H35" s="74">
        <f t="shared" si="7"/>
        <v>56.06847524781103</v>
      </c>
      <c r="I35" s="78">
        <v>0.1</v>
      </c>
      <c r="J35" s="80">
        <v>1</v>
      </c>
      <c r="K35" s="80">
        <v>1</v>
      </c>
      <c r="L35" s="80">
        <v>1</v>
      </c>
      <c r="M35" s="80">
        <v>1</v>
      </c>
      <c r="N35" s="80">
        <v>1</v>
      </c>
      <c r="O35" s="77">
        <v>0.8</v>
      </c>
      <c r="P35" s="81">
        <v>0.7</v>
      </c>
      <c r="Q35" s="80">
        <v>0.7</v>
      </c>
      <c r="R35" s="80">
        <v>1</v>
      </c>
      <c r="S35" s="80">
        <v>0.7</v>
      </c>
      <c r="T35" s="80">
        <v>0.2</v>
      </c>
      <c r="U35" s="80"/>
      <c r="V35" s="77"/>
      <c r="W35" s="67">
        <f t="shared" si="0"/>
        <v>5.8999999999999995</v>
      </c>
      <c r="X35" s="68">
        <f t="shared" si="1"/>
        <v>3.3</v>
      </c>
      <c r="Y35" s="117">
        <f t="shared" si="2"/>
        <v>9.1999999999999993</v>
      </c>
      <c r="Z35" s="70">
        <f>'[1]cálculos teóricos'!I334</f>
        <v>13.290258745823692</v>
      </c>
      <c r="AA35" s="71">
        <f t="shared" si="3"/>
        <v>69.223633459288294</v>
      </c>
      <c r="AB35" s="3"/>
    </row>
    <row r="36" spans="1:28" ht="18" customHeight="1">
      <c r="A36" s="84">
        <v>28</v>
      </c>
      <c r="B36" s="75">
        <v>35.4</v>
      </c>
      <c r="C36" s="73">
        <f>'[1]cálculos teóricos'!K335</f>
        <v>1.0422369156203868</v>
      </c>
      <c r="D36" s="58">
        <f t="shared" si="4"/>
        <v>537.32305315056749</v>
      </c>
      <c r="E36" s="59">
        <f t="shared" si="5"/>
        <v>22.496641589307959</v>
      </c>
      <c r="F36" s="60">
        <f t="shared" si="6"/>
        <v>28.449884466634948</v>
      </c>
      <c r="G36" s="61">
        <f>'[1]cálculos teóricos'!T335</f>
        <v>42.291644838379867</v>
      </c>
      <c r="H36" s="74">
        <f t="shared" si="7"/>
        <v>67.270697499134741</v>
      </c>
      <c r="I36" s="78">
        <v>0.1</v>
      </c>
      <c r="J36" s="80">
        <v>1</v>
      </c>
      <c r="K36" s="80">
        <v>1</v>
      </c>
      <c r="L36" s="80">
        <v>1</v>
      </c>
      <c r="M36" s="80">
        <v>1</v>
      </c>
      <c r="N36" s="80">
        <v>1</v>
      </c>
      <c r="O36" s="77">
        <v>1</v>
      </c>
      <c r="P36" s="81">
        <v>1</v>
      </c>
      <c r="Q36" s="80">
        <v>1</v>
      </c>
      <c r="R36" s="80">
        <v>0.3</v>
      </c>
      <c r="S36" s="80"/>
      <c r="T36" s="80"/>
      <c r="U36" s="80"/>
      <c r="V36" s="77"/>
      <c r="W36" s="67">
        <f t="shared" si="0"/>
        <v>6.1</v>
      </c>
      <c r="X36" s="68">
        <f t="shared" si="1"/>
        <v>2.2999999999999998</v>
      </c>
      <c r="Y36" s="117">
        <f t="shared" si="2"/>
        <v>8.3999999999999986</v>
      </c>
      <c r="Z36" s="70">
        <f>'[1]cálculos teóricos'!I335</f>
        <v>13.302761337848288</v>
      </c>
      <c r="AA36" s="71">
        <f t="shared" si="3"/>
        <v>63.144784655354066</v>
      </c>
      <c r="AB36" s="3"/>
    </row>
    <row r="37" spans="1:28" ht="18" customHeight="1">
      <c r="A37" s="84">
        <v>29</v>
      </c>
      <c r="B37" s="75">
        <v>29.5</v>
      </c>
      <c r="C37" s="73">
        <f>'[1]cálculos teóricos'!K336</f>
        <v>1.0423479444657391</v>
      </c>
      <c r="D37" s="58">
        <f t="shared" si="4"/>
        <v>447.81691153219032</v>
      </c>
      <c r="E37" s="59">
        <f t="shared" si="5"/>
        <v>18.749198452029745</v>
      </c>
      <c r="F37" s="60">
        <f t="shared" si="6"/>
        <v>23.765580545037182</v>
      </c>
      <c r="G37" s="61">
        <f>'[1]cálculos teóricos'!T336</f>
        <v>42.345280424998855</v>
      </c>
      <c r="H37" s="74">
        <f t="shared" si="7"/>
        <v>56.123327810121182</v>
      </c>
      <c r="I37" s="78">
        <v>0.3</v>
      </c>
      <c r="J37" s="80">
        <v>1</v>
      </c>
      <c r="K37" s="80">
        <v>1</v>
      </c>
      <c r="L37" s="80">
        <v>1</v>
      </c>
      <c r="M37" s="80">
        <v>1</v>
      </c>
      <c r="N37" s="80">
        <v>1</v>
      </c>
      <c r="O37" s="77">
        <v>1</v>
      </c>
      <c r="P37" s="81">
        <v>0.9</v>
      </c>
      <c r="Q37" s="80">
        <v>0.5</v>
      </c>
      <c r="R37" s="80"/>
      <c r="S37" s="80"/>
      <c r="T37" s="80"/>
      <c r="U37" s="80"/>
      <c r="V37" s="77"/>
      <c r="W37" s="67">
        <f t="shared" si="0"/>
        <v>6.3</v>
      </c>
      <c r="X37" s="68">
        <f t="shared" si="1"/>
        <v>1.4</v>
      </c>
      <c r="Y37" s="117">
        <f t="shared" si="2"/>
        <v>7.6999999999999993</v>
      </c>
      <c r="Z37" s="70">
        <f>'[1]cálculos teóricos'!I336</f>
        <v>13.314840670031995</v>
      </c>
      <c r="AA37" s="71">
        <f t="shared" si="3"/>
        <v>57.830207591823147</v>
      </c>
      <c r="AB37" s="3"/>
    </row>
    <row r="38" spans="1:28" ht="18" customHeight="1" thickBot="1">
      <c r="A38" s="79">
        <v>30</v>
      </c>
      <c r="B38" s="75">
        <v>21.9</v>
      </c>
      <c r="C38" s="73">
        <f>'[1]cálculos teóricos'!K337</f>
        <v>1.0424527678091269</v>
      </c>
      <c r="D38" s="58">
        <f t="shared" si="4"/>
        <v>332.480563359342</v>
      </c>
      <c r="E38" s="59">
        <f t="shared" si="5"/>
        <v>13.920296226728931</v>
      </c>
      <c r="F38" s="60">
        <f t="shared" si="6"/>
        <v>17.72945276341116</v>
      </c>
      <c r="G38" s="61">
        <f>'[1]cálculos teóricos'!T337</f>
        <v>42.396800456787844</v>
      </c>
      <c r="H38" s="74">
        <f t="shared" si="7"/>
        <v>41.817902701128538</v>
      </c>
      <c r="I38" s="78"/>
      <c r="J38" s="80">
        <v>0.2</v>
      </c>
      <c r="K38" s="80">
        <v>0.6</v>
      </c>
      <c r="L38" s="80">
        <v>0.9</v>
      </c>
      <c r="M38" s="80">
        <v>1</v>
      </c>
      <c r="N38" s="80">
        <v>0.9</v>
      </c>
      <c r="O38" s="76">
        <v>0.5</v>
      </c>
      <c r="P38" s="81">
        <v>0.7</v>
      </c>
      <c r="Q38" s="80">
        <v>0.2</v>
      </c>
      <c r="R38" s="80"/>
      <c r="S38" s="80"/>
      <c r="T38" s="80"/>
      <c r="U38" s="80"/>
      <c r="V38" s="77"/>
      <c r="W38" s="67">
        <f t="shared" si="0"/>
        <v>4.0999999999999996</v>
      </c>
      <c r="X38" s="68">
        <f t="shared" si="1"/>
        <v>0.89999999999999991</v>
      </c>
      <c r="Y38" s="120">
        <f t="shared" si="2"/>
        <v>5</v>
      </c>
      <c r="Z38" s="70">
        <f>'[1]cálculos teóricos'!I337</f>
        <v>13.326487777193289</v>
      </c>
      <c r="AA38" s="71">
        <f t="shared" si="3"/>
        <v>37.519263016598487</v>
      </c>
      <c r="AB38" s="3"/>
    </row>
    <row r="39" spans="1:28" ht="18" customHeight="1" thickTop="1" thickBot="1">
      <c r="A39" s="86"/>
      <c r="B39" s="87"/>
      <c r="C39" s="88"/>
      <c r="D39" s="89"/>
      <c r="E39" s="119"/>
      <c r="F39" s="91"/>
      <c r="G39" s="92"/>
      <c r="H39" s="93"/>
      <c r="I39" s="94"/>
      <c r="J39" s="87"/>
      <c r="K39" s="87"/>
      <c r="L39" s="87"/>
      <c r="M39" s="87"/>
      <c r="N39" s="87"/>
      <c r="O39" s="95"/>
      <c r="P39" s="94"/>
      <c r="Q39" s="87"/>
      <c r="R39" s="87"/>
      <c r="S39" s="87"/>
      <c r="T39" s="87"/>
      <c r="U39" s="87"/>
      <c r="V39" s="95"/>
      <c r="W39" s="67"/>
      <c r="X39" s="68"/>
      <c r="Y39" s="124"/>
      <c r="Z39" s="164"/>
      <c r="AA39" s="122"/>
      <c r="AB39" s="3"/>
    </row>
    <row r="40" spans="1:28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101">
        <f>SUM(I9:I39)</f>
        <v>1</v>
      </c>
      <c r="J40" s="101">
        <f t="shared" ref="J40:AA40" si="8">SUM(J9:J39)</f>
        <v>14.3</v>
      </c>
      <c r="K40" s="101">
        <f t="shared" si="8"/>
        <v>14.5</v>
      </c>
      <c r="L40" s="101">
        <f t="shared" si="8"/>
        <v>16.099999999999998</v>
      </c>
      <c r="M40" s="101">
        <f t="shared" si="8"/>
        <v>19</v>
      </c>
      <c r="N40" s="101">
        <f t="shared" si="8"/>
        <v>21.299999999999997</v>
      </c>
      <c r="O40" s="101">
        <f t="shared" si="8"/>
        <v>22.8</v>
      </c>
      <c r="P40" s="101">
        <f t="shared" si="8"/>
        <v>21.399999999999995</v>
      </c>
      <c r="Q40" s="101">
        <f t="shared" si="8"/>
        <v>19.799999999999997</v>
      </c>
      <c r="R40" s="101">
        <f t="shared" si="8"/>
        <v>18.000000000000004</v>
      </c>
      <c r="S40" s="101">
        <f t="shared" si="8"/>
        <v>15.6</v>
      </c>
      <c r="T40" s="101">
        <f t="shared" si="8"/>
        <v>11.8</v>
      </c>
      <c r="U40" s="101">
        <f t="shared" si="8"/>
        <v>5.3</v>
      </c>
      <c r="V40" s="101">
        <f t="shared" si="8"/>
        <v>0</v>
      </c>
      <c r="W40" s="101">
        <f t="shared" si="8"/>
        <v>109</v>
      </c>
      <c r="X40" s="101">
        <f t="shared" si="8"/>
        <v>91.90000000000002</v>
      </c>
      <c r="Y40" s="101">
        <f t="shared" si="8"/>
        <v>200.89999999999998</v>
      </c>
      <c r="Z40" s="101">
        <f t="shared" si="8"/>
        <v>393.23114498563649</v>
      </c>
      <c r="AA40" s="101">
        <f t="shared" si="8"/>
        <v>1532.0281063437276</v>
      </c>
      <c r="AB40" s="100"/>
    </row>
    <row r="41" spans="1:28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8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</sheetData>
  <sheetProtection selectLockedCells="1" selectUnlockedCells="1"/>
  <mergeCells count="2">
    <mergeCell ref="I5:W5"/>
    <mergeCell ref="I7:U7"/>
  </mergeCells>
  <pageMargins left="0" right="0" top="0.39374999999999999" bottom="0.98402777777777772" header="0.51180555555555551" footer="0.51180555555555551"/>
  <pageSetup paperSize="39" scale="50" firstPageNumber="0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E61"/>
  <sheetViews>
    <sheetView zoomScale="75" zoomScaleNormal="75" workbookViewId="0">
      <selection activeCell="A31" sqref="A31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31" ht="18" customHeight="1">
      <c r="A1" s="1" t="s">
        <v>98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31" ht="18" customHeight="1">
      <c r="A2" s="3"/>
      <c r="B2" s="8" t="s">
        <v>2</v>
      </c>
      <c r="C2" s="3"/>
      <c r="D2" s="3"/>
      <c r="E2" s="3"/>
      <c r="F2" s="3"/>
      <c r="G2" s="5"/>
      <c r="H2" s="3"/>
      <c r="I2" s="3"/>
      <c r="J2" s="3"/>
      <c r="K2" s="189"/>
      <c r="L2" s="190"/>
      <c r="M2" s="3"/>
      <c r="N2" s="3"/>
      <c r="O2" s="3"/>
      <c r="P2" s="3"/>
      <c r="Q2" s="3"/>
      <c r="R2" s="3"/>
      <c r="S2" s="3"/>
      <c r="T2" s="9"/>
      <c r="U2" s="3"/>
      <c r="V2" s="8" t="s">
        <v>99</v>
      </c>
      <c r="W2" s="3"/>
      <c r="X2" s="3"/>
      <c r="Y2" s="3"/>
      <c r="Z2" s="3"/>
      <c r="AA2" s="3"/>
      <c r="AB2" s="3"/>
    </row>
    <row r="3" spans="1:31" ht="18" customHeight="1">
      <c r="A3" s="3"/>
      <c r="B3" s="8" t="s">
        <v>100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91"/>
      <c r="U3" s="3"/>
      <c r="V3" s="8" t="s">
        <v>85</v>
      </c>
      <c r="W3" s="3"/>
      <c r="X3" s="6"/>
      <c r="Y3" s="6"/>
      <c r="Z3" s="6" t="s">
        <v>101</v>
      </c>
      <c r="AA3" s="6"/>
      <c r="AB3" s="3"/>
    </row>
    <row r="4" spans="1:31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31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31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31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31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52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1" t="s">
        <v>47</v>
      </c>
      <c r="X8" s="52" t="s">
        <v>48</v>
      </c>
      <c r="Y8" s="53" t="s">
        <v>49</v>
      </c>
      <c r="Z8" s="51" t="s">
        <v>49</v>
      </c>
      <c r="AA8" s="54" t="s">
        <v>49</v>
      </c>
      <c r="AB8" s="3"/>
    </row>
    <row r="9" spans="1:31" ht="18" customHeight="1">
      <c r="A9" s="109">
        <v>1</v>
      </c>
      <c r="B9" s="56">
        <v>24.6</v>
      </c>
      <c r="C9" s="73">
        <f>'[1]cálculos teóricos'!K338</f>
        <v>1.0425515661325413</v>
      </c>
      <c r="D9" s="58">
        <f>IF(B9&gt;0,B9*C9*14.25*1.022,-999)</f>
        <v>373.50671344093314</v>
      </c>
      <c r="E9" s="59">
        <f>IF(B9&gt;0,D9*4.1868/100,-999)</f>
        <v>15.637979078344989</v>
      </c>
      <c r="F9" s="60">
        <f>IF(B9&gt;0,(7.86+1.25*D9)*4.1868/100,-999)</f>
        <v>19.876556327931237</v>
      </c>
      <c r="G9" s="61">
        <f>'[1]cálculos teóricos'!T338</f>
        <v>42.446215404362263</v>
      </c>
      <c r="H9" s="62">
        <f>IF(B9&gt;0,100*F9/G9,-999)</f>
        <v>46.827629126832569</v>
      </c>
      <c r="I9" s="63"/>
      <c r="J9" s="63">
        <v>0.5</v>
      </c>
      <c r="K9" s="63">
        <v>0.8</v>
      </c>
      <c r="L9" s="63">
        <v>1</v>
      </c>
      <c r="M9" s="63">
        <v>1</v>
      </c>
      <c r="N9" s="63">
        <v>0.9</v>
      </c>
      <c r="O9" s="145">
        <v>0.4</v>
      </c>
      <c r="P9" s="63">
        <v>0.5</v>
      </c>
      <c r="Q9" s="63">
        <v>0.9</v>
      </c>
      <c r="R9" s="63">
        <v>0.4</v>
      </c>
      <c r="S9" s="63"/>
      <c r="T9" s="63"/>
      <c r="U9" s="63"/>
      <c r="V9" s="64"/>
      <c r="W9" s="67">
        <f t="shared" ref="W9:W39" si="0">SUM(I9:O9)</f>
        <v>4.6000000000000005</v>
      </c>
      <c r="X9" s="68">
        <f>SUM(P9:V9)</f>
        <v>1.7999999999999998</v>
      </c>
      <c r="Y9" s="114">
        <f>W9+X9</f>
        <v>6.4</v>
      </c>
      <c r="Z9" s="70">
        <f>'[1]cálculos teóricos'!I338</f>
        <v>13.33769387489302</v>
      </c>
      <c r="AA9" s="71">
        <f>100*Y9/Z9</f>
        <v>47.984307182573822</v>
      </c>
      <c r="AB9" s="3"/>
      <c r="AE9" s="192"/>
    </row>
    <row r="10" spans="1:31" ht="18" customHeight="1">
      <c r="A10" s="109">
        <v>2</v>
      </c>
      <c r="B10" s="56">
        <v>22.4</v>
      </c>
      <c r="C10" s="73">
        <f>'[1]cálculos teóricos'!K339</f>
        <v>1.0426445157293678</v>
      </c>
      <c r="D10" s="58">
        <f>IF(B10&gt;0,B10*C10*14.25*1.022,-999)</f>
        <v>340.13399626807205</v>
      </c>
      <c r="E10" s="59">
        <f>IF(B10&gt;0,D10*4.1868/100,-999)</f>
        <v>14.24073015575164</v>
      </c>
      <c r="F10" s="60">
        <f>IF(B10&gt;0,(7.86+1.25*D10)*4.1868/100,-999)</f>
        <v>18.129995174689551</v>
      </c>
      <c r="G10" s="61">
        <f>'[1]cálculos teóricos'!T339</f>
        <v>42.493535643303574</v>
      </c>
      <c r="H10" s="74">
        <f>IF(B10&gt;0,100*F10/G10,-999)</f>
        <v>42.665301675236336</v>
      </c>
      <c r="I10" s="56"/>
      <c r="J10" s="75"/>
      <c r="K10" s="75">
        <v>0.3</v>
      </c>
      <c r="L10" s="75">
        <v>0.3</v>
      </c>
      <c r="M10" s="75">
        <v>0.6</v>
      </c>
      <c r="N10" s="75">
        <v>0.3</v>
      </c>
      <c r="O10" s="75">
        <v>0.3</v>
      </c>
      <c r="P10" s="78">
        <v>0.3</v>
      </c>
      <c r="Q10" s="75">
        <v>0.3</v>
      </c>
      <c r="R10" s="81">
        <v>0.4</v>
      </c>
      <c r="S10" s="81">
        <v>0.5</v>
      </c>
      <c r="T10" s="81">
        <v>0.1</v>
      </c>
      <c r="U10" s="81"/>
      <c r="V10" s="77"/>
      <c r="W10" s="67">
        <f t="shared" si="0"/>
        <v>1.8</v>
      </c>
      <c r="X10" s="68">
        <f t="shared" ref="X10:X39" si="1">SUM(P10:V10)</f>
        <v>1.6</v>
      </c>
      <c r="Y10" s="117">
        <f t="shared" ref="Y10:Y39" si="2">W10+X10</f>
        <v>3.4000000000000004</v>
      </c>
      <c r="Z10" s="70">
        <f>'[1]cálculos teóricos'!I339</f>
        <v>13.348450379189718</v>
      </c>
      <c r="AA10" s="71">
        <f t="shared" ref="AA10:AA39" si="3">100*Y10/Z10</f>
        <v>25.471121391743065</v>
      </c>
      <c r="AB10" s="3"/>
      <c r="AE10" s="192"/>
    </row>
    <row r="11" spans="1:31" ht="18" customHeight="1">
      <c r="A11" s="109">
        <v>3</v>
      </c>
      <c r="B11" s="56">
        <v>26.7</v>
      </c>
      <c r="C11" s="73">
        <f>'[1]cálculos teóricos'!K340</f>
        <v>1.0427317882542817</v>
      </c>
      <c r="D11" s="58">
        <f t="shared" ref="D11:D39" si="4">IF(B11&gt;0,B11*C11*14.25*1.022,-999)</f>
        <v>405.46151143304087</v>
      </c>
      <c r="E11" s="59">
        <f t="shared" ref="E11:E39" si="5">IF(B11&gt;0,D11*4.1868/100,-999)</f>
        <v>16.975862560678554</v>
      </c>
      <c r="F11" s="60">
        <f t="shared" ref="F11:F39" si="6">IF(B11&gt;0,(7.86+1.25*D11)*4.1868/100,-999)</f>
        <v>21.548910680848195</v>
      </c>
      <c r="G11" s="61">
        <f>'[1]cálculos teóricos'!T340</f>
        <v>42.538771394383659</v>
      </c>
      <c r="H11" s="74">
        <f t="shared" ref="H11:H39" si="7">IF(B11&gt;0,100*F11/G11,-999)</f>
        <v>50.65710638670037</v>
      </c>
      <c r="I11" s="56"/>
      <c r="J11" s="75">
        <v>0.3</v>
      </c>
      <c r="K11" s="75">
        <v>1</v>
      </c>
      <c r="L11" s="75">
        <v>1</v>
      </c>
      <c r="M11" s="75">
        <v>0.9</v>
      </c>
      <c r="N11" s="75">
        <v>0.9</v>
      </c>
      <c r="O11" s="75">
        <v>0.4</v>
      </c>
      <c r="P11" s="78">
        <v>0.3</v>
      </c>
      <c r="Q11" s="78">
        <v>0.3</v>
      </c>
      <c r="R11" s="78"/>
      <c r="S11" s="78"/>
      <c r="T11" s="81"/>
      <c r="U11" s="81"/>
      <c r="V11" s="77"/>
      <c r="W11" s="67">
        <f t="shared" si="0"/>
        <v>4.5</v>
      </c>
      <c r="X11" s="68">
        <f t="shared" si="1"/>
        <v>0.6</v>
      </c>
      <c r="Y11" s="117">
        <f t="shared" si="2"/>
        <v>5.0999999999999996</v>
      </c>
      <c r="Z11" s="70">
        <f>'[1]cálculos teóricos'!I340</f>
        <v>13.358748926394169</v>
      </c>
      <c r="AA11" s="71">
        <f t="shared" si="3"/>
        <v>38.177227733679743</v>
      </c>
      <c r="AB11" s="3"/>
      <c r="AE11" s="192"/>
    </row>
    <row r="12" spans="1:31" ht="18" customHeight="1">
      <c r="A12" s="109">
        <v>4</v>
      </c>
      <c r="B12" s="56">
        <v>28.6</v>
      </c>
      <c r="C12" s="73">
        <f>'[1]cálculos teóricos'!K341</f>
        <v>1.0428135502817324</v>
      </c>
      <c r="D12" s="58">
        <f t="shared" si="4"/>
        <v>434.34863299050107</v>
      </c>
      <c r="E12" s="59">
        <f t="shared" si="5"/>
        <v>18.185308566046299</v>
      </c>
      <c r="F12" s="60">
        <f t="shared" si="6"/>
        <v>23.060718187557871</v>
      </c>
      <c r="G12" s="61">
        <f>'[1]cálculos teóricos'!T341</f>
        <v>42.581932664942727</v>
      </c>
      <c r="H12" s="74">
        <f t="shared" si="7"/>
        <v>54.15610974967214</v>
      </c>
      <c r="I12" s="56"/>
      <c r="J12" s="75"/>
      <c r="K12" s="75">
        <v>0.8</v>
      </c>
      <c r="L12" s="75">
        <v>0.9</v>
      </c>
      <c r="M12" s="75">
        <v>1</v>
      </c>
      <c r="N12" s="75">
        <v>1</v>
      </c>
      <c r="O12" s="75">
        <v>1</v>
      </c>
      <c r="P12" s="78">
        <v>0.5</v>
      </c>
      <c r="Q12" s="81"/>
      <c r="R12" s="81">
        <v>0.5</v>
      </c>
      <c r="S12" s="81">
        <v>0.3</v>
      </c>
      <c r="T12" s="81"/>
      <c r="U12" s="81"/>
      <c r="V12" s="77"/>
      <c r="W12" s="67">
        <f t="shared" si="0"/>
        <v>4.7</v>
      </c>
      <c r="X12" s="68">
        <f t="shared" si="1"/>
        <v>1.3</v>
      </c>
      <c r="Y12" s="117">
        <f t="shared" si="2"/>
        <v>6</v>
      </c>
      <c r="Z12" s="70">
        <f>'[1]cálculos teóricos'!I341</f>
        <v>13.368581392741991</v>
      </c>
      <c r="AA12" s="71">
        <f t="shared" si="3"/>
        <v>44.881351459306615</v>
      </c>
      <c r="AB12" s="3"/>
      <c r="AE12" s="192"/>
    </row>
    <row r="13" spans="1:31" ht="18" customHeight="1">
      <c r="A13" s="72">
        <v>5</v>
      </c>
      <c r="B13" s="56">
        <v>11.2</v>
      </c>
      <c r="C13" s="73">
        <f>'[1]cálculos teóricos'!K342</f>
        <v>1.042889962874388</v>
      </c>
      <c r="D13" s="58">
        <f t="shared" si="4"/>
        <v>170.10703331239685</v>
      </c>
      <c r="E13" s="59">
        <f t="shared" si="5"/>
        <v>7.1220412707234315</v>
      </c>
      <c r="F13" s="60">
        <f t="shared" si="6"/>
        <v>9.2316340684042899</v>
      </c>
      <c r="G13" s="61">
        <f>'[1]cálculos teóricos'!T342</f>
        <v>42.623029191619999</v>
      </c>
      <c r="H13" s="74">
        <f t="shared" si="7"/>
        <v>21.658793951273871</v>
      </c>
      <c r="I13" s="56"/>
      <c r="J13" s="75"/>
      <c r="K13" s="75"/>
      <c r="L13" s="75"/>
      <c r="M13" s="75"/>
      <c r="N13" s="75"/>
      <c r="O13" s="75"/>
      <c r="P13" s="78"/>
      <c r="Q13" s="81"/>
      <c r="R13" s="81"/>
      <c r="S13" s="81"/>
      <c r="T13" s="81"/>
      <c r="U13" s="81"/>
      <c r="V13" s="77"/>
      <c r="W13" s="67">
        <f t="shared" si="0"/>
        <v>0</v>
      </c>
      <c r="X13" s="68">
        <f t="shared" si="1"/>
        <v>0</v>
      </c>
      <c r="Y13" s="117">
        <f t="shared" si="2"/>
        <v>0</v>
      </c>
      <c r="Z13" s="70">
        <f>'[1]cálculos teóricos'!I342</f>
        <v>13.37793991390074</v>
      </c>
      <c r="AA13" s="71">
        <f t="shared" si="3"/>
        <v>0</v>
      </c>
      <c r="AB13" s="3"/>
      <c r="AE13" s="192"/>
    </row>
    <row r="14" spans="1:31" ht="18" customHeight="1">
      <c r="A14" s="109">
        <v>6</v>
      </c>
      <c r="B14" s="56">
        <v>14.3</v>
      </c>
      <c r="C14" s="73">
        <f>'[1]cálculos teóricos'!K343</f>
        <v>1.042961181162926</v>
      </c>
      <c r="D14" s="58">
        <f t="shared" si="4"/>
        <v>217.20506181468772</v>
      </c>
      <c r="E14" s="59">
        <f t="shared" si="5"/>
        <v>9.0939415280573446</v>
      </c>
      <c r="F14" s="60">
        <f t="shared" si="6"/>
        <v>11.696509390071682</v>
      </c>
      <c r="G14" s="61">
        <f>'[1]cálculos teóricos'!T343</f>
        <v>42.66207038463164</v>
      </c>
      <c r="H14" s="74">
        <f t="shared" si="7"/>
        <v>27.416647351191777</v>
      </c>
      <c r="I14" s="56"/>
      <c r="J14" s="75"/>
      <c r="K14" s="75"/>
      <c r="L14" s="75"/>
      <c r="M14" s="75"/>
      <c r="N14" s="75"/>
      <c r="O14" s="75">
        <v>0.6</v>
      </c>
      <c r="P14" s="78"/>
      <c r="Q14" s="78"/>
      <c r="R14" s="81"/>
      <c r="S14" s="81"/>
      <c r="T14" s="81"/>
      <c r="U14" s="81"/>
      <c r="V14" s="77"/>
      <c r="W14" s="67">
        <f t="shared" si="0"/>
        <v>0.6</v>
      </c>
      <c r="X14" s="68">
        <f t="shared" si="1"/>
        <v>0</v>
      </c>
      <c r="Y14" s="117">
        <f t="shared" si="2"/>
        <v>0.6</v>
      </c>
      <c r="Z14" s="70">
        <f>'[1]cálculos teóricos'!I343</f>
        <v>13.386816904225913</v>
      </c>
      <c r="AA14" s="71">
        <f t="shared" si="3"/>
        <v>4.482021411756171</v>
      </c>
      <c r="AB14" s="3"/>
      <c r="AE14" s="192"/>
    </row>
    <row r="15" spans="1:31" ht="18" customHeight="1">
      <c r="A15" s="72">
        <v>7</v>
      </c>
      <c r="B15" s="56">
        <v>15.4</v>
      </c>
      <c r="C15" s="73">
        <f>'[1]cálculos teóricos'!K344</f>
        <v>1.0430273539385098</v>
      </c>
      <c r="D15" s="58">
        <f t="shared" si="4"/>
        <v>233.92798458388572</v>
      </c>
      <c r="E15" s="59">
        <f t="shared" si="5"/>
        <v>9.7940968585581274</v>
      </c>
      <c r="F15" s="60">
        <f t="shared" si="6"/>
        <v>12.571703553197658</v>
      </c>
      <c r="G15" s="61">
        <f>'[1]cálculos teóricos'!T344</f>
        <v>42.699065273785024</v>
      </c>
      <c r="H15" s="74">
        <f t="shared" si="7"/>
        <v>29.442573209948044</v>
      </c>
      <c r="I15" s="56"/>
      <c r="J15" s="75"/>
      <c r="K15" s="75"/>
      <c r="L15" s="75"/>
      <c r="M15" s="75">
        <v>0.2</v>
      </c>
      <c r="N15" s="75">
        <v>0.2</v>
      </c>
      <c r="O15" s="75"/>
      <c r="P15" s="78"/>
      <c r="Q15" s="81"/>
      <c r="R15" s="81"/>
      <c r="S15" s="81"/>
      <c r="T15" s="81"/>
      <c r="U15" s="81"/>
      <c r="V15" s="77"/>
      <c r="W15" s="67">
        <f t="shared" si="0"/>
        <v>0.4</v>
      </c>
      <c r="X15" s="68">
        <f t="shared" si="1"/>
        <v>0</v>
      </c>
      <c r="Y15" s="117">
        <f t="shared" si="2"/>
        <v>0.4</v>
      </c>
      <c r="Z15" s="70">
        <f>'[1]cálculos teóricos'!I344</f>
        <v>13.395205075679121</v>
      </c>
      <c r="AA15" s="71">
        <f t="shared" si="3"/>
        <v>2.9861431589894529</v>
      </c>
      <c r="AB15" s="3"/>
      <c r="AE15" s="192"/>
    </row>
    <row r="16" spans="1:31" ht="18" customHeight="1">
      <c r="A16" s="79">
        <v>8</v>
      </c>
      <c r="B16" s="75">
        <v>19</v>
      </c>
      <c r="C16" s="73">
        <f>'[1]cálculos teóricos'!K345</f>
        <v>1.0430886232592806</v>
      </c>
      <c r="D16" s="58">
        <f t="shared" si="4"/>
        <v>288.62940213189415</v>
      </c>
      <c r="E16" s="59">
        <f t="shared" si="5"/>
        <v>12.084335808458144</v>
      </c>
      <c r="F16" s="60">
        <f t="shared" si="6"/>
        <v>15.434502240572678</v>
      </c>
      <c r="G16" s="61">
        <f>'[1]cálculos teóricos'!T345</f>
        <v>42.734022456413641</v>
      </c>
      <c r="H16" s="74">
        <f t="shared" si="7"/>
        <v>36.11759753324187</v>
      </c>
      <c r="I16" s="78"/>
      <c r="J16" s="80"/>
      <c r="K16" s="80"/>
      <c r="L16" s="80">
        <v>0.6</v>
      </c>
      <c r="M16" s="80">
        <v>0.9</v>
      </c>
      <c r="N16" s="80">
        <v>0.9</v>
      </c>
      <c r="O16" s="80">
        <v>0.9</v>
      </c>
      <c r="P16" s="81">
        <v>0.6</v>
      </c>
      <c r="Q16" s="81"/>
      <c r="R16" s="80"/>
      <c r="S16" s="80"/>
      <c r="T16" s="80"/>
      <c r="U16" s="80"/>
      <c r="V16" s="77"/>
      <c r="W16" s="67">
        <f t="shared" si="0"/>
        <v>3.3</v>
      </c>
      <c r="X16" s="68">
        <f t="shared" si="1"/>
        <v>0.6</v>
      </c>
      <c r="Y16" s="117">
        <f t="shared" si="2"/>
        <v>3.9</v>
      </c>
      <c r="Z16" s="70">
        <f>'[1]cálculos teóricos'!I345</f>
        <v>13.40309745632074</v>
      </c>
      <c r="AA16" s="71">
        <f t="shared" si="3"/>
        <v>29.097751566081516</v>
      </c>
      <c r="AB16" s="3"/>
      <c r="AE16" s="192"/>
    </row>
    <row r="17" spans="1:31" ht="18" customHeight="1">
      <c r="A17" s="79">
        <v>9</v>
      </c>
      <c r="B17" s="184">
        <v>-99</v>
      </c>
      <c r="C17" s="73">
        <f>'[1]cálculos teóricos'!K346</f>
        <v>1.0431451240721528</v>
      </c>
      <c r="D17" s="58">
        <f t="shared" si="4"/>
        <v>-999</v>
      </c>
      <c r="E17" s="59">
        <f t="shared" si="5"/>
        <v>-999</v>
      </c>
      <c r="F17" s="60">
        <f t="shared" si="6"/>
        <v>-999</v>
      </c>
      <c r="G17" s="61">
        <f>'[1]cálculos teóricos'!T346</f>
        <v>42.766950047409651</v>
      </c>
      <c r="H17" s="74">
        <f t="shared" si="7"/>
        <v>-999</v>
      </c>
      <c r="I17" s="78"/>
      <c r="J17" s="80">
        <v>0.2</v>
      </c>
      <c r="K17" s="80">
        <v>0.5</v>
      </c>
      <c r="L17" s="80">
        <v>1</v>
      </c>
      <c r="M17" s="80">
        <v>1</v>
      </c>
      <c r="N17" s="80">
        <v>1</v>
      </c>
      <c r="O17" s="80">
        <v>1</v>
      </c>
      <c r="P17" s="81">
        <v>1</v>
      </c>
      <c r="Q17" s="81">
        <v>1</v>
      </c>
      <c r="R17" s="80">
        <v>1</v>
      </c>
      <c r="S17" s="80">
        <v>0.3</v>
      </c>
      <c r="T17" s="80"/>
      <c r="U17" s="80"/>
      <c r="V17" s="77"/>
      <c r="W17" s="67">
        <f t="shared" si="0"/>
        <v>4.7</v>
      </c>
      <c r="X17" s="68">
        <f t="shared" si="1"/>
        <v>3.3</v>
      </c>
      <c r="Y17" s="117">
        <f t="shared" si="2"/>
        <v>8</v>
      </c>
      <c r="Z17" s="70">
        <f>'[1]cálculos teóricos'!I346</f>
        <v>13.410487408289292</v>
      </c>
      <c r="AA17" s="71">
        <f t="shared" si="3"/>
        <v>59.654804157640378</v>
      </c>
      <c r="AB17" s="3"/>
      <c r="AE17" s="192"/>
    </row>
    <row r="18" spans="1:31" ht="18" customHeight="1">
      <c r="A18" s="79">
        <v>10</v>
      </c>
      <c r="B18" s="75">
        <v>32.700000000000003</v>
      </c>
      <c r="C18" s="73">
        <f>'[1]cálculos teóricos'!K347</f>
        <v>1.0431969838511672</v>
      </c>
      <c r="D18" s="58">
        <f t="shared" si="4"/>
        <v>496.7979962701487</v>
      </c>
      <c r="E18" s="59">
        <f t="shared" si="5"/>
        <v>20.799938507838583</v>
      </c>
      <c r="F18" s="60">
        <f t="shared" si="6"/>
        <v>26.329005614798234</v>
      </c>
      <c r="G18" s="61">
        <f>'[1]cálculos teóricos'!T347</f>
        <v>42.797855631524406</v>
      </c>
      <c r="H18" s="74">
        <f t="shared" si="7"/>
        <v>61.519450510517153</v>
      </c>
      <c r="I18" s="78"/>
      <c r="J18" s="80"/>
      <c r="K18" s="80"/>
      <c r="L18" s="80">
        <v>0.3</v>
      </c>
      <c r="M18" s="80">
        <v>0.9</v>
      </c>
      <c r="N18" s="80">
        <v>1</v>
      </c>
      <c r="O18" s="80">
        <v>0.9</v>
      </c>
      <c r="P18" s="78">
        <v>1</v>
      </c>
      <c r="Q18" s="81">
        <v>0.8</v>
      </c>
      <c r="R18" s="80">
        <v>1</v>
      </c>
      <c r="S18" s="80">
        <v>1</v>
      </c>
      <c r="T18" s="80">
        <v>1</v>
      </c>
      <c r="U18" s="80">
        <v>0.5</v>
      </c>
      <c r="V18" s="77"/>
      <c r="W18" s="67">
        <f t="shared" si="0"/>
        <v>3.1</v>
      </c>
      <c r="X18" s="68">
        <f t="shared" si="1"/>
        <v>5.3</v>
      </c>
      <c r="Y18" s="117">
        <f t="shared" si="2"/>
        <v>8.4</v>
      </c>
      <c r="Z18" s="70">
        <f>'[1]cálculos teóricos'!I347</f>
        <v>13.417368645180208</v>
      </c>
      <c r="AA18" s="71">
        <f t="shared" si="3"/>
        <v>62.605420050208217</v>
      </c>
      <c r="AB18" s="3"/>
      <c r="AE18" s="192"/>
    </row>
    <row r="19" spans="1:31" ht="18" customHeight="1">
      <c r="A19" s="84">
        <v>11</v>
      </c>
      <c r="B19" s="75">
        <v>23.8</v>
      </c>
      <c r="C19" s="73">
        <f>'[1]cálculos teóricos'!K348</f>
        <v>1.0432443222536116</v>
      </c>
      <c r="D19" s="58">
        <f t="shared" si="4"/>
        <v>361.60027075394328</v>
      </c>
      <c r="E19" s="59">
        <f t="shared" si="5"/>
        <v>15.139480135926096</v>
      </c>
      <c r="F19" s="60">
        <f t="shared" si="6"/>
        <v>19.253432649907623</v>
      </c>
      <c r="G19" s="61">
        <f>'[1]cálculos teóricos'!T348</f>
        <v>42.826746218100261</v>
      </c>
      <c r="H19" s="74">
        <f t="shared" si="7"/>
        <v>44.95656184538803</v>
      </c>
      <c r="I19" s="78"/>
      <c r="J19" s="80">
        <v>0.5</v>
      </c>
      <c r="K19" s="80">
        <v>0.7</v>
      </c>
      <c r="L19" s="80">
        <v>1</v>
      </c>
      <c r="M19" s="80">
        <v>0.2</v>
      </c>
      <c r="N19" s="80">
        <v>0.9</v>
      </c>
      <c r="O19" s="80"/>
      <c r="P19" s="81"/>
      <c r="Q19" s="80">
        <v>0.2</v>
      </c>
      <c r="R19" s="80"/>
      <c r="S19" s="80"/>
      <c r="T19" s="80"/>
      <c r="U19" s="80"/>
      <c r="V19" s="77"/>
      <c r="W19" s="67">
        <f t="shared" si="0"/>
        <v>3.3000000000000003</v>
      </c>
      <c r="X19" s="68">
        <f t="shared" si="1"/>
        <v>0.2</v>
      </c>
      <c r="Y19" s="117">
        <f t="shared" si="2"/>
        <v>3.5000000000000004</v>
      </c>
      <c r="Z19" s="70">
        <f>'[1]cálculos teóricos'!I348</f>
        <v>13.423735248737781</v>
      </c>
      <c r="AA19" s="71">
        <f t="shared" si="3"/>
        <v>26.073219824035949</v>
      </c>
      <c r="AB19" s="3"/>
      <c r="AE19" s="192"/>
    </row>
    <row r="20" spans="1:31" ht="18" customHeight="1">
      <c r="A20" s="84">
        <v>12</v>
      </c>
      <c r="B20" s="75">
        <v>23.8</v>
      </c>
      <c r="C20" s="73">
        <f>'[1]cálculos teóricos'!K349</f>
        <v>1.043287250795065</v>
      </c>
      <c r="D20" s="58">
        <f t="shared" si="4"/>
        <v>361.61515027150352</v>
      </c>
      <c r="E20" s="59">
        <f t="shared" si="5"/>
        <v>15.14010311156731</v>
      </c>
      <c r="F20" s="60">
        <f t="shared" si="6"/>
        <v>19.254211369459139</v>
      </c>
      <c r="G20" s="61">
        <f>'[1]cálculos teóricos'!T349</f>
        <v>42.853628198387739</v>
      </c>
      <c r="H20" s="74">
        <f t="shared" si="7"/>
        <v>44.930177861074384</v>
      </c>
      <c r="I20" s="78"/>
      <c r="J20" s="80"/>
      <c r="K20" s="80">
        <v>0.8</v>
      </c>
      <c r="L20" s="80">
        <v>0.4</v>
      </c>
      <c r="M20" s="80">
        <v>0.3</v>
      </c>
      <c r="N20" s="80">
        <v>1</v>
      </c>
      <c r="O20" s="80">
        <v>1</v>
      </c>
      <c r="P20" s="81">
        <v>0.8</v>
      </c>
      <c r="Q20" s="80">
        <v>0.3</v>
      </c>
      <c r="R20" s="80"/>
      <c r="S20" s="80"/>
      <c r="T20" s="80"/>
      <c r="U20" s="80"/>
      <c r="V20" s="77"/>
      <c r="W20" s="67">
        <f t="shared" si="0"/>
        <v>3.5</v>
      </c>
      <c r="X20" s="68">
        <f t="shared" si="1"/>
        <v>1.1000000000000001</v>
      </c>
      <c r="Y20" s="117">
        <f t="shared" si="2"/>
        <v>4.5999999999999996</v>
      </c>
      <c r="Z20" s="70">
        <f>'[1]cálculos teóricos'!I349</f>
        <v>13.429581684775858</v>
      </c>
      <c r="AA20" s="71">
        <f t="shared" si="3"/>
        <v>34.252742251939878</v>
      </c>
      <c r="AB20" s="3"/>
      <c r="AE20" s="192"/>
    </row>
    <row r="21" spans="1:31" ht="18" customHeight="1">
      <c r="A21" s="84">
        <v>13</v>
      </c>
      <c r="B21" s="75">
        <v>26.4</v>
      </c>
      <c r="C21" s="73">
        <f>'[1]cálculos teóricos'!K350</f>
        <v>1.043325872544469</v>
      </c>
      <c r="D21" s="58">
        <f>IF(B21&gt;0,B21*C21*14.25*1.022,-999)</f>
        <v>401.13417550275625</v>
      </c>
      <c r="E21" s="59">
        <f>IF(B21&gt;0,D21*4.1868/100,-999)</f>
        <v>16.794685659949398</v>
      </c>
      <c r="F21" s="60">
        <f>IF(B21&gt;0,(7.86+1.25*D21)*4.1868/100,-999)</f>
        <v>21.32243955493675</v>
      </c>
      <c r="G21" s="61">
        <f>'[1]cálculos teóricos'!T350</f>
        <v>42.878507305594937</v>
      </c>
      <c r="H21" s="74">
        <f>IF(B21&gt;0,100*F21/G21,-999)</f>
        <v>49.727569579257541</v>
      </c>
      <c r="I21" s="78"/>
      <c r="J21" s="80"/>
      <c r="K21" s="80"/>
      <c r="L21" s="80">
        <v>0.3</v>
      </c>
      <c r="M21" s="80"/>
      <c r="N21" s="80">
        <v>0.7</v>
      </c>
      <c r="O21" s="80">
        <v>0.9</v>
      </c>
      <c r="P21" s="81">
        <v>0.8</v>
      </c>
      <c r="Q21" s="80">
        <v>0.8</v>
      </c>
      <c r="R21" s="80">
        <v>0.5</v>
      </c>
      <c r="S21" s="80">
        <v>0.3</v>
      </c>
      <c r="T21" s="80">
        <v>0.7</v>
      </c>
      <c r="U21" s="80"/>
      <c r="V21" s="77"/>
      <c r="W21" s="67">
        <f t="shared" si="0"/>
        <v>1.9</v>
      </c>
      <c r="X21" s="68">
        <f t="shared" si="1"/>
        <v>3.0999999999999996</v>
      </c>
      <c r="Y21" s="117">
        <f t="shared" si="2"/>
        <v>5</v>
      </c>
      <c r="Z21" s="70">
        <f>'[1]cálculos teóricos'!I350</f>
        <v>13.434902818245344</v>
      </c>
      <c r="AA21" s="71">
        <f t="shared" si="3"/>
        <v>37.216495479295332</v>
      </c>
      <c r="AB21" s="3"/>
      <c r="AE21" s="192"/>
    </row>
    <row r="22" spans="1:31" ht="18" customHeight="1">
      <c r="A22" s="84">
        <v>14</v>
      </c>
      <c r="B22" s="75">
        <v>33.200000000000003</v>
      </c>
      <c r="C22" s="73">
        <f>'[1]cálculos teóricos'!K351</f>
        <v>1.0433602818402716</v>
      </c>
      <c r="D22" s="58">
        <f t="shared" si="4"/>
        <v>504.47325182408252</v>
      </c>
      <c r="E22" s="59">
        <f t="shared" si="5"/>
        <v>21.12128610737069</v>
      </c>
      <c r="F22" s="60">
        <f t="shared" si="6"/>
        <v>26.730690114213356</v>
      </c>
      <c r="G22" s="61">
        <f>'[1]cálculos teóricos'!T351</f>
        <v>42.901388577805832</v>
      </c>
      <c r="H22" s="74">
        <f t="shared" si="7"/>
        <v>62.307284217000706</v>
      </c>
      <c r="I22" s="78"/>
      <c r="J22" s="80"/>
      <c r="K22" s="80">
        <v>0.2</v>
      </c>
      <c r="L22" s="80">
        <v>0.1</v>
      </c>
      <c r="M22" s="80">
        <v>1</v>
      </c>
      <c r="N22" s="80">
        <v>1</v>
      </c>
      <c r="O22" s="80">
        <v>1</v>
      </c>
      <c r="P22" s="81">
        <v>1</v>
      </c>
      <c r="Q22" s="80">
        <v>1</v>
      </c>
      <c r="R22" s="80">
        <v>1</v>
      </c>
      <c r="S22" s="80">
        <v>0.3</v>
      </c>
      <c r="T22" s="80">
        <v>0.8</v>
      </c>
      <c r="U22" s="80"/>
      <c r="V22" s="77"/>
      <c r="W22" s="67">
        <f t="shared" si="0"/>
        <v>3.3</v>
      </c>
      <c r="X22" s="68">
        <f t="shared" si="1"/>
        <v>4.0999999999999996</v>
      </c>
      <c r="Y22" s="117">
        <f t="shared" si="2"/>
        <v>7.3999999999999995</v>
      </c>
      <c r="Z22" s="70">
        <f>'[1]cálculos teóricos'!I351</f>
        <v>13.439693927369586</v>
      </c>
      <c r="AA22" s="71">
        <f t="shared" si="3"/>
        <v>55.060777722996306</v>
      </c>
      <c r="AB22" s="3"/>
      <c r="AE22" s="192"/>
    </row>
    <row r="23" spans="1:31" ht="18" customHeight="1">
      <c r="A23" s="84">
        <v>15</v>
      </c>
      <c r="B23" s="75">
        <v>26.4</v>
      </c>
      <c r="C23" s="73">
        <f>'[1]cálculos teóricos'!K352</f>
        <v>1.043390564028623</v>
      </c>
      <c r="D23" s="58">
        <f t="shared" si="4"/>
        <v>401.15904785169442</v>
      </c>
      <c r="E23" s="59">
        <f t="shared" si="5"/>
        <v>16.795727015454741</v>
      </c>
      <c r="F23" s="60">
        <f t="shared" si="6"/>
        <v>21.323741249318427</v>
      </c>
      <c r="G23" s="61">
        <f>'[1]cálculos teóricos'!T352</f>
        <v>42.922276323896114</v>
      </c>
      <c r="H23" s="74">
        <f t="shared" si="7"/>
        <v>49.679893695309126</v>
      </c>
      <c r="I23" s="78"/>
      <c r="J23" s="80">
        <v>0.1</v>
      </c>
      <c r="K23" s="80">
        <v>0.5</v>
      </c>
      <c r="L23" s="80">
        <v>0.6</v>
      </c>
      <c r="M23" s="80">
        <v>0.6</v>
      </c>
      <c r="N23" s="80">
        <v>0.1</v>
      </c>
      <c r="O23" s="80">
        <v>0.3</v>
      </c>
      <c r="P23" s="81">
        <v>0.2</v>
      </c>
      <c r="Q23" s="80">
        <v>1</v>
      </c>
      <c r="R23" s="80">
        <v>1</v>
      </c>
      <c r="S23" s="80">
        <v>0.5</v>
      </c>
      <c r="T23" s="80">
        <v>0.1</v>
      </c>
      <c r="U23" s="80"/>
      <c r="V23" s="77"/>
      <c r="W23" s="67">
        <f t="shared" si="0"/>
        <v>2.1999999999999997</v>
      </c>
      <c r="X23" s="68">
        <f t="shared" si="1"/>
        <v>2.8000000000000003</v>
      </c>
      <c r="Y23" s="117">
        <f t="shared" si="2"/>
        <v>5</v>
      </c>
      <c r="Z23" s="70">
        <f>'[1]cálculos teóricos'!I352</f>
        <v>13.443950716772623</v>
      </c>
      <c r="AA23" s="71">
        <f t="shared" si="3"/>
        <v>37.191448446489908</v>
      </c>
      <c r="AB23" s="3"/>
      <c r="AE23" s="192"/>
    </row>
    <row r="24" spans="1:31" ht="18" customHeight="1">
      <c r="A24" s="84">
        <v>16</v>
      </c>
      <c r="B24" s="75">
        <v>32.200000000000003</v>
      </c>
      <c r="C24" s="73">
        <f>'[1]cálculos teóricos'!K353</f>
        <v>1.0434167952245224</v>
      </c>
      <c r="D24" s="58">
        <f t="shared" si="4"/>
        <v>489.30477601152512</v>
      </c>
      <c r="E24" s="59">
        <f t="shared" si="5"/>
        <v>20.486212362050534</v>
      </c>
      <c r="F24" s="60">
        <f t="shared" si="6"/>
        <v>25.936847932563168</v>
      </c>
      <c r="G24" s="61">
        <f>'[1]cálculos teóricos'!T353</f>
        <v>42.941174092563962</v>
      </c>
      <c r="H24" s="74">
        <f t="shared" si="7"/>
        <v>60.400882091984066</v>
      </c>
      <c r="I24" s="78"/>
      <c r="J24" s="80">
        <v>0.7</v>
      </c>
      <c r="K24" s="80">
        <v>1</v>
      </c>
      <c r="L24" s="80">
        <v>1</v>
      </c>
      <c r="M24" s="80">
        <v>1</v>
      </c>
      <c r="N24" s="80">
        <v>1</v>
      </c>
      <c r="O24" s="80">
        <v>1</v>
      </c>
      <c r="P24" s="81">
        <v>1</v>
      </c>
      <c r="Q24" s="80">
        <v>1</v>
      </c>
      <c r="R24" s="80">
        <v>0.3</v>
      </c>
      <c r="S24" s="80"/>
      <c r="T24" s="80"/>
      <c r="U24" s="80"/>
      <c r="V24" s="77"/>
      <c r="W24" s="67">
        <f t="shared" si="0"/>
        <v>5.7</v>
      </c>
      <c r="X24" s="68">
        <f t="shared" si="1"/>
        <v>2.2999999999999998</v>
      </c>
      <c r="Y24" s="117">
        <f t="shared" si="2"/>
        <v>8</v>
      </c>
      <c r="Z24" s="70">
        <f>'[1]cálculos teóricos'!I353</f>
        <v>13.447669329529568</v>
      </c>
      <c r="AA24" s="71">
        <f t="shared" si="3"/>
        <v>59.489862547652784</v>
      </c>
      <c r="AB24" s="3"/>
      <c r="AE24" s="192"/>
    </row>
    <row r="25" spans="1:31" ht="18" customHeight="1">
      <c r="A25" s="84">
        <v>17</v>
      </c>
      <c r="B25" s="75">
        <v>23.4</v>
      </c>
      <c r="C25" s="73">
        <f>'[1]cálculos teóricos'!K354</f>
        <v>1.0434390420967636</v>
      </c>
      <c r="D25" s="58">
        <f t="shared" si="4"/>
        <v>355.58931305608348</v>
      </c>
      <c r="E25" s="59">
        <f t="shared" si="5"/>
        <v>14.887813359032101</v>
      </c>
      <c r="F25" s="60">
        <f t="shared" si="6"/>
        <v>18.938849178790129</v>
      </c>
      <c r="G25" s="61">
        <f>'[1]cálculos teóricos'!T354</f>
        <v>42.958084644584673</v>
      </c>
      <c r="H25" s="74">
        <f t="shared" si="7"/>
        <v>44.086810050963422</v>
      </c>
      <c r="I25" s="78"/>
      <c r="J25" s="80"/>
      <c r="K25" s="80"/>
      <c r="L25" s="80"/>
      <c r="M25" s="80"/>
      <c r="N25" s="80">
        <v>0.1</v>
      </c>
      <c r="O25" s="80">
        <v>0.2</v>
      </c>
      <c r="P25" s="81">
        <v>0.7</v>
      </c>
      <c r="Q25" s="80">
        <v>1</v>
      </c>
      <c r="R25" s="80">
        <v>0.5</v>
      </c>
      <c r="S25" s="80">
        <v>0.3</v>
      </c>
      <c r="T25" s="80">
        <v>0.1</v>
      </c>
      <c r="U25" s="80"/>
      <c r="V25" s="77"/>
      <c r="W25" s="67">
        <f t="shared" si="0"/>
        <v>0.30000000000000004</v>
      </c>
      <c r="X25" s="68">
        <f t="shared" si="1"/>
        <v>2.6</v>
      </c>
      <c r="Y25" s="117">
        <f t="shared" si="2"/>
        <v>2.9000000000000004</v>
      </c>
      <c r="Z25" s="70">
        <f>'[1]cálculos teóricos'!I354</f>
        <v>13.450846358073472</v>
      </c>
      <c r="AA25" s="71">
        <f t="shared" si="3"/>
        <v>21.559981601153012</v>
      </c>
      <c r="AB25" s="3"/>
      <c r="AE25" s="192"/>
    </row>
    <row r="26" spans="1:31" ht="18" customHeight="1">
      <c r="A26" s="84">
        <v>18</v>
      </c>
      <c r="B26" s="75">
        <v>26.4</v>
      </c>
      <c r="C26" s="73">
        <f>'[1]cálculos teóricos'!K355</f>
        <v>1.0434573616774252</v>
      </c>
      <c r="D26" s="58">
        <f t="shared" si="4"/>
        <v>401.18472997123439</v>
      </c>
      <c r="E26" s="59">
        <f t="shared" si="5"/>
        <v>16.796802274435642</v>
      </c>
      <c r="F26" s="60">
        <f t="shared" si="6"/>
        <v>21.325085323044551</v>
      </c>
      <c r="G26" s="61">
        <f>'[1]cálculos teóricos'!T355</f>
        <v>42.973009928386787</v>
      </c>
      <c r="H26" s="74">
        <f t="shared" si="7"/>
        <v>49.624369711551871</v>
      </c>
      <c r="I26" s="78"/>
      <c r="J26" s="80">
        <v>0.6</v>
      </c>
      <c r="K26" s="80"/>
      <c r="L26" s="80">
        <v>0.9</v>
      </c>
      <c r="M26" s="80">
        <v>1</v>
      </c>
      <c r="N26" s="80">
        <v>1</v>
      </c>
      <c r="O26" s="80">
        <v>0.9</v>
      </c>
      <c r="P26" s="81">
        <v>0.8</v>
      </c>
      <c r="Q26" s="80">
        <v>0.6</v>
      </c>
      <c r="R26" s="80"/>
      <c r="S26" s="80"/>
      <c r="T26" s="80"/>
      <c r="U26" s="80"/>
      <c r="V26" s="77"/>
      <c r="W26" s="67">
        <f t="shared" si="0"/>
        <v>4.4000000000000004</v>
      </c>
      <c r="X26" s="68">
        <f t="shared" si="1"/>
        <v>1.4</v>
      </c>
      <c r="Y26" s="117">
        <f t="shared" si="2"/>
        <v>5.8000000000000007</v>
      </c>
      <c r="Z26" s="70">
        <f>'[1]cálculos teóricos'!I355</f>
        <v>13.453478853898625</v>
      </c>
      <c r="AA26" s="71">
        <f t="shared" si="3"/>
        <v>43.111525747254916</v>
      </c>
      <c r="AB26" s="3"/>
      <c r="AE26" s="192"/>
    </row>
    <row r="27" spans="1:31" ht="18" customHeight="1">
      <c r="A27" s="84">
        <v>19</v>
      </c>
      <c r="B27" s="75">
        <v>33.799999999999997</v>
      </c>
      <c r="C27" s="73">
        <f>'[1]cálculos teóricos'!K356</f>
        <v>1.0434718011965771</v>
      </c>
      <c r="D27" s="58">
        <f t="shared" si="4"/>
        <v>513.64513329335057</v>
      </c>
      <c r="E27" s="59">
        <f t="shared" si="5"/>
        <v>21.505294440726001</v>
      </c>
      <c r="F27" s="60">
        <f t="shared" si="6"/>
        <v>27.210700530907502</v>
      </c>
      <c r="G27" s="61">
        <f>'[1]cálculos teóricos'!T356</f>
        <v>42.985951059037113</v>
      </c>
      <c r="H27" s="74">
        <f t="shared" si="7"/>
        <v>63.301380708167173</v>
      </c>
      <c r="I27" s="78"/>
      <c r="J27" s="80">
        <v>0.4</v>
      </c>
      <c r="K27" s="80">
        <v>1</v>
      </c>
      <c r="L27" s="80">
        <v>1</v>
      </c>
      <c r="M27" s="80">
        <v>1</v>
      </c>
      <c r="N27" s="80">
        <v>1</v>
      </c>
      <c r="O27" s="80">
        <v>1</v>
      </c>
      <c r="P27" s="81">
        <v>1</v>
      </c>
      <c r="Q27" s="80">
        <v>1</v>
      </c>
      <c r="R27" s="80">
        <v>1</v>
      </c>
      <c r="S27" s="80">
        <v>0.8</v>
      </c>
      <c r="T27" s="80">
        <v>1</v>
      </c>
      <c r="U27" s="80">
        <v>0.5</v>
      </c>
      <c r="V27" s="77"/>
      <c r="W27" s="67">
        <f t="shared" si="0"/>
        <v>5.4</v>
      </c>
      <c r="X27" s="68">
        <f t="shared" si="1"/>
        <v>5.3</v>
      </c>
      <c r="Y27" s="117">
        <f t="shared" si="2"/>
        <v>10.7</v>
      </c>
      <c r="Z27" s="70">
        <f>'[1]cálculos teóricos'!I356</f>
        <v>13.455564336006312</v>
      </c>
      <c r="AA27" s="71">
        <f t="shared" si="3"/>
        <v>79.521005086107152</v>
      </c>
      <c r="AB27" s="3"/>
      <c r="AE27" s="192"/>
    </row>
    <row r="28" spans="1:31" ht="18" customHeight="1">
      <c r="A28" s="84">
        <v>20</v>
      </c>
      <c r="B28" s="75">
        <v>30.6</v>
      </c>
      <c r="C28" s="73">
        <f>'[1]cálculos teóricos'!K357</f>
        <v>1.0434823979428147</v>
      </c>
      <c r="D28" s="58">
        <f t="shared" si="4"/>
        <v>465.02073061466962</v>
      </c>
      <c r="E28" s="59">
        <f t="shared" si="5"/>
        <v>19.469487949374987</v>
      </c>
      <c r="F28" s="60">
        <f t="shared" si="6"/>
        <v>24.665942416718735</v>
      </c>
      <c r="G28" s="61">
        <f>'[1]cálculos teóricos'!T357</f>
        <v>42.996908300711738</v>
      </c>
      <c r="H28" s="74">
        <f t="shared" si="7"/>
        <v>57.366781453703808</v>
      </c>
      <c r="I28" s="78"/>
      <c r="J28" s="80"/>
      <c r="K28" s="80"/>
      <c r="L28" s="80">
        <v>0.5</v>
      </c>
      <c r="M28" s="80">
        <v>1</v>
      </c>
      <c r="N28" s="80">
        <v>0.9</v>
      </c>
      <c r="O28" s="80">
        <v>1</v>
      </c>
      <c r="P28" s="81">
        <v>1</v>
      </c>
      <c r="Q28" s="80">
        <v>1</v>
      </c>
      <c r="R28" s="80">
        <v>1</v>
      </c>
      <c r="S28" s="80">
        <v>0.6</v>
      </c>
      <c r="T28" s="80"/>
      <c r="U28" s="80"/>
      <c r="V28" s="77"/>
      <c r="W28" s="67">
        <f t="shared" si="0"/>
        <v>3.4</v>
      </c>
      <c r="X28" s="68">
        <f t="shared" si="1"/>
        <v>3.6</v>
      </c>
      <c r="Y28" s="117">
        <f t="shared" si="2"/>
        <v>7</v>
      </c>
      <c r="Z28" s="70">
        <f>'[1]cálculos teóricos'!I357</f>
        <v>13.457100798045776</v>
      </c>
      <c r="AA28" s="71">
        <f t="shared" si="3"/>
        <v>52.017147712949672</v>
      </c>
      <c r="AB28" s="3"/>
      <c r="AE28" s="192"/>
    </row>
    <row r="29" spans="1:31" ht="18" customHeight="1">
      <c r="A29" s="84">
        <v>21</v>
      </c>
      <c r="B29" s="75">
        <v>22.5</v>
      </c>
      <c r="C29" s="73">
        <f>'[1]cálculos teóricos'!K358</f>
        <v>1.0434891791500842</v>
      </c>
      <c r="D29" s="58">
        <f t="shared" si="4"/>
        <v>341.9292298624257</v>
      </c>
      <c r="E29" s="59">
        <f t="shared" si="5"/>
        <v>14.315892995880038</v>
      </c>
      <c r="F29" s="60">
        <f t="shared" si="6"/>
        <v>18.22394872485005</v>
      </c>
      <c r="G29" s="61">
        <f>'[1]cálculos teóricos'!T358</f>
        <v>43.005881052718408</v>
      </c>
      <c r="H29" s="74">
        <f t="shared" si="7"/>
        <v>42.375480466288714</v>
      </c>
      <c r="I29" s="78"/>
      <c r="J29" s="80">
        <v>0.2</v>
      </c>
      <c r="K29" s="80">
        <v>0.9</v>
      </c>
      <c r="L29" s="80">
        <v>1</v>
      </c>
      <c r="M29" s="80">
        <v>0.4</v>
      </c>
      <c r="N29" s="80">
        <v>0.8</v>
      </c>
      <c r="O29" s="80">
        <v>1</v>
      </c>
      <c r="P29" s="81">
        <v>0.9</v>
      </c>
      <c r="Q29" s="80">
        <v>0.3</v>
      </c>
      <c r="R29" s="80"/>
      <c r="S29" s="80"/>
      <c r="T29" s="80"/>
      <c r="U29" s="80"/>
      <c r="V29" s="77"/>
      <c r="W29" s="67">
        <f t="shared" si="0"/>
        <v>4.3</v>
      </c>
      <c r="X29" s="68">
        <f t="shared" si="1"/>
        <v>1.2</v>
      </c>
      <c r="Y29" s="117">
        <f t="shared" si="2"/>
        <v>5.5</v>
      </c>
      <c r="Z29" s="70">
        <f>'[1]cálculos teóricos'!I358</f>
        <v>13.458086714110046</v>
      </c>
      <c r="AA29" s="71">
        <f t="shared" si="3"/>
        <v>40.867621949809255</v>
      </c>
      <c r="AB29" s="3"/>
      <c r="AE29" s="192"/>
    </row>
    <row r="30" spans="1:31" ht="18" customHeight="1">
      <c r="A30" s="84">
        <v>22</v>
      </c>
      <c r="B30" s="75">
        <v>10.1</v>
      </c>
      <c r="C30" s="73">
        <f>'[1]cálculos teóricos'!K359</f>
        <v>1.0434921619112543</v>
      </c>
      <c r="D30" s="58">
        <f t="shared" si="4"/>
        <v>153.48867080994498</v>
      </c>
      <c r="E30" s="59">
        <f t="shared" si="5"/>
        <v>6.4262636694707762</v>
      </c>
      <c r="F30" s="60">
        <f t="shared" si="6"/>
        <v>8.361912066838471</v>
      </c>
      <c r="G30" s="61">
        <f>'[1]cálculos teóricos'!T359</f>
        <v>43.012867839125683</v>
      </c>
      <c r="H30" s="74">
        <f t="shared" si="7"/>
        <v>19.440489525397901</v>
      </c>
      <c r="I30" s="78"/>
      <c r="J30" s="80"/>
      <c r="K30" s="80"/>
      <c r="L30" s="80"/>
      <c r="M30" s="80"/>
      <c r="N30" s="80"/>
      <c r="O30" s="80"/>
      <c r="P30" s="81"/>
      <c r="Q30" s="80"/>
      <c r="R30" s="80"/>
      <c r="S30" s="80"/>
      <c r="T30" s="80"/>
      <c r="U30" s="80"/>
      <c r="V30" s="77"/>
      <c r="W30" s="67">
        <f t="shared" si="0"/>
        <v>0</v>
      </c>
      <c r="X30" s="68">
        <f t="shared" si="1"/>
        <v>0</v>
      </c>
      <c r="Y30" s="117">
        <f t="shared" si="2"/>
        <v>0</v>
      </c>
      <c r="Z30" s="70">
        <f>'[1]cálculos teóricos'!I359</f>
        <v>13.458521043153825</v>
      </c>
      <c r="AA30" s="71">
        <f t="shared" si="3"/>
        <v>0</v>
      </c>
      <c r="AB30" s="3"/>
      <c r="AE30" s="192"/>
    </row>
    <row r="31" spans="1:31" ht="18" customHeight="1">
      <c r="A31" s="84">
        <v>23</v>
      </c>
      <c r="B31" s="75">
        <v>17.100000000000001</v>
      </c>
      <c r="C31" s="73">
        <f>'[1]cálculos teóricos'!K360</f>
        <v>1.0434913531187173</v>
      </c>
      <c r="D31" s="58">
        <f t="shared" si="4"/>
        <v>259.86675609156993</v>
      </c>
      <c r="E31" s="59">
        <f t="shared" si="5"/>
        <v>10.880101344041851</v>
      </c>
      <c r="F31" s="60">
        <f t="shared" si="6"/>
        <v>13.929209160052313</v>
      </c>
      <c r="G31" s="61">
        <f>'[1]cálculos teóricos'!T360</f>
        <v>43.017866302041909</v>
      </c>
      <c r="H31" s="74">
        <f t="shared" si="7"/>
        <v>32.380055910376804</v>
      </c>
      <c r="I31" s="78"/>
      <c r="J31" s="80">
        <v>0.1</v>
      </c>
      <c r="K31" s="80"/>
      <c r="L31" s="80"/>
      <c r="M31" s="80"/>
      <c r="N31" s="80"/>
      <c r="O31" s="80"/>
      <c r="P31" s="81"/>
      <c r="Q31" s="80"/>
      <c r="R31" s="80"/>
      <c r="S31" s="80"/>
      <c r="T31" s="80"/>
      <c r="U31" s="80"/>
      <c r="V31" s="77"/>
      <c r="W31" s="67">
        <f t="shared" si="0"/>
        <v>0.1</v>
      </c>
      <c r="X31" s="68">
        <f t="shared" si="1"/>
        <v>0</v>
      </c>
      <c r="Y31" s="117">
        <f t="shared" si="2"/>
        <v>0.1</v>
      </c>
      <c r="Z31" s="70">
        <f>'[1]cálculos teóricos'!I360</f>
        <v>13.458403232008276</v>
      </c>
      <c r="AA31" s="71">
        <f t="shared" si="3"/>
        <v>0.74303019664449377</v>
      </c>
      <c r="AB31" s="3"/>
      <c r="AE31" s="192"/>
    </row>
    <row r="32" spans="1:31" ht="18" customHeight="1">
      <c r="A32" s="84">
        <v>24</v>
      </c>
      <c r="B32" s="75">
        <v>23.3</v>
      </c>
      <c r="C32" s="73">
        <f>'[1]cálculos teóricos'!K361</f>
        <v>1.0434867494322762</v>
      </c>
      <c r="D32" s="58">
        <f t="shared" si="4"/>
        <v>354.08588911581705</v>
      </c>
      <c r="E32" s="59">
        <f t="shared" si="5"/>
        <v>14.824868005501028</v>
      </c>
      <c r="F32" s="60">
        <f t="shared" si="6"/>
        <v>18.860167486876286</v>
      </c>
      <c r="G32" s="61">
        <f>'[1]cálculos teóricos'!T361</f>
        <v>43.020873198576822</v>
      </c>
      <c r="H32" s="74">
        <f t="shared" si="7"/>
        <v>43.839573873410359</v>
      </c>
      <c r="I32" s="78"/>
      <c r="J32" s="80">
        <v>0.6</v>
      </c>
      <c r="K32" s="80">
        <v>0.6</v>
      </c>
      <c r="L32" s="80">
        <v>0.8</v>
      </c>
      <c r="M32" s="80">
        <v>0.9</v>
      </c>
      <c r="N32" s="80">
        <v>1</v>
      </c>
      <c r="O32" s="80"/>
      <c r="P32" s="81">
        <v>0.7</v>
      </c>
      <c r="Q32" s="80">
        <v>0.7</v>
      </c>
      <c r="R32" s="80"/>
      <c r="S32" s="80"/>
      <c r="T32" s="80"/>
      <c r="U32" s="80"/>
      <c r="V32" s="77"/>
      <c r="W32" s="67">
        <f t="shared" si="0"/>
        <v>3.9</v>
      </c>
      <c r="X32" s="68">
        <f t="shared" si="1"/>
        <v>1.4</v>
      </c>
      <c r="Y32" s="117">
        <f t="shared" si="2"/>
        <v>5.3</v>
      </c>
      <c r="Z32" s="70">
        <f>'[1]cálculos teóricos'!I361</f>
        <v>13.457733216975646</v>
      </c>
      <c r="AA32" s="71">
        <f t="shared" si="3"/>
        <v>39.382561049096708</v>
      </c>
      <c r="AB32" s="3"/>
      <c r="AE32" s="192"/>
    </row>
    <row r="33" spans="1:31" ht="18" customHeight="1">
      <c r="A33" s="84">
        <v>25</v>
      </c>
      <c r="B33" s="184">
        <v>-99</v>
      </c>
      <c r="C33" s="73">
        <f>'[1]cálculos teóricos'!K362</f>
        <v>1.0434783372744176</v>
      </c>
      <c r="D33" s="58">
        <f t="shared" si="4"/>
        <v>-999</v>
      </c>
      <c r="E33" s="59">
        <f t="shared" si="5"/>
        <v>-999</v>
      </c>
      <c r="F33" s="60">
        <f t="shared" si="6"/>
        <v>-999</v>
      </c>
      <c r="G33" s="61">
        <f>'[1]cálculos teóricos'!T362</f>
        <v>43.021884401506568</v>
      </c>
      <c r="H33" s="74">
        <f t="shared" si="7"/>
        <v>-999</v>
      </c>
      <c r="I33" s="78"/>
      <c r="J33" s="80">
        <v>0.1</v>
      </c>
      <c r="K33" s="80">
        <v>0.2</v>
      </c>
      <c r="L33" s="80">
        <v>0.3</v>
      </c>
      <c r="M33" s="80">
        <v>0.1</v>
      </c>
      <c r="N33" s="80"/>
      <c r="O33" s="80">
        <v>0.2</v>
      </c>
      <c r="P33" s="81">
        <v>0.5</v>
      </c>
      <c r="Q33" s="80"/>
      <c r="R33" s="80"/>
      <c r="S33" s="80"/>
      <c r="T33" s="80"/>
      <c r="U33" s="80"/>
      <c r="V33" s="77"/>
      <c r="W33" s="67">
        <f t="shared" si="0"/>
        <v>0.90000000000000013</v>
      </c>
      <c r="X33" s="68">
        <f t="shared" si="1"/>
        <v>0.5</v>
      </c>
      <c r="Y33" s="117">
        <f t="shared" si="2"/>
        <v>1.4000000000000001</v>
      </c>
      <c r="Z33" s="70">
        <f>'[1]cálculos teóricos'!I362</f>
        <v>13.456511423994518</v>
      </c>
      <c r="AA33" s="71">
        <f t="shared" si="3"/>
        <v>10.403885196453205</v>
      </c>
      <c r="AB33" s="3"/>
      <c r="AE33" s="192"/>
    </row>
    <row r="34" spans="1:31" ht="18" customHeight="1">
      <c r="A34" s="84">
        <v>26</v>
      </c>
      <c r="B34" s="75">
        <v>22.5</v>
      </c>
      <c r="C34" s="73">
        <f>'[1]cálculos teóricos'!K363</f>
        <v>1.0434660928530486</v>
      </c>
      <c r="D34" s="58">
        <f t="shared" si="4"/>
        <v>341.92166497347091</v>
      </c>
      <c r="E34" s="59">
        <f t="shared" si="5"/>
        <v>14.315576269109279</v>
      </c>
      <c r="F34" s="60">
        <f t="shared" si="6"/>
        <v>18.223552816386597</v>
      </c>
      <c r="G34" s="61">
        <f>'[1]cálculos teóricos'!T363</f>
        <v>43.020894903651737</v>
      </c>
      <c r="H34" s="74">
        <f t="shared" si="7"/>
        <v>42.359771588200346</v>
      </c>
      <c r="I34" s="78"/>
      <c r="J34" s="80"/>
      <c r="K34" s="80"/>
      <c r="L34" s="80"/>
      <c r="M34" s="80">
        <v>0.3</v>
      </c>
      <c r="N34" s="80">
        <v>0.5</v>
      </c>
      <c r="O34" s="80">
        <v>0.7</v>
      </c>
      <c r="P34" s="81">
        <v>0.1</v>
      </c>
      <c r="Q34" s="80">
        <v>0.5</v>
      </c>
      <c r="R34" s="80">
        <v>0.9</v>
      </c>
      <c r="S34" s="80">
        <v>0.7</v>
      </c>
      <c r="T34" s="80"/>
      <c r="U34" s="80"/>
      <c r="V34" s="77"/>
      <c r="W34" s="67">
        <f t="shared" si="0"/>
        <v>1.5</v>
      </c>
      <c r="X34" s="68">
        <f t="shared" si="1"/>
        <v>2.2000000000000002</v>
      </c>
      <c r="Y34" s="117">
        <f t="shared" si="2"/>
        <v>3.7</v>
      </c>
      <c r="Z34" s="70">
        <f>'[1]cálculos teóricos'!I363</f>
        <v>13.454738767374977</v>
      </c>
      <c r="AA34" s="71">
        <f t="shared" si="3"/>
        <v>27.499604889927351</v>
      </c>
      <c r="AB34" s="3"/>
      <c r="AE34" s="192"/>
    </row>
    <row r="35" spans="1:31" ht="18" customHeight="1">
      <c r="A35" s="84">
        <v>27</v>
      </c>
      <c r="B35" s="75">
        <v>21.6</v>
      </c>
      <c r="C35" s="73">
        <f>'[1]cálculos teóricos'!K364</f>
        <v>1.0434499822115912</v>
      </c>
      <c r="D35" s="58">
        <f t="shared" si="4"/>
        <v>328.23973042427178</v>
      </c>
      <c r="E35" s="59">
        <f t="shared" si="5"/>
        <v>13.74274103340341</v>
      </c>
      <c r="F35" s="60">
        <f t="shared" si="6"/>
        <v>17.507508771754264</v>
      </c>
      <c r="G35" s="61">
        <f>'[1]cálculos teóricos'!T364</f>
        <v>43.017898825966327</v>
      </c>
      <c r="H35" s="74">
        <f t="shared" si="7"/>
        <v>40.698195982520744</v>
      </c>
      <c r="I35" s="78"/>
      <c r="J35" s="80"/>
      <c r="K35" s="80">
        <v>0.5</v>
      </c>
      <c r="L35" s="80"/>
      <c r="M35" s="80"/>
      <c r="N35" s="80"/>
      <c r="O35" s="80"/>
      <c r="P35" s="81"/>
      <c r="Q35" s="80">
        <v>1</v>
      </c>
      <c r="R35" s="80">
        <v>0.7</v>
      </c>
      <c r="S35" s="80"/>
      <c r="T35" s="80"/>
      <c r="U35" s="80"/>
      <c r="V35" s="77"/>
      <c r="W35" s="67">
        <f t="shared" si="0"/>
        <v>0.5</v>
      </c>
      <c r="X35" s="68">
        <f t="shared" si="1"/>
        <v>1.7</v>
      </c>
      <c r="Y35" s="117">
        <f t="shared" si="2"/>
        <v>2.2000000000000002</v>
      </c>
      <c r="Z35" s="70">
        <f>'[1]cálculos teóricos'!I364</f>
        <v>13.45241664711107</v>
      </c>
      <c r="AA35" s="71">
        <f t="shared" si="3"/>
        <v>16.353938907121599</v>
      </c>
      <c r="AB35" s="3"/>
      <c r="AE35" s="192"/>
    </row>
    <row r="36" spans="1:31" ht="18" customHeight="1">
      <c r="A36" s="84">
        <v>28</v>
      </c>
      <c r="B36" s="75">
        <v>28.6</v>
      </c>
      <c r="C36" s="73">
        <f>'[1]cálculos teóricos'!K365</f>
        <v>1.0434299613063189</v>
      </c>
      <c r="D36" s="58">
        <f t="shared" si="4"/>
        <v>434.60537810645889</v>
      </c>
      <c r="E36" s="59">
        <f t="shared" si="5"/>
        <v>18.19605797056122</v>
      </c>
      <c r="F36" s="60">
        <f t="shared" si="6"/>
        <v>23.074154943201528</v>
      </c>
      <c r="G36" s="61">
        <f>'[1]cálculos teóricos'!T365</f>
        <v>43.012889429324311</v>
      </c>
      <c r="H36" s="74">
        <f t="shared" si="7"/>
        <v>53.644745213211777</v>
      </c>
      <c r="I36" s="78"/>
      <c r="J36" s="80">
        <v>0.6</v>
      </c>
      <c r="K36" s="80">
        <v>1</v>
      </c>
      <c r="L36" s="80">
        <v>1</v>
      </c>
      <c r="M36" s="80">
        <v>1</v>
      </c>
      <c r="N36" s="80">
        <v>0.7</v>
      </c>
      <c r="O36" s="80">
        <v>0.3</v>
      </c>
      <c r="P36" s="81">
        <v>0.3</v>
      </c>
      <c r="Q36" s="80">
        <v>0.2</v>
      </c>
      <c r="R36" s="80">
        <v>0.8</v>
      </c>
      <c r="S36" s="80"/>
      <c r="T36" s="80"/>
      <c r="U36" s="80"/>
      <c r="V36" s="77"/>
      <c r="W36" s="67">
        <f t="shared" si="0"/>
        <v>4.5999999999999996</v>
      </c>
      <c r="X36" s="68">
        <f t="shared" si="1"/>
        <v>1.3</v>
      </c>
      <c r="Y36" s="117">
        <f t="shared" si="2"/>
        <v>5.8999999999999995</v>
      </c>
      <c r="Z36" s="70">
        <f>'[1]cálculos teóricos'!I365</f>
        <v>13.449546944786</v>
      </c>
      <c r="AA36" s="71">
        <f t="shared" si="3"/>
        <v>43.867648659252858</v>
      </c>
      <c r="AB36" s="3"/>
      <c r="AE36" s="192"/>
    </row>
    <row r="37" spans="1:31" ht="18" customHeight="1">
      <c r="A37" s="84">
        <v>29</v>
      </c>
      <c r="B37" s="75">
        <v>29.1</v>
      </c>
      <c r="C37" s="73">
        <f>'[1]cálculos teóricos'!K366</f>
        <v>1.0434059761106758</v>
      </c>
      <c r="D37" s="58">
        <f t="shared" si="4"/>
        <v>442.19320935285577</v>
      </c>
      <c r="E37" s="59">
        <f t="shared" si="5"/>
        <v>18.513745289185366</v>
      </c>
      <c r="F37" s="60">
        <f t="shared" si="6"/>
        <v>23.471264091481707</v>
      </c>
      <c r="G37" s="61">
        <f>'[1]cálculos teóricos'!T366</f>
        <v>43.005859129978646</v>
      </c>
      <c r="H37" s="74">
        <f t="shared" si="7"/>
        <v>54.576898511766487</v>
      </c>
      <c r="I37" s="78"/>
      <c r="J37" s="80">
        <v>0.5</v>
      </c>
      <c r="K37" s="80">
        <v>1</v>
      </c>
      <c r="L37" s="80">
        <v>1</v>
      </c>
      <c r="M37" s="80">
        <v>0.6</v>
      </c>
      <c r="N37" s="80"/>
      <c r="O37" s="80">
        <v>1</v>
      </c>
      <c r="P37" s="81">
        <v>0.6</v>
      </c>
      <c r="Q37" s="80">
        <v>0.5</v>
      </c>
      <c r="R37" s="80">
        <v>1</v>
      </c>
      <c r="S37" s="80">
        <v>1</v>
      </c>
      <c r="T37" s="80">
        <v>0.7</v>
      </c>
      <c r="U37" s="80"/>
      <c r="V37" s="77"/>
      <c r="W37" s="67">
        <f t="shared" si="0"/>
        <v>4.0999999999999996</v>
      </c>
      <c r="X37" s="68">
        <f t="shared" si="1"/>
        <v>3.8</v>
      </c>
      <c r="Y37" s="117">
        <f t="shared" si="2"/>
        <v>7.8999999999999995</v>
      </c>
      <c r="Z37" s="70">
        <f>'[1]cálculos teóricos'!I366</f>
        <v>13.446132018093639</v>
      </c>
      <c r="AA37" s="71">
        <f t="shared" si="3"/>
        <v>58.752955789586572</v>
      </c>
      <c r="AB37" s="3"/>
      <c r="AE37" s="192"/>
    </row>
    <row r="38" spans="1:31" ht="18" customHeight="1" thickBot="1">
      <c r="A38" s="79">
        <v>30</v>
      </c>
      <c r="B38" s="75">
        <v>34.4</v>
      </c>
      <c r="C38" s="73">
        <f>'[1]cálculos teóricos'!K367</f>
        <v>1.0433779627462227</v>
      </c>
      <c r="D38" s="58">
        <f t="shared" si="4"/>
        <v>522.71608263963867</v>
      </c>
      <c r="E38" s="59">
        <f t="shared" si="5"/>
        <v>21.885076947956392</v>
      </c>
      <c r="F38" s="60">
        <f t="shared" si="6"/>
        <v>27.685428664945491</v>
      </c>
      <c r="G38" s="61">
        <f>'[1]cálculos teóricos'!T367</f>
        <v>42.996799518656061</v>
      </c>
      <c r="H38" s="74">
        <f t="shared" si="7"/>
        <v>64.389510323746165</v>
      </c>
      <c r="I38" s="78"/>
      <c r="J38" s="80">
        <v>0.8</v>
      </c>
      <c r="K38" s="80">
        <v>0.5</v>
      </c>
      <c r="L38" s="80">
        <v>1</v>
      </c>
      <c r="M38" s="80">
        <v>1</v>
      </c>
      <c r="N38" s="80">
        <v>1</v>
      </c>
      <c r="O38" s="75">
        <v>1</v>
      </c>
      <c r="P38" s="81">
        <v>1</v>
      </c>
      <c r="Q38" s="80">
        <v>1</v>
      </c>
      <c r="R38" s="80">
        <v>1</v>
      </c>
      <c r="S38" s="80">
        <v>1</v>
      </c>
      <c r="T38" s="80">
        <v>0.9</v>
      </c>
      <c r="U38" s="80">
        <v>0.2</v>
      </c>
      <c r="V38" s="77"/>
      <c r="W38" s="67">
        <f t="shared" si="0"/>
        <v>5.3</v>
      </c>
      <c r="X38" s="68">
        <f t="shared" si="1"/>
        <v>5.1000000000000005</v>
      </c>
      <c r="Y38" s="120">
        <f t="shared" si="2"/>
        <v>10.4</v>
      </c>
      <c r="Z38" s="70">
        <f>'[1]cálculos teóricos'!I367</f>
        <v>13.44217469400769</v>
      </c>
      <c r="AA38" s="71">
        <f t="shared" si="3"/>
        <v>77.368433581183524</v>
      </c>
      <c r="AB38" s="3"/>
      <c r="AE38" s="192"/>
    </row>
    <row r="39" spans="1:31" ht="18" customHeight="1" thickTop="1" thickBot="1">
      <c r="A39" s="86">
        <v>31</v>
      </c>
      <c r="B39" s="87">
        <v>25.4</v>
      </c>
      <c r="C39" s="88">
        <f>'[1]cálculos teóricos'!K368</f>
        <v>1.0433458476398019</v>
      </c>
      <c r="D39" s="89">
        <f t="shared" si="4"/>
        <v>385.9470882033973</v>
      </c>
      <c r="E39" s="90">
        <f t="shared" si="5"/>
        <v>16.158832688899839</v>
      </c>
      <c r="F39" s="91">
        <f t="shared" si="6"/>
        <v>20.527623341124794</v>
      </c>
      <c r="G39" s="92">
        <f>'[1]cálculos teóricos'!T368</f>
        <v>42.985701383239665</v>
      </c>
      <c r="H39" s="93">
        <f t="shared" si="7"/>
        <v>47.754538557159883</v>
      </c>
      <c r="I39" s="94">
        <v>0.2</v>
      </c>
      <c r="J39" s="87">
        <v>0.1</v>
      </c>
      <c r="K39" s="87">
        <v>0.3</v>
      </c>
      <c r="L39" s="87">
        <v>1</v>
      </c>
      <c r="M39" s="87">
        <v>1</v>
      </c>
      <c r="N39" s="87">
        <v>1</v>
      </c>
      <c r="O39" s="87">
        <v>0.7</v>
      </c>
      <c r="P39" s="94">
        <v>0.2</v>
      </c>
      <c r="Q39" s="87"/>
      <c r="R39" s="87"/>
      <c r="S39" s="87"/>
      <c r="T39" s="87"/>
      <c r="U39" s="87"/>
      <c r="V39" s="95"/>
      <c r="W39" s="67">
        <f t="shared" si="0"/>
        <v>4.3</v>
      </c>
      <c r="X39" s="68">
        <f t="shared" si="1"/>
        <v>0.2</v>
      </c>
      <c r="Y39" s="124">
        <f t="shared" si="2"/>
        <v>4.5</v>
      </c>
      <c r="Z39" s="98">
        <f>'[1]cálculos teóricos'!I368</f>
        <v>13.437678260637247</v>
      </c>
      <c r="AA39" s="99">
        <f t="shared" si="3"/>
        <v>33.487927845257097</v>
      </c>
      <c r="AB39" s="3"/>
      <c r="AE39" s="192"/>
    </row>
    <row r="40" spans="1:31" s="105" customFormat="1" ht="15.75" thickTop="1">
      <c r="A40" s="100"/>
      <c r="B40" s="100"/>
      <c r="C40" s="100"/>
      <c r="D40" s="100"/>
      <c r="E40" s="100"/>
      <c r="F40" s="100"/>
      <c r="G40" s="100"/>
      <c r="H40" s="100"/>
      <c r="I40" s="103">
        <f>SUM(I9:I39)</f>
        <v>0.2</v>
      </c>
      <c r="J40" s="103">
        <f t="shared" ref="J40:AA40" si="8">SUM(J9:J39)</f>
        <v>6.2999999999999989</v>
      </c>
      <c r="K40" s="103">
        <f t="shared" si="8"/>
        <v>12.6</v>
      </c>
      <c r="L40" s="103">
        <f t="shared" si="8"/>
        <v>17</v>
      </c>
      <c r="M40" s="103">
        <f t="shared" si="8"/>
        <v>17.899999999999999</v>
      </c>
      <c r="N40" s="103">
        <f t="shared" si="8"/>
        <v>18.900000000000002</v>
      </c>
      <c r="O40" s="103">
        <f t="shared" si="8"/>
        <v>17.7</v>
      </c>
      <c r="P40" s="103">
        <f t="shared" si="8"/>
        <v>15.799999999999999</v>
      </c>
      <c r="Q40" s="103">
        <f t="shared" si="8"/>
        <v>15.399999999999999</v>
      </c>
      <c r="R40" s="103">
        <f t="shared" si="8"/>
        <v>13</v>
      </c>
      <c r="S40" s="103">
        <f t="shared" si="8"/>
        <v>7.6</v>
      </c>
      <c r="T40" s="103">
        <f t="shared" si="8"/>
        <v>5.4</v>
      </c>
      <c r="U40" s="103">
        <f t="shared" si="8"/>
        <v>1.2</v>
      </c>
      <c r="V40" s="103"/>
      <c r="W40" s="103">
        <f>SUM(I40:O40)</f>
        <v>90.6</v>
      </c>
      <c r="X40" s="103">
        <f>SUM(P40:V40)</f>
        <v>58.4</v>
      </c>
      <c r="Y40" s="103">
        <f>W40+X40</f>
        <v>149</v>
      </c>
      <c r="Z40" s="103">
        <f t="shared" si="8"/>
        <v>416.21285701052278</v>
      </c>
      <c r="AA40" s="103">
        <f t="shared" si="8"/>
        <v>1109.5619625961863</v>
      </c>
      <c r="AB40" s="100"/>
    </row>
    <row r="41" spans="1:31" s="105" customFormat="1" ht="15">
      <c r="A41" s="100"/>
      <c r="B41" s="100" t="s">
        <v>50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31" s="105" customFormat="1" ht="15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31" s="105" customFormat="1" ht="15">
      <c r="A43" s="100"/>
      <c r="B43" s="100" t="s">
        <v>51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31" s="105" customFormat="1" ht="15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31" s="105" customFormat="1" ht="15">
      <c r="A45" s="100"/>
      <c r="B45" s="100" t="s">
        <v>52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31" s="105" customFormat="1" ht="15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31" s="105" customFormat="1" ht="15">
      <c r="A47" s="100"/>
      <c r="B47" s="100" t="s">
        <v>53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31" s="105" customFormat="1" ht="15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 s="105" customFormat="1" ht="15">
      <c r="A49" s="100"/>
      <c r="B49" s="100" t="s">
        <v>54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0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0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5" t="s">
        <v>57</v>
      </c>
    </row>
    <row r="61" spans="1:28">
      <c r="V61" s="193"/>
    </row>
  </sheetData>
  <sheetProtection selectLockedCells="1" selectUnlockedCells="1"/>
  <mergeCells count="2">
    <mergeCell ref="I5:W5"/>
    <mergeCell ref="I7:U7"/>
  </mergeCells>
  <pageMargins left="0" right="0" top="0.39374999999999999" bottom="0.98402777777777772" header="0.51180555555555551" footer="0.51180555555555551"/>
  <pageSetup paperSize="39" scale="50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marco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2026-03-11T22:34:46Z</dcterms:created>
  <dcterms:modified xsi:type="dcterms:W3CDTF">2026-03-11T22:35:00Z</dcterms:modified>
</cp:coreProperties>
</file>