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35" windowWidth="19155" windowHeight="9285"/>
  </bookViews>
  <sheets>
    <sheet name="janeiro" sheetId="1" r:id="rId1"/>
    <sheet name="fevereiro" sheetId="2" r:id="rId2"/>
    <sheet name="marco" sheetId="3" r:id="rId3"/>
    <sheet name="abril" sheetId="4" r:id="rId4"/>
    <sheet name="maio" sheetId="5" r:id="rId5"/>
    <sheet name="junho" sheetId="6" r:id="rId6"/>
    <sheet name="julho" sheetId="7" r:id="rId7"/>
    <sheet name="agosto" sheetId="8" r:id="rId8"/>
    <sheet name="setembro" sheetId="9" r:id="rId9"/>
    <sheet name="outubro" sheetId="10" r:id="rId10"/>
    <sheet name="novembro" sheetId="11" r:id="rId11"/>
    <sheet name="dezembro" sheetId="12" r:id="rId12"/>
  </sheets>
  <externalReferences>
    <externalReference r:id="rId13"/>
  </externalReferences>
  <calcPr calcId="125725"/>
</workbook>
</file>

<file path=xl/calcChain.xml><?xml version="1.0" encoding="utf-8"?>
<calcChain xmlns="http://schemas.openxmlformats.org/spreadsheetml/2006/main">
  <c r="U40" i="12"/>
  <c r="T40"/>
  <c r="X40" s="1"/>
  <c r="S40"/>
  <c r="R40"/>
  <c r="Q40"/>
  <c r="P40"/>
  <c r="O40"/>
  <c r="N40"/>
  <c r="M40"/>
  <c r="L40"/>
  <c r="K40"/>
  <c r="J40"/>
  <c r="I40"/>
  <c r="W40" s="1"/>
  <c r="Z39"/>
  <c r="X39"/>
  <c r="W39"/>
  <c r="Y39" s="1"/>
  <c r="AA39" s="1"/>
  <c r="G39"/>
  <c r="C39"/>
  <c r="D39" s="1"/>
  <c r="Z38"/>
  <c r="X38"/>
  <c r="W38"/>
  <c r="Y38" s="1"/>
  <c r="AA38" s="1"/>
  <c r="G38"/>
  <c r="C38"/>
  <c r="D38" s="1"/>
  <c r="Z37"/>
  <c r="Y37"/>
  <c r="AA37" s="1"/>
  <c r="X37"/>
  <c r="W37"/>
  <c r="G37"/>
  <c r="E37"/>
  <c r="D37"/>
  <c r="F37" s="1"/>
  <c r="H37" s="1"/>
  <c r="C37"/>
  <c r="Z36"/>
  <c r="X36"/>
  <c r="W36"/>
  <c r="Y36" s="1"/>
  <c r="AA36" s="1"/>
  <c r="G36"/>
  <c r="F36"/>
  <c r="H36" s="1"/>
  <c r="D36"/>
  <c r="E36" s="1"/>
  <c r="C36"/>
  <c r="Z35"/>
  <c r="Y35"/>
  <c r="AA35" s="1"/>
  <c r="X35"/>
  <c r="W35"/>
  <c r="G35"/>
  <c r="D35"/>
  <c r="E35" s="1"/>
  <c r="C35"/>
  <c r="Z34"/>
  <c r="X34"/>
  <c r="W34"/>
  <c r="Y34" s="1"/>
  <c r="AA34" s="1"/>
  <c r="G34"/>
  <c r="F34"/>
  <c r="H34" s="1"/>
  <c r="E34"/>
  <c r="D34"/>
  <c r="C34"/>
  <c r="Z33"/>
  <c r="X33"/>
  <c r="W33"/>
  <c r="Y33" s="1"/>
  <c r="AA33" s="1"/>
  <c r="G33"/>
  <c r="C33"/>
  <c r="D33" s="1"/>
  <c r="Z32"/>
  <c r="Y32"/>
  <c r="AA32" s="1"/>
  <c r="X32"/>
  <c r="W32"/>
  <c r="G32"/>
  <c r="C32"/>
  <c r="D32" s="1"/>
  <c r="Z31"/>
  <c r="X31"/>
  <c r="W31"/>
  <c r="Y31" s="1"/>
  <c r="AA31" s="1"/>
  <c r="G31"/>
  <c r="F31"/>
  <c r="H31" s="1"/>
  <c r="E31"/>
  <c r="D31"/>
  <c r="C31"/>
  <c r="Z30"/>
  <c r="X30"/>
  <c r="W30"/>
  <c r="Y30" s="1"/>
  <c r="AA30" s="1"/>
  <c r="G30"/>
  <c r="D30"/>
  <c r="E30" s="1"/>
  <c r="C30"/>
  <c r="AA29"/>
  <c r="Z29"/>
  <c r="Y29"/>
  <c r="X29"/>
  <c r="W29"/>
  <c r="G29"/>
  <c r="D29"/>
  <c r="E29" s="1"/>
  <c r="C29"/>
  <c r="Z28"/>
  <c r="X28"/>
  <c r="W28"/>
  <c r="Y28" s="1"/>
  <c r="AA28" s="1"/>
  <c r="G28"/>
  <c r="C28"/>
  <c r="D28" s="1"/>
  <c r="Z27"/>
  <c r="X27"/>
  <c r="W27"/>
  <c r="Y27" s="1"/>
  <c r="AA27" s="1"/>
  <c r="G27"/>
  <c r="C27"/>
  <c r="D27" s="1"/>
  <c r="AA26"/>
  <c r="Z26"/>
  <c r="Y26"/>
  <c r="X26"/>
  <c r="W26"/>
  <c r="G26"/>
  <c r="E26"/>
  <c r="D26"/>
  <c r="F26" s="1"/>
  <c r="H26" s="1"/>
  <c r="C26"/>
  <c r="Z25"/>
  <c r="X25"/>
  <c r="W25"/>
  <c r="Y25" s="1"/>
  <c r="AA25" s="1"/>
  <c r="H25"/>
  <c r="G25"/>
  <c r="F25"/>
  <c r="D25"/>
  <c r="E25" s="1"/>
  <c r="C25"/>
  <c r="Z24"/>
  <c r="Y24"/>
  <c r="AA24" s="1"/>
  <c r="X24"/>
  <c r="W24"/>
  <c r="G24"/>
  <c r="D24"/>
  <c r="E24" s="1"/>
  <c r="C24"/>
  <c r="Z23"/>
  <c r="X23"/>
  <c r="W23"/>
  <c r="Y23" s="1"/>
  <c r="AA23" s="1"/>
  <c r="G23"/>
  <c r="C23"/>
  <c r="D23" s="1"/>
  <c r="Z22"/>
  <c r="X22"/>
  <c r="W22"/>
  <c r="Y22" s="1"/>
  <c r="AA22" s="1"/>
  <c r="G22"/>
  <c r="C22"/>
  <c r="D22" s="1"/>
  <c r="Z21"/>
  <c r="Y21"/>
  <c r="AA21" s="1"/>
  <c r="X21"/>
  <c r="W21"/>
  <c r="G21"/>
  <c r="E21"/>
  <c r="D21"/>
  <c r="F21" s="1"/>
  <c r="H21" s="1"/>
  <c r="C21"/>
  <c r="Z20"/>
  <c r="X20"/>
  <c r="W20"/>
  <c r="Y20" s="1"/>
  <c r="AA20" s="1"/>
  <c r="G20"/>
  <c r="F20"/>
  <c r="H20" s="1"/>
  <c r="D20"/>
  <c r="E20" s="1"/>
  <c r="C20"/>
  <c r="Z19"/>
  <c r="Y19"/>
  <c r="AA19" s="1"/>
  <c r="X19"/>
  <c r="W19"/>
  <c r="G19"/>
  <c r="C19"/>
  <c r="D19" s="1"/>
  <c r="Z18"/>
  <c r="X18"/>
  <c r="W18"/>
  <c r="Y18" s="1"/>
  <c r="AA18" s="1"/>
  <c r="G18"/>
  <c r="C18"/>
  <c r="D18" s="1"/>
  <c r="Z17"/>
  <c r="X17"/>
  <c r="W17"/>
  <c r="Y17" s="1"/>
  <c r="AA17" s="1"/>
  <c r="G17"/>
  <c r="C17"/>
  <c r="D17" s="1"/>
  <c r="Z16"/>
  <c r="Z40" s="1"/>
  <c r="Y16"/>
  <c r="AA16" s="1"/>
  <c r="X16"/>
  <c r="W16"/>
  <c r="G16"/>
  <c r="C16"/>
  <c r="D16" s="1"/>
  <c r="Z15"/>
  <c r="X15"/>
  <c r="W15"/>
  <c r="Y15" s="1"/>
  <c r="AA15" s="1"/>
  <c r="G15"/>
  <c r="F15"/>
  <c r="H15" s="1"/>
  <c r="D15"/>
  <c r="E15" s="1"/>
  <c r="C15"/>
  <c r="Z14"/>
  <c r="X14"/>
  <c r="W14"/>
  <c r="Y14" s="1"/>
  <c r="AA14" s="1"/>
  <c r="G14"/>
  <c r="C14"/>
  <c r="D14" s="1"/>
  <c r="Z13"/>
  <c r="X13"/>
  <c r="Y13" s="1"/>
  <c r="AA13" s="1"/>
  <c r="W13"/>
  <c r="H13"/>
  <c r="G13"/>
  <c r="F13"/>
  <c r="E13"/>
  <c r="D13"/>
  <c r="C13"/>
  <c r="Z12"/>
  <c r="X12"/>
  <c r="W12"/>
  <c r="Y12" s="1"/>
  <c r="AA12" s="1"/>
  <c r="G12"/>
  <c r="C12"/>
  <c r="D12" s="1"/>
  <c r="Z11"/>
  <c r="X11"/>
  <c r="W11"/>
  <c r="Y11" s="1"/>
  <c r="AA11" s="1"/>
  <c r="G11"/>
  <c r="C11"/>
  <c r="D11" s="1"/>
  <c r="AA10"/>
  <c r="Z10"/>
  <c r="Y10"/>
  <c r="X10"/>
  <c r="W10"/>
  <c r="G10"/>
  <c r="F10"/>
  <c r="H10" s="1"/>
  <c r="E10"/>
  <c r="D10"/>
  <c r="C10"/>
  <c r="Z9"/>
  <c r="X9"/>
  <c r="W9"/>
  <c r="Y9" s="1"/>
  <c r="AA9" s="1"/>
  <c r="G9"/>
  <c r="C9"/>
  <c r="D9" s="1"/>
  <c r="V40" i="11"/>
  <c r="U40"/>
  <c r="T40"/>
  <c r="S40"/>
  <c r="R40"/>
  <c r="Q40"/>
  <c r="P40"/>
  <c r="O40"/>
  <c r="N40"/>
  <c r="M40"/>
  <c r="L40"/>
  <c r="K40"/>
  <c r="J40"/>
  <c r="I40"/>
  <c r="Z38"/>
  <c r="X38"/>
  <c r="W38"/>
  <c r="Y38" s="1"/>
  <c r="AA38" s="1"/>
  <c r="H38"/>
  <c r="G38"/>
  <c r="F38"/>
  <c r="E38"/>
  <c r="D38"/>
  <c r="C38"/>
  <c r="Z37"/>
  <c r="X37"/>
  <c r="W37"/>
  <c r="Y37" s="1"/>
  <c r="AA37" s="1"/>
  <c r="H37"/>
  <c r="G37"/>
  <c r="F37"/>
  <c r="E37"/>
  <c r="D37"/>
  <c r="C37"/>
  <c r="Z36"/>
  <c r="X36"/>
  <c r="W36"/>
  <c r="Y36" s="1"/>
  <c r="AA36" s="1"/>
  <c r="G36"/>
  <c r="D36"/>
  <c r="E36" s="1"/>
  <c r="C36"/>
  <c r="Z35"/>
  <c r="X35"/>
  <c r="Y35" s="1"/>
  <c r="AA35" s="1"/>
  <c r="W35"/>
  <c r="G35"/>
  <c r="C35"/>
  <c r="D35" s="1"/>
  <c r="Z34"/>
  <c r="X34"/>
  <c r="Y34" s="1"/>
  <c r="AA34" s="1"/>
  <c r="W34"/>
  <c r="G34"/>
  <c r="C34"/>
  <c r="D34" s="1"/>
  <c r="Z33"/>
  <c r="X33"/>
  <c r="W33"/>
  <c r="Y33" s="1"/>
  <c r="AA33" s="1"/>
  <c r="G33"/>
  <c r="F33"/>
  <c r="H33" s="1"/>
  <c r="E33"/>
  <c r="D33"/>
  <c r="C33"/>
  <c r="Z32"/>
  <c r="X32"/>
  <c r="W32"/>
  <c r="Y32" s="1"/>
  <c r="AA32" s="1"/>
  <c r="G32"/>
  <c r="D32"/>
  <c r="E32" s="1"/>
  <c r="C32"/>
  <c r="Z31"/>
  <c r="Y31"/>
  <c r="AA31" s="1"/>
  <c r="X31"/>
  <c r="W31"/>
  <c r="G31"/>
  <c r="D31"/>
  <c r="E31" s="1"/>
  <c r="C31"/>
  <c r="Z30"/>
  <c r="X30"/>
  <c r="W30"/>
  <c r="Y30" s="1"/>
  <c r="AA30" s="1"/>
  <c r="G30"/>
  <c r="C30"/>
  <c r="D30" s="1"/>
  <c r="Z29"/>
  <c r="X29"/>
  <c r="W29"/>
  <c r="Y29" s="1"/>
  <c r="AA29" s="1"/>
  <c r="G29"/>
  <c r="E29"/>
  <c r="D29"/>
  <c r="F29" s="1"/>
  <c r="H29" s="1"/>
  <c r="C29"/>
  <c r="Z28"/>
  <c r="X28"/>
  <c r="W28"/>
  <c r="Y28" s="1"/>
  <c r="AA28" s="1"/>
  <c r="G28"/>
  <c r="E28"/>
  <c r="D28"/>
  <c r="F28" s="1"/>
  <c r="H28" s="1"/>
  <c r="C28"/>
  <c r="Z27"/>
  <c r="Y27"/>
  <c r="AA27" s="1"/>
  <c r="X27"/>
  <c r="W27"/>
  <c r="G27"/>
  <c r="D27"/>
  <c r="E27" s="1"/>
  <c r="C27"/>
  <c r="Z26"/>
  <c r="Y26"/>
  <c r="AA26" s="1"/>
  <c r="X26"/>
  <c r="W26"/>
  <c r="G26"/>
  <c r="C26"/>
  <c r="D26" s="1"/>
  <c r="Z25"/>
  <c r="X25"/>
  <c r="W25"/>
  <c r="Y25" s="1"/>
  <c r="AA25" s="1"/>
  <c r="G25"/>
  <c r="C25"/>
  <c r="D25" s="1"/>
  <c r="Z24"/>
  <c r="X24"/>
  <c r="W24"/>
  <c r="Y24" s="1"/>
  <c r="AA24" s="1"/>
  <c r="G24"/>
  <c r="C24"/>
  <c r="D24" s="1"/>
  <c r="Z23"/>
  <c r="Y23"/>
  <c r="AA23" s="1"/>
  <c r="X23"/>
  <c r="W23"/>
  <c r="G23"/>
  <c r="C23"/>
  <c r="D23" s="1"/>
  <c r="Z22"/>
  <c r="Y22"/>
  <c r="AA22" s="1"/>
  <c r="X22"/>
  <c r="W22"/>
  <c r="G22"/>
  <c r="F22"/>
  <c r="H22" s="1"/>
  <c r="D22"/>
  <c r="E22" s="1"/>
  <c r="C22"/>
  <c r="Z21"/>
  <c r="X21"/>
  <c r="W21"/>
  <c r="Y21" s="1"/>
  <c r="AA21" s="1"/>
  <c r="G21"/>
  <c r="F21"/>
  <c r="H21" s="1"/>
  <c r="D21"/>
  <c r="E21" s="1"/>
  <c r="C21"/>
  <c r="Z20"/>
  <c r="X20"/>
  <c r="W20"/>
  <c r="Y20" s="1"/>
  <c r="AA20" s="1"/>
  <c r="G20"/>
  <c r="D20"/>
  <c r="E20" s="1"/>
  <c r="C20"/>
  <c r="Z19"/>
  <c r="X19"/>
  <c r="Y19" s="1"/>
  <c r="AA19" s="1"/>
  <c r="W19"/>
  <c r="G19"/>
  <c r="C19"/>
  <c r="D19" s="1"/>
  <c r="Z18"/>
  <c r="X18"/>
  <c r="Y18" s="1"/>
  <c r="AA18" s="1"/>
  <c r="W18"/>
  <c r="G18"/>
  <c r="C18"/>
  <c r="D18" s="1"/>
  <c r="AA17"/>
  <c r="Z17"/>
  <c r="Y17"/>
  <c r="X17"/>
  <c r="W17"/>
  <c r="G17"/>
  <c r="C17"/>
  <c r="D17" s="1"/>
  <c r="Z16"/>
  <c r="X16"/>
  <c r="W16"/>
  <c r="Y16" s="1"/>
  <c r="AA16" s="1"/>
  <c r="H16"/>
  <c r="G16"/>
  <c r="F16"/>
  <c r="D16"/>
  <c r="E16" s="1"/>
  <c r="C16"/>
  <c r="Z15"/>
  <c r="Y15"/>
  <c r="AA15" s="1"/>
  <c r="X15"/>
  <c r="W15"/>
  <c r="G15"/>
  <c r="D15"/>
  <c r="E15" s="1"/>
  <c r="C15"/>
  <c r="Z14"/>
  <c r="X14"/>
  <c r="W14"/>
  <c r="Y14" s="1"/>
  <c r="AA14" s="1"/>
  <c r="G14"/>
  <c r="C14"/>
  <c r="D14" s="1"/>
  <c r="Z13"/>
  <c r="X13"/>
  <c r="W13"/>
  <c r="Y13" s="1"/>
  <c r="AA13" s="1"/>
  <c r="G13"/>
  <c r="C13"/>
  <c r="D13" s="1"/>
  <c r="Z12"/>
  <c r="X12"/>
  <c r="W12"/>
  <c r="Y12" s="1"/>
  <c r="AA12" s="1"/>
  <c r="G12"/>
  <c r="E12"/>
  <c r="D12"/>
  <c r="F12" s="1"/>
  <c r="H12" s="1"/>
  <c r="C12"/>
  <c r="Z11"/>
  <c r="X11"/>
  <c r="W11"/>
  <c r="Y11" s="1"/>
  <c r="AA11" s="1"/>
  <c r="G11"/>
  <c r="C11"/>
  <c r="D11" s="1"/>
  <c r="Z10"/>
  <c r="Y10"/>
  <c r="AA10" s="1"/>
  <c r="X10"/>
  <c r="W10"/>
  <c r="G10"/>
  <c r="C10"/>
  <c r="D10" s="1"/>
  <c r="Z9"/>
  <c r="Z40" s="1"/>
  <c r="X9"/>
  <c r="X40" s="1"/>
  <c r="W9"/>
  <c r="W40" s="1"/>
  <c r="G9"/>
  <c r="C9"/>
  <c r="D9" s="1"/>
  <c r="V40" i="10"/>
  <c r="U40"/>
  <c r="T40"/>
  <c r="S40"/>
  <c r="R40"/>
  <c r="Q40"/>
  <c r="P40"/>
  <c r="X40" s="1"/>
  <c r="O40"/>
  <c r="N40"/>
  <c r="M40"/>
  <c r="L40"/>
  <c r="K40"/>
  <c r="J40"/>
  <c r="I40"/>
  <c r="W40" s="1"/>
  <c r="Z39"/>
  <c r="X39"/>
  <c r="W39"/>
  <c r="Y39" s="1"/>
  <c r="AA39" s="1"/>
  <c r="G39"/>
  <c r="D39"/>
  <c r="E39" s="1"/>
  <c r="C39"/>
  <c r="Z38"/>
  <c r="X38"/>
  <c r="Y38" s="1"/>
  <c r="AA38" s="1"/>
  <c r="W38"/>
  <c r="G38"/>
  <c r="D38"/>
  <c r="E38" s="1"/>
  <c r="C38"/>
  <c r="Z37"/>
  <c r="X37"/>
  <c r="W37"/>
  <c r="Y37" s="1"/>
  <c r="AA37" s="1"/>
  <c r="G37"/>
  <c r="F37"/>
  <c r="H37" s="1"/>
  <c r="D37"/>
  <c r="E37" s="1"/>
  <c r="C37"/>
  <c r="Z36"/>
  <c r="X36"/>
  <c r="W36"/>
  <c r="Y36" s="1"/>
  <c r="AA36" s="1"/>
  <c r="G36"/>
  <c r="E36"/>
  <c r="D36"/>
  <c r="F36" s="1"/>
  <c r="H36" s="1"/>
  <c r="C36"/>
  <c r="Z35"/>
  <c r="X35"/>
  <c r="Y35" s="1"/>
  <c r="AA35" s="1"/>
  <c r="W35"/>
  <c r="G35"/>
  <c r="C35"/>
  <c r="D35" s="1"/>
  <c r="Z34"/>
  <c r="Y34"/>
  <c r="AA34" s="1"/>
  <c r="X34"/>
  <c r="W34"/>
  <c r="G34"/>
  <c r="C34"/>
  <c r="D34" s="1"/>
  <c r="Z33"/>
  <c r="X33"/>
  <c r="W33"/>
  <c r="Y33" s="1"/>
  <c r="AA33" s="1"/>
  <c r="G33"/>
  <c r="C33"/>
  <c r="D33" s="1"/>
  <c r="Z32"/>
  <c r="X32"/>
  <c r="W32"/>
  <c r="Y32" s="1"/>
  <c r="AA32" s="1"/>
  <c r="G32"/>
  <c r="C32"/>
  <c r="D32" s="1"/>
  <c r="Z31"/>
  <c r="Y31"/>
  <c r="AA31" s="1"/>
  <c r="X31"/>
  <c r="W31"/>
  <c r="G31"/>
  <c r="C31"/>
  <c r="D31" s="1"/>
  <c r="Z30"/>
  <c r="X30"/>
  <c r="W30"/>
  <c r="Y30" s="1"/>
  <c r="AA30" s="1"/>
  <c r="G30"/>
  <c r="F30"/>
  <c r="H30" s="1"/>
  <c r="D30"/>
  <c r="E30" s="1"/>
  <c r="C30"/>
  <c r="Z29"/>
  <c r="X29"/>
  <c r="W29"/>
  <c r="Y29" s="1"/>
  <c r="AA29" s="1"/>
  <c r="G29"/>
  <c r="D29"/>
  <c r="E29" s="1"/>
  <c r="C29"/>
  <c r="Z28"/>
  <c r="X28"/>
  <c r="W28"/>
  <c r="Y28" s="1"/>
  <c r="AA28" s="1"/>
  <c r="G28"/>
  <c r="D28"/>
  <c r="E28" s="1"/>
  <c r="C28"/>
  <c r="Z27"/>
  <c r="X27"/>
  <c r="Y27" s="1"/>
  <c r="AA27" s="1"/>
  <c r="W27"/>
  <c r="G27"/>
  <c r="E27"/>
  <c r="D27"/>
  <c r="F27" s="1"/>
  <c r="H27" s="1"/>
  <c r="C27"/>
  <c r="Z26"/>
  <c r="X26"/>
  <c r="Y26" s="1"/>
  <c r="AA26" s="1"/>
  <c r="W26"/>
  <c r="G26"/>
  <c r="C26"/>
  <c r="D26" s="1"/>
  <c r="AA25"/>
  <c r="Z25"/>
  <c r="Y25"/>
  <c r="X25"/>
  <c r="W25"/>
  <c r="G25"/>
  <c r="C25"/>
  <c r="D25" s="1"/>
  <c r="Z24"/>
  <c r="X24"/>
  <c r="W24"/>
  <c r="Y24" s="1"/>
  <c r="AA24" s="1"/>
  <c r="G24"/>
  <c r="C24"/>
  <c r="D24" s="1"/>
  <c r="Z23"/>
  <c r="X23"/>
  <c r="W23"/>
  <c r="Y23" s="1"/>
  <c r="AA23" s="1"/>
  <c r="G23"/>
  <c r="D23"/>
  <c r="E23" s="1"/>
  <c r="C23"/>
  <c r="Z22"/>
  <c r="X22"/>
  <c r="W22"/>
  <c r="Y22" s="1"/>
  <c r="AA22" s="1"/>
  <c r="G22"/>
  <c r="D22"/>
  <c r="E22" s="1"/>
  <c r="C22"/>
  <c r="Z21"/>
  <c r="X21"/>
  <c r="W21"/>
  <c r="Y21" s="1"/>
  <c r="AA21" s="1"/>
  <c r="G21"/>
  <c r="D21"/>
  <c r="E21" s="1"/>
  <c r="C21"/>
  <c r="Z20"/>
  <c r="X20"/>
  <c r="W20"/>
  <c r="Y20" s="1"/>
  <c r="AA20" s="1"/>
  <c r="G20"/>
  <c r="E20"/>
  <c r="D20"/>
  <c r="F20" s="1"/>
  <c r="H20" s="1"/>
  <c r="C20"/>
  <c r="Z19"/>
  <c r="X19"/>
  <c r="W19"/>
  <c r="Y19" s="1"/>
  <c r="AA19" s="1"/>
  <c r="G19"/>
  <c r="C19"/>
  <c r="D19" s="1"/>
  <c r="Z18"/>
  <c r="Y18"/>
  <c r="AA18" s="1"/>
  <c r="X18"/>
  <c r="W18"/>
  <c r="G18"/>
  <c r="C18"/>
  <c r="D18" s="1"/>
  <c r="Z17"/>
  <c r="Y17"/>
  <c r="AA17" s="1"/>
  <c r="X17"/>
  <c r="W17"/>
  <c r="G17"/>
  <c r="C17"/>
  <c r="D17" s="1"/>
  <c r="Z16"/>
  <c r="X16"/>
  <c r="W16"/>
  <c r="Y16" s="1"/>
  <c r="AA16" s="1"/>
  <c r="G16"/>
  <c r="C16"/>
  <c r="D16" s="1"/>
  <c r="Z15"/>
  <c r="Y15"/>
  <c r="AA15" s="1"/>
  <c r="X15"/>
  <c r="W15"/>
  <c r="G15"/>
  <c r="C15"/>
  <c r="D15" s="1"/>
  <c r="Z14"/>
  <c r="X14"/>
  <c r="W14"/>
  <c r="Y14" s="1"/>
  <c r="AA14" s="1"/>
  <c r="G14"/>
  <c r="C14"/>
  <c r="D14" s="1"/>
  <c r="Z13"/>
  <c r="X13"/>
  <c r="W13"/>
  <c r="Y13" s="1"/>
  <c r="AA13" s="1"/>
  <c r="G13"/>
  <c r="C13"/>
  <c r="D13" s="1"/>
  <c r="Z12"/>
  <c r="X12"/>
  <c r="W12"/>
  <c r="Y12" s="1"/>
  <c r="AA12" s="1"/>
  <c r="H12"/>
  <c r="G12"/>
  <c r="F12"/>
  <c r="E12"/>
  <c r="D12"/>
  <c r="C12"/>
  <c r="Z11"/>
  <c r="X11"/>
  <c r="W11"/>
  <c r="Y11" s="1"/>
  <c r="AA11" s="1"/>
  <c r="H11"/>
  <c r="G11"/>
  <c r="F11"/>
  <c r="E11"/>
  <c r="D11"/>
  <c r="C11"/>
  <c r="Z10"/>
  <c r="X10"/>
  <c r="Y10" s="1"/>
  <c r="AA10" s="1"/>
  <c r="W10"/>
  <c r="G10"/>
  <c r="C10"/>
  <c r="D10" s="1"/>
  <c r="AA9"/>
  <c r="Z9"/>
  <c r="Z40" s="1"/>
  <c r="Y9"/>
  <c r="X9"/>
  <c r="W9"/>
  <c r="G9"/>
  <c r="C9"/>
  <c r="D9" s="1"/>
  <c r="V40" i="9"/>
  <c r="U40"/>
  <c r="T40"/>
  <c r="S40"/>
  <c r="R40"/>
  <c r="Q40"/>
  <c r="P40"/>
  <c r="O40"/>
  <c r="N40"/>
  <c r="M40"/>
  <c r="L40"/>
  <c r="K40"/>
  <c r="J40"/>
  <c r="I40"/>
  <c r="Z38"/>
  <c r="Y38"/>
  <c r="AA38" s="1"/>
  <c r="X38"/>
  <c r="W38"/>
  <c r="G38"/>
  <c r="C38"/>
  <c r="D38" s="1"/>
  <c r="Z37"/>
  <c r="X37"/>
  <c r="W37"/>
  <c r="Y37" s="1"/>
  <c r="AA37" s="1"/>
  <c r="G37"/>
  <c r="C37"/>
  <c r="D37" s="1"/>
  <c r="Z36"/>
  <c r="X36"/>
  <c r="W36"/>
  <c r="Y36" s="1"/>
  <c r="AA36" s="1"/>
  <c r="G36"/>
  <c r="C36"/>
  <c r="D36" s="1"/>
  <c r="AA35"/>
  <c r="Z35"/>
  <c r="Y35"/>
  <c r="X35"/>
  <c r="W35"/>
  <c r="G35"/>
  <c r="D35"/>
  <c r="E35" s="1"/>
  <c r="C35"/>
  <c r="Z34"/>
  <c r="X34"/>
  <c r="W34"/>
  <c r="Y34" s="1"/>
  <c r="AA34" s="1"/>
  <c r="G34"/>
  <c r="C34"/>
  <c r="D34" s="1"/>
  <c r="Z33"/>
  <c r="X33"/>
  <c r="Y33" s="1"/>
  <c r="AA33" s="1"/>
  <c r="W33"/>
  <c r="G33"/>
  <c r="C33"/>
  <c r="D33" s="1"/>
  <c r="Z32"/>
  <c r="X32"/>
  <c r="W32"/>
  <c r="Y32" s="1"/>
  <c r="AA32" s="1"/>
  <c r="G32"/>
  <c r="C32"/>
  <c r="D32" s="1"/>
  <c r="Z31"/>
  <c r="X31"/>
  <c r="W31"/>
  <c r="Y31" s="1"/>
  <c r="AA31" s="1"/>
  <c r="G31"/>
  <c r="C31"/>
  <c r="D31" s="1"/>
  <c r="Z30"/>
  <c r="X30"/>
  <c r="W30"/>
  <c r="Y30" s="1"/>
  <c r="AA30" s="1"/>
  <c r="G30"/>
  <c r="D30"/>
  <c r="E30" s="1"/>
  <c r="C30"/>
  <c r="Z29"/>
  <c r="X29"/>
  <c r="W29"/>
  <c r="Y29" s="1"/>
  <c r="AA29" s="1"/>
  <c r="G29"/>
  <c r="F29"/>
  <c r="H29" s="1"/>
  <c r="D29"/>
  <c r="E29" s="1"/>
  <c r="C29"/>
  <c r="Z28"/>
  <c r="X28"/>
  <c r="W28"/>
  <c r="Y28" s="1"/>
  <c r="AA28" s="1"/>
  <c r="G28"/>
  <c r="C28"/>
  <c r="D28" s="1"/>
  <c r="Z27"/>
  <c r="X27"/>
  <c r="W27"/>
  <c r="Y27" s="1"/>
  <c r="AA27" s="1"/>
  <c r="G27"/>
  <c r="E27"/>
  <c r="D27"/>
  <c r="F27" s="1"/>
  <c r="H27" s="1"/>
  <c r="C27"/>
  <c r="Z26"/>
  <c r="X26"/>
  <c r="W26"/>
  <c r="Y26" s="1"/>
  <c r="AA26" s="1"/>
  <c r="G26"/>
  <c r="C26"/>
  <c r="D26" s="1"/>
  <c r="Z25"/>
  <c r="Y25"/>
  <c r="AA25" s="1"/>
  <c r="X25"/>
  <c r="W25"/>
  <c r="G25"/>
  <c r="C25"/>
  <c r="D25" s="1"/>
  <c r="AA24"/>
  <c r="Z24"/>
  <c r="Y24"/>
  <c r="X24"/>
  <c r="W24"/>
  <c r="G24"/>
  <c r="F24"/>
  <c r="H24" s="1"/>
  <c r="E24"/>
  <c r="D24"/>
  <c r="C24"/>
  <c r="Z23"/>
  <c r="X23"/>
  <c r="W23"/>
  <c r="Y23" s="1"/>
  <c r="AA23" s="1"/>
  <c r="G23"/>
  <c r="C23"/>
  <c r="D23" s="1"/>
  <c r="Z22"/>
  <c r="Y22"/>
  <c r="AA22" s="1"/>
  <c r="X22"/>
  <c r="W22"/>
  <c r="G22"/>
  <c r="C22"/>
  <c r="D22" s="1"/>
  <c r="Z21"/>
  <c r="X21"/>
  <c r="W21"/>
  <c r="Y21" s="1"/>
  <c r="AA21" s="1"/>
  <c r="G21"/>
  <c r="C21"/>
  <c r="D21" s="1"/>
  <c r="Z20"/>
  <c r="X20"/>
  <c r="W20"/>
  <c r="Y20" s="1"/>
  <c r="AA20" s="1"/>
  <c r="G20"/>
  <c r="D20"/>
  <c r="E20" s="1"/>
  <c r="C20"/>
  <c r="Z19"/>
  <c r="X19"/>
  <c r="W19"/>
  <c r="Y19" s="1"/>
  <c r="AA19" s="1"/>
  <c r="G19"/>
  <c r="D19"/>
  <c r="E19" s="1"/>
  <c r="C19"/>
  <c r="Z18"/>
  <c r="X18"/>
  <c r="W18"/>
  <c r="Y18" s="1"/>
  <c r="AA18" s="1"/>
  <c r="G18"/>
  <c r="D18"/>
  <c r="E18" s="1"/>
  <c r="C18"/>
  <c r="Z17"/>
  <c r="X17"/>
  <c r="W17"/>
  <c r="Y17" s="1"/>
  <c r="AA17" s="1"/>
  <c r="G17"/>
  <c r="C17"/>
  <c r="D17" s="1"/>
  <c r="Z16"/>
  <c r="X16"/>
  <c r="W16"/>
  <c r="Y16" s="1"/>
  <c r="AA16" s="1"/>
  <c r="G16"/>
  <c r="C16"/>
  <c r="D16" s="1"/>
  <c r="Z15"/>
  <c r="X15"/>
  <c r="W15"/>
  <c r="Y15" s="1"/>
  <c r="AA15" s="1"/>
  <c r="G15"/>
  <c r="D15"/>
  <c r="E15" s="1"/>
  <c r="C15"/>
  <c r="Z14"/>
  <c r="Y14"/>
  <c r="AA14" s="1"/>
  <c r="X14"/>
  <c r="W14"/>
  <c r="G14"/>
  <c r="D14"/>
  <c r="E14" s="1"/>
  <c r="C14"/>
  <c r="Z13"/>
  <c r="Y13"/>
  <c r="AA13" s="1"/>
  <c r="X13"/>
  <c r="W13"/>
  <c r="G13"/>
  <c r="F13"/>
  <c r="H13" s="1"/>
  <c r="D13"/>
  <c r="E13" s="1"/>
  <c r="C13"/>
  <c r="Z12"/>
  <c r="X12"/>
  <c r="W12"/>
  <c r="Y12" s="1"/>
  <c r="AA12" s="1"/>
  <c r="G12"/>
  <c r="C12"/>
  <c r="D12" s="1"/>
  <c r="Z11"/>
  <c r="X11"/>
  <c r="W11"/>
  <c r="Y11" s="1"/>
  <c r="AA11" s="1"/>
  <c r="G11"/>
  <c r="E11"/>
  <c r="D11"/>
  <c r="F11" s="1"/>
  <c r="H11" s="1"/>
  <c r="C11"/>
  <c r="Z10"/>
  <c r="X10"/>
  <c r="W10"/>
  <c r="Y10" s="1"/>
  <c r="AA10" s="1"/>
  <c r="G10"/>
  <c r="E10"/>
  <c r="D10"/>
  <c r="F10" s="1"/>
  <c r="H10" s="1"/>
  <c r="C10"/>
  <c r="Z9"/>
  <c r="Z40" s="1"/>
  <c r="Y9"/>
  <c r="X9"/>
  <c r="X40" s="1"/>
  <c r="W9"/>
  <c r="G9"/>
  <c r="C9"/>
  <c r="D9" s="1"/>
  <c r="V40" i="8"/>
  <c r="U40"/>
  <c r="T40"/>
  <c r="S40"/>
  <c r="R40"/>
  <c r="Q40"/>
  <c r="P40"/>
  <c r="X40" s="1"/>
  <c r="O40"/>
  <c r="N40"/>
  <c r="M40"/>
  <c r="L40"/>
  <c r="K40"/>
  <c r="J40"/>
  <c r="I40"/>
  <c r="W40" s="1"/>
  <c r="Z39"/>
  <c r="X39"/>
  <c r="W39"/>
  <c r="Y39" s="1"/>
  <c r="AA39" s="1"/>
  <c r="H39"/>
  <c r="G39"/>
  <c r="F39"/>
  <c r="E39"/>
  <c r="D39"/>
  <c r="C39"/>
  <c r="Z38"/>
  <c r="Y38"/>
  <c r="AA38" s="1"/>
  <c r="X38"/>
  <c r="W38"/>
  <c r="G38"/>
  <c r="D38"/>
  <c r="E38" s="1"/>
  <c r="C38"/>
  <c r="Z37"/>
  <c r="Y37"/>
  <c r="AA37" s="1"/>
  <c r="X37"/>
  <c r="W37"/>
  <c r="G37"/>
  <c r="F37"/>
  <c r="H37" s="1"/>
  <c r="E37"/>
  <c r="D37"/>
  <c r="C37"/>
  <c r="Z36"/>
  <c r="X36"/>
  <c r="W36"/>
  <c r="Y36" s="1"/>
  <c r="AA36" s="1"/>
  <c r="G36"/>
  <c r="F36"/>
  <c r="H36" s="1"/>
  <c r="E36"/>
  <c r="D36"/>
  <c r="C36"/>
  <c r="Z35"/>
  <c r="AA35" s="1"/>
  <c r="Y35"/>
  <c r="X35"/>
  <c r="W35"/>
  <c r="G35"/>
  <c r="E35"/>
  <c r="D35"/>
  <c r="F35" s="1"/>
  <c r="H35" s="1"/>
  <c r="C35"/>
  <c r="AA34"/>
  <c r="Z34"/>
  <c r="Y34"/>
  <c r="X34"/>
  <c r="W34"/>
  <c r="G34"/>
  <c r="C34"/>
  <c r="D34" s="1"/>
  <c r="Z33"/>
  <c r="Y33"/>
  <c r="AA33" s="1"/>
  <c r="X33"/>
  <c r="W33"/>
  <c r="G33"/>
  <c r="C33"/>
  <c r="D33" s="1"/>
  <c r="Z32"/>
  <c r="X32"/>
  <c r="W32"/>
  <c r="Y32" s="1"/>
  <c r="AA32" s="1"/>
  <c r="G32"/>
  <c r="C32"/>
  <c r="D32" s="1"/>
  <c r="Z31"/>
  <c r="X31"/>
  <c r="W31"/>
  <c r="Y31" s="1"/>
  <c r="AA31" s="1"/>
  <c r="G31"/>
  <c r="C31"/>
  <c r="D31" s="1"/>
  <c r="Z30"/>
  <c r="Y30"/>
  <c r="AA30" s="1"/>
  <c r="X30"/>
  <c r="W30"/>
  <c r="G30"/>
  <c r="C30"/>
  <c r="D30" s="1"/>
  <c r="Z29"/>
  <c r="X29"/>
  <c r="W29"/>
  <c r="Y29" s="1"/>
  <c r="AA29" s="1"/>
  <c r="G29"/>
  <c r="C29"/>
  <c r="D29" s="1"/>
  <c r="Z28"/>
  <c r="X28"/>
  <c r="W28"/>
  <c r="Y28" s="1"/>
  <c r="AA28" s="1"/>
  <c r="G28"/>
  <c r="D28"/>
  <c r="E28" s="1"/>
  <c r="C28"/>
  <c r="Z27"/>
  <c r="X27"/>
  <c r="W27"/>
  <c r="Y27" s="1"/>
  <c r="AA27" s="1"/>
  <c r="G27"/>
  <c r="C27"/>
  <c r="D27" s="1"/>
  <c r="Z26"/>
  <c r="X26"/>
  <c r="W26"/>
  <c r="Y26" s="1"/>
  <c r="AA26" s="1"/>
  <c r="G26"/>
  <c r="D26"/>
  <c r="E26" s="1"/>
  <c r="C26"/>
  <c r="Z25"/>
  <c r="X25"/>
  <c r="W25"/>
  <c r="Y25" s="1"/>
  <c r="AA25" s="1"/>
  <c r="G25"/>
  <c r="C25"/>
  <c r="D25" s="1"/>
  <c r="Z24"/>
  <c r="X24"/>
  <c r="Y24" s="1"/>
  <c r="AA24" s="1"/>
  <c r="W24"/>
  <c r="G24"/>
  <c r="F24"/>
  <c r="H24" s="1"/>
  <c r="E24"/>
  <c r="D24"/>
  <c r="C24"/>
  <c r="Z23"/>
  <c r="X23"/>
  <c r="W23"/>
  <c r="Y23" s="1"/>
  <c r="AA23" s="1"/>
  <c r="H23"/>
  <c r="G23"/>
  <c r="F23"/>
  <c r="E23"/>
  <c r="D23"/>
  <c r="C23"/>
  <c r="Z22"/>
  <c r="Y22"/>
  <c r="AA22" s="1"/>
  <c r="X22"/>
  <c r="W22"/>
  <c r="G22"/>
  <c r="D22"/>
  <c r="E22" s="1"/>
  <c r="C22"/>
  <c r="Z21"/>
  <c r="Y21"/>
  <c r="AA21" s="1"/>
  <c r="X21"/>
  <c r="W21"/>
  <c r="G21"/>
  <c r="C21"/>
  <c r="D21" s="1"/>
  <c r="Z20"/>
  <c r="X20"/>
  <c r="W20"/>
  <c r="Y20" s="1"/>
  <c r="AA20" s="1"/>
  <c r="G20"/>
  <c r="F20"/>
  <c r="H20" s="1"/>
  <c r="D20"/>
  <c r="E20" s="1"/>
  <c r="C20"/>
  <c r="Z19"/>
  <c r="X19"/>
  <c r="Y19" s="1"/>
  <c r="AA19" s="1"/>
  <c r="W19"/>
  <c r="G19"/>
  <c r="E19"/>
  <c r="D19"/>
  <c r="F19" s="1"/>
  <c r="H19" s="1"/>
  <c r="C19"/>
  <c r="Z18"/>
  <c r="X18"/>
  <c r="Y18" s="1"/>
  <c r="AA18" s="1"/>
  <c r="W18"/>
  <c r="H18"/>
  <c r="G18"/>
  <c r="F18"/>
  <c r="E18"/>
  <c r="D18"/>
  <c r="C18"/>
  <c r="Z17"/>
  <c r="Y17"/>
  <c r="AA17" s="1"/>
  <c r="X17"/>
  <c r="W17"/>
  <c r="G17"/>
  <c r="C17"/>
  <c r="D17" s="1"/>
  <c r="AA16"/>
  <c r="Z16"/>
  <c r="Y16"/>
  <c r="X16"/>
  <c r="W16"/>
  <c r="G16"/>
  <c r="C16"/>
  <c r="D16" s="1"/>
  <c r="Z15"/>
  <c r="X15"/>
  <c r="W15"/>
  <c r="Y15" s="1"/>
  <c r="AA15" s="1"/>
  <c r="G15"/>
  <c r="C15"/>
  <c r="D15" s="1"/>
  <c r="Z14"/>
  <c r="Y14"/>
  <c r="AA14" s="1"/>
  <c r="X14"/>
  <c r="W14"/>
  <c r="G14"/>
  <c r="D14"/>
  <c r="E14" s="1"/>
  <c r="C14"/>
  <c r="Z13"/>
  <c r="X13"/>
  <c r="W13"/>
  <c r="Y13" s="1"/>
  <c r="AA13" s="1"/>
  <c r="G13"/>
  <c r="C13"/>
  <c r="D13" s="1"/>
  <c r="Z12"/>
  <c r="X12"/>
  <c r="W12"/>
  <c r="Y12" s="1"/>
  <c r="AA12" s="1"/>
  <c r="G12"/>
  <c r="D12"/>
  <c r="E12" s="1"/>
  <c r="C12"/>
  <c r="Z11"/>
  <c r="X11"/>
  <c r="W11"/>
  <c r="Y11" s="1"/>
  <c r="AA11" s="1"/>
  <c r="G11"/>
  <c r="E11"/>
  <c r="D11"/>
  <c r="F11" s="1"/>
  <c r="H11" s="1"/>
  <c r="C11"/>
  <c r="Z10"/>
  <c r="X10"/>
  <c r="W10"/>
  <c r="Y10" s="1"/>
  <c r="AA10" s="1"/>
  <c r="G10"/>
  <c r="D10"/>
  <c r="E10" s="1"/>
  <c r="C10"/>
  <c r="Z9"/>
  <c r="Z40" s="1"/>
  <c r="Y9"/>
  <c r="AA9" s="1"/>
  <c r="X9"/>
  <c r="W9"/>
  <c r="G9"/>
  <c r="C9"/>
  <c r="D9" s="1"/>
  <c r="V40" i="7"/>
  <c r="U40"/>
  <c r="T40"/>
  <c r="S40"/>
  <c r="R40"/>
  <c r="Q40"/>
  <c r="P40"/>
  <c r="X40" s="1"/>
  <c r="O40"/>
  <c r="N40"/>
  <c r="M40"/>
  <c r="L40"/>
  <c r="K40"/>
  <c r="J40"/>
  <c r="I40"/>
  <c r="W40" s="1"/>
  <c r="Z39"/>
  <c r="Y39"/>
  <c r="AA39" s="1"/>
  <c r="X39"/>
  <c r="W39"/>
  <c r="G39"/>
  <c r="C39"/>
  <c r="D39" s="1"/>
  <c r="Z38"/>
  <c r="X38"/>
  <c r="W38"/>
  <c r="Y38" s="1"/>
  <c r="AA38" s="1"/>
  <c r="G38"/>
  <c r="C38"/>
  <c r="D38" s="1"/>
  <c r="Z37"/>
  <c r="X37"/>
  <c r="W37"/>
  <c r="Y37" s="1"/>
  <c r="AA37" s="1"/>
  <c r="G37"/>
  <c r="E37"/>
  <c r="D37"/>
  <c r="F37" s="1"/>
  <c r="H37" s="1"/>
  <c r="C37"/>
  <c r="Z36"/>
  <c r="X36"/>
  <c r="W36"/>
  <c r="Y36" s="1"/>
  <c r="AA36" s="1"/>
  <c r="G36"/>
  <c r="D36"/>
  <c r="E36" s="1"/>
  <c r="C36"/>
  <c r="Z35"/>
  <c r="Y35"/>
  <c r="AA35" s="1"/>
  <c r="X35"/>
  <c r="W35"/>
  <c r="G35"/>
  <c r="C35"/>
  <c r="D35" s="1"/>
  <c r="Z34"/>
  <c r="X34"/>
  <c r="W34"/>
  <c r="Y34" s="1"/>
  <c r="AA34" s="1"/>
  <c r="G34"/>
  <c r="C34"/>
  <c r="D34" s="1"/>
  <c r="Z33"/>
  <c r="X33"/>
  <c r="W33"/>
  <c r="Y33" s="1"/>
  <c r="AA33" s="1"/>
  <c r="G33"/>
  <c r="C33"/>
  <c r="D33" s="1"/>
  <c r="Z32"/>
  <c r="Y32"/>
  <c r="AA32" s="1"/>
  <c r="X32"/>
  <c r="W32"/>
  <c r="G32"/>
  <c r="D32"/>
  <c r="E32" s="1"/>
  <c r="C32"/>
  <c r="Z31"/>
  <c r="X31"/>
  <c r="W31"/>
  <c r="Y31" s="1"/>
  <c r="AA31" s="1"/>
  <c r="G31"/>
  <c r="F31"/>
  <c r="H31" s="1"/>
  <c r="D31"/>
  <c r="E31" s="1"/>
  <c r="C31"/>
  <c r="Z30"/>
  <c r="X30"/>
  <c r="W30"/>
  <c r="Y30" s="1"/>
  <c r="AA30" s="1"/>
  <c r="G30"/>
  <c r="D30"/>
  <c r="E30" s="1"/>
  <c r="C30"/>
  <c r="Z29"/>
  <c r="X29"/>
  <c r="W29"/>
  <c r="Y29" s="1"/>
  <c r="AA29" s="1"/>
  <c r="G29"/>
  <c r="E29"/>
  <c r="D29"/>
  <c r="F29" s="1"/>
  <c r="H29" s="1"/>
  <c r="C29"/>
  <c r="Z28"/>
  <c r="X28"/>
  <c r="Y28" s="1"/>
  <c r="AA28" s="1"/>
  <c r="W28"/>
  <c r="G28"/>
  <c r="D28"/>
  <c r="E28" s="1"/>
  <c r="C28"/>
  <c r="Z27"/>
  <c r="Y27"/>
  <c r="AA27" s="1"/>
  <c r="X27"/>
  <c r="W27"/>
  <c r="G27"/>
  <c r="C27"/>
  <c r="D27" s="1"/>
  <c r="Z26"/>
  <c r="X26"/>
  <c r="Y26" s="1"/>
  <c r="AA26" s="1"/>
  <c r="W26"/>
  <c r="G26"/>
  <c r="C26"/>
  <c r="D26" s="1"/>
  <c r="Z25"/>
  <c r="X25"/>
  <c r="W25"/>
  <c r="Y25" s="1"/>
  <c r="AA25" s="1"/>
  <c r="H25"/>
  <c r="G25"/>
  <c r="F25"/>
  <c r="E25"/>
  <c r="D25"/>
  <c r="C25"/>
  <c r="Z24"/>
  <c r="X24"/>
  <c r="W24"/>
  <c r="Y24" s="1"/>
  <c r="AA24" s="1"/>
  <c r="G24"/>
  <c r="D24"/>
  <c r="E24" s="1"/>
  <c r="C24"/>
  <c r="Z23"/>
  <c r="Y23"/>
  <c r="AA23" s="1"/>
  <c r="X23"/>
  <c r="W23"/>
  <c r="G23"/>
  <c r="D23"/>
  <c r="E23" s="1"/>
  <c r="C23"/>
  <c r="Z22"/>
  <c r="X22"/>
  <c r="W22"/>
  <c r="Y22" s="1"/>
  <c r="AA22" s="1"/>
  <c r="G22"/>
  <c r="C22"/>
  <c r="D22" s="1"/>
  <c r="Z21"/>
  <c r="X21"/>
  <c r="W21"/>
  <c r="Y21" s="1"/>
  <c r="AA21" s="1"/>
  <c r="H21"/>
  <c r="G21"/>
  <c r="F21"/>
  <c r="E21"/>
  <c r="D21"/>
  <c r="C21"/>
  <c r="Z20"/>
  <c r="X20"/>
  <c r="W20"/>
  <c r="Y20" s="1"/>
  <c r="AA20" s="1"/>
  <c r="G20"/>
  <c r="E20"/>
  <c r="D20"/>
  <c r="F20" s="1"/>
  <c r="H20" s="1"/>
  <c r="C20"/>
  <c r="Z19"/>
  <c r="Y19"/>
  <c r="AA19" s="1"/>
  <c r="X19"/>
  <c r="W19"/>
  <c r="G19"/>
  <c r="C19"/>
  <c r="D19" s="1"/>
  <c r="Z18"/>
  <c r="Y18"/>
  <c r="AA18" s="1"/>
  <c r="X18"/>
  <c r="W18"/>
  <c r="G18"/>
  <c r="C18"/>
  <c r="D18" s="1"/>
  <c r="Z17"/>
  <c r="X17"/>
  <c r="W17"/>
  <c r="Y17" s="1"/>
  <c r="AA17" s="1"/>
  <c r="G17"/>
  <c r="C17"/>
  <c r="D17" s="1"/>
  <c r="Z16"/>
  <c r="Y16"/>
  <c r="AA16" s="1"/>
  <c r="X16"/>
  <c r="W16"/>
  <c r="G16"/>
  <c r="D16"/>
  <c r="E16" s="1"/>
  <c r="C16"/>
  <c r="Z15"/>
  <c r="X15"/>
  <c r="W15"/>
  <c r="Y15" s="1"/>
  <c r="AA15" s="1"/>
  <c r="G15"/>
  <c r="F15"/>
  <c r="H15" s="1"/>
  <c r="D15"/>
  <c r="E15" s="1"/>
  <c r="C15"/>
  <c r="Z14"/>
  <c r="X14"/>
  <c r="W14"/>
  <c r="Y14" s="1"/>
  <c r="AA14" s="1"/>
  <c r="G14"/>
  <c r="D14"/>
  <c r="E14" s="1"/>
  <c r="C14"/>
  <c r="Z13"/>
  <c r="X13"/>
  <c r="W13"/>
  <c r="Y13" s="1"/>
  <c r="AA13" s="1"/>
  <c r="G13"/>
  <c r="E13"/>
  <c r="D13"/>
  <c r="F13" s="1"/>
  <c r="H13" s="1"/>
  <c r="C13"/>
  <c r="Z12"/>
  <c r="X12"/>
  <c r="Y12" s="1"/>
  <c r="AA12" s="1"/>
  <c r="W12"/>
  <c r="G12"/>
  <c r="C12"/>
  <c r="D12" s="1"/>
  <c r="Z11"/>
  <c r="Y11"/>
  <c r="AA11" s="1"/>
  <c r="X11"/>
  <c r="W11"/>
  <c r="G11"/>
  <c r="C11"/>
  <c r="D11" s="1"/>
  <c r="AA10"/>
  <c r="Z10"/>
  <c r="Y10"/>
  <c r="X10"/>
  <c r="W10"/>
  <c r="G10"/>
  <c r="C10"/>
  <c r="D10" s="1"/>
  <c r="Z9"/>
  <c r="X9"/>
  <c r="W9"/>
  <c r="Y9" s="1"/>
  <c r="AA9" s="1"/>
  <c r="H9"/>
  <c r="G9"/>
  <c r="F9"/>
  <c r="D9"/>
  <c r="E9" s="1"/>
  <c r="C9"/>
  <c r="V40" i="6"/>
  <c r="U40"/>
  <c r="T40"/>
  <c r="S40"/>
  <c r="R40"/>
  <c r="Q40"/>
  <c r="P40"/>
  <c r="O40"/>
  <c r="N40"/>
  <c r="M40"/>
  <c r="L40"/>
  <c r="K40"/>
  <c r="J40"/>
  <c r="I40"/>
  <c r="Z38"/>
  <c r="Y38"/>
  <c r="AA38" s="1"/>
  <c r="X38"/>
  <c r="W38"/>
  <c r="G38"/>
  <c r="F38"/>
  <c r="H38" s="1"/>
  <c r="D38"/>
  <c r="E38" s="1"/>
  <c r="C38"/>
  <c r="Z37"/>
  <c r="X37"/>
  <c r="W37"/>
  <c r="Y37" s="1"/>
  <c r="AA37" s="1"/>
  <c r="G37"/>
  <c r="F37"/>
  <c r="H37" s="1"/>
  <c r="D37"/>
  <c r="E37" s="1"/>
  <c r="C37"/>
  <c r="Z36"/>
  <c r="X36"/>
  <c r="W36"/>
  <c r="Y36" s="1"/>
  <c r="AA36" s="1"/>
  <c r="G36"/>
  <c r="E36"/>
  <c r="D36"/>
  <c r="F36" s="1"/>
  <c r="H36" s="1"/>
  <c r="C36"/>
  <c r="Z35"/>
  <c r="X35"/>
  <c r="Y35" s="1"/>
  <c r="AA35" s="1"/>
  <c r="W35"/>
  <c r="H35"/>
  <c r="G35"/>
  <c r="F35"/>
  <c r="E35"/>
  <c r="D35"/>
  <c r="C35"/>
  <c r="Z34"/>
  <c r="Y34"/>
  <c r="AA34" s="1"/>
  <c r="X34"/>
  <c r="W34"/>
  <c r="G34"/>
  <c r="C34"/>
  <c r="D34" s="1"/>
  <c r="AA33"/>
  <c r="Z33"/>
  <c r="Y33"/>
  <c r="X33"/>
  <c r="W33"/>
  <c r="G33"/>
  <c r="F33"/>
  <c r="H33" s="1"/>
  <c r="E33"/>
  <c r="D33"/>
  <c r="C33"/>
  <c r="Z32"/>
  <c r="X32"/>
  <c r="W32"/>
  <c r="Y32" s="1"/>
  <c r="AA32" s="1"/>
  <c r="G32"/>
  <c r="C32"/>
  <c r="D32" s="1"/>
  <c r="Z31"/>
  <c r="X31"/>
  <c r="Y31" s="1"/>
  <c r="AA31" s="1"/>
  <c r="W31"/>
  <c r="G31"/>
  <c r="D31"/>
  <c r="E31" s="1"/>
  <c r="C31"/>
  <c r="Z30"/>
  <c r="X30"/>
  <c r="W30"/>
  <c r="Y30" s="1"/>
  <c r="AA30" s="1"/>
  <c r="G30"/>
  <c r="C30"/>
  <c r="D30" s="1"/>
  <c r="Z29"/>
  <c r="X29"/>
  <c r="W29"/>
  <c r="Y29" s="1"/>
  <c r="AA29" s="1"/>
  <c r="G29"/>
  <c r="D29"/>
  <c r="E29" s="1"/>
  <c r="C29"/>
  <c r="Z28"/>
  <c r="X28"/>
  <c r="W28"/>
  <c r="Y28" s="1"/>
  <c r="AA28" s="1"/>
  <c r="G28"/>
  <c r="E28"/>
  <c r="D28"/>
  <c r="F28" s="1"/>
  <c r="H28" s="1"/>
  <c r="C28"/>
  <c r="Z27"/>
  <c r="X27"/>
  <c r="W27"/>
  <c r="Y27" s="1"/>
  <c r="AA27" s="1"/>
  <c r="G27"/>
  <c r="C27"/>
  <c r="D27" s="1"/>
  <c r="Z26"/>
  <c r="Y26"/>
  <c r="AA26" s="1"/>
  <c r="X26"/>
  <c r="W26"/>
  <c r="G26"/>
  <c r="C26"/>
  <c r="D26" s="1"/>
  <c r="Z25"/>
  <c r="X25"/>
  <c r="W25"/>
  <c r="Y25" s="1"/>
  <c r="AA25" s="1"/>
  <c r="G25"/>
  <c r="C25"/>
  <c r="D25" s="1"/>
  <c r="Z24"/>
  <c r="X24"/>
  <c r="W24"/>
  <c r="Y24" s="1"/>
  <c r="AA24" s="1"/>
  <c r="G24"/>
  <c r="C24"/>
  <c r="D24" s="1"/>
  <c r="Z23"/>
  <c r="Y23"/>
  <c r="AA23" s="1"/>
  <c r="X23"/>
  <c r="W23"/>
  <c r="G23"/>
  <c r="D23"/>
  <c r="E23" s="1"/>
  <c r="C23"/>
  <c r="Z22"/>
  <c r="X22"/>
  <c r="W22"/>
  <c r="Y22" s="1"/>
  <c r="AA22" s="1"/>
  <c r="G22"/>
  <c r="C22"/>
  <c r="D22" s="1"/>
  <c r="Z21"/>
  <c r="X21"/>
  <c r="W21"/>
  <c r="Y21" s="1"/>
  <c r="AA21" s="1"/>
  <c r="G21"/>
  <c r="D21"/>
  <c r="E21" s="1"/>
  <c r="C21"/>
  <c r="Z20"/>
  <c r="X20"/>
  <c r="W20"/>
  <c r="Y20" s="1"/>
  <c r="AA20" s="1"/>
  <c r="G20"/>
  <c r="E20"/>
  <c r="D20"/>
  <c r="F20" s="1"/>
  <c r="H20" s="1"/>
  <c r="C20"/>
  <c r="Z19"/>
  <c r="X19"/>
  <c r="Y19" s="1"/>
  <c r="AA19" s="1"/>
  <c r="W19"/>
  <c r="G19"/>
  <c r="C19"/>
  <c r="D19" s="1"/>
  <c r="Z18"/>
  <c r="Y18"/>
  <c r="AA18" s="1"/>
  <c r="X18"/>
  <c r="W18"/>
  <c r="G18"/>
  <c r="C18"/>
  <c r="D18" s="1"/>
  <c r="Z17"/>
  <c r="X17"/>
  <c r="W17"/>
  <c r="Y17" s="1"/>
  <c r="AA17" s="1"/>
  <c r="G17"/>
  <c r="F17"/>
  <c r="H17" s="1"/>
  <c r="E17"/>
  <c r="D17"/>
  <c r="C17"/>
  <c r="Z16"/>
  <c r="X16"/>
  <c r="W16"/>
  <c r="Y16" s="1"/>
  <c r="AA16" s="1"/>
  <c r="G16"/>
  <c r="D16"/>
  <c r="E16" s="1"/>
  <c r="C16"/>
  <c r="Z15"/>
  <c r="Y15"/>
  <c r="AA15" s="1"/>
  <c r="X15"/>
  <c r="W15"/>
  <c r="G15"/>
  <c r="D15"/>
  <c r="E15" s="1"/>
  <c r="C15"/>
  <c r="Z14"/>
  <c r="X14"/>
  <c r="W14"/>
  <c r="Y14" s="1"/>
  <c r="AA14" s="1"/>
  <c r="G14"/>
  <c r="C14"/>
  <c r="D14" s="1"/>
  <c r="Z13"/>
  <c r="X13"/>
  <c r="W13"/>
  <c r="Y13" s="1"/>
  <c r="AA13" s="1"/>
  <c r="G13"/>
  <c r="E13"/>
  <c r="D13"/>
  <c r="F13" s="1"/>
  <c r="H13" s="1"/>
  <c r="C13"/>
  <c r="Z12"/>
  <c r="X12"/>
  <c r="W12"/>
  <c r="Y12" s="1"/>
  <c r="AA12" s="1"/>
  <c r="G12"/>
  <c r="E12"/>
  <c r="D12"/>
  <c r="F12" s="1"/>
  <c r="H12" s="1"/>
  <c r="C12"/>
  <c r="Z11"/>
  <c r="X11"/>
  <c r="Y11" s="1"/>
  <c r="AA11" s="1"/>
  <c r="W11"/>
  <c r="G11"/>
  <c r="D11"/>
  <c r="E11" s="1"/>
  <c r="C11"/>
  <c r="Z10"/>
  <c r="Y10"/>
  <c r="AA10" s="1"/>
  <c r="X10"/>
  <c r="W10"/>
  <c r="G10"/>
  <c r="C10"/>
  <c r="D10" s="1"/>
  <c r="Z9"/>
  <c r="Z40" s="1"/>
  <c r="X9"/>
  <c r="X40" s="1"/>
  <c r="W9"/>
  <c r="W40" s="1"/>
  <c r="G9"/>
  <c r="C9"/>
  <c r="D9" s="1"/>
  <c r="V40" i="5"/>
  <c r="U40"/>
  <c r="T40"/>
  <c r="S40"/>
  <c r="R40"/>
  <c r="Q40"/>
  <c r="P40"/>
  <c r="X40" s="1"/>
  <c r="O40"/>
  <c r="N40"/>
  <c r="M40"/>
  <c r="L40"/>
  <c r="K40"/>
  <c r="J40"/>
  <c r="I40"/>
  <c r="W40" s="1"/>
  <c r="Y40" s="1"/>
  <c r="Z39"/>
  <c r="X39"/>
  <c r="W39"/>
  <c r="Y39" s="1"/>
  <c r="AA39" s="1"/>
  <c r="G39"/>
  <c r="C39"/>
  <c r="D39" s="1"/>
  <c r="Z38"/>
  <c r="X38"/>
  <c r="W38"/>
  <c r="Y38" s="1"/>
  <c r="AA38" s="1"/>
  <c r="G38"/>
  <c r="C38"/>
  <c r="D38" s="1"/>
  <c r="Z37"/>
  <c r="X37"/>
  <c r="W37"/>
  <c r="Y37" s="1"/>
  <c r="AA37" s="1"/>
  <c r="G37"/>
  <c r="C37"/>
  <c r="D37" s="1"/>
  <c r="Z36"/>
  <c r="Y36"/>
  <c r="AA36" s="1"/>
  <c r="X36"/>
  <c r="W36"/>
  <c r="G36"/>
  <c r="C36"/>
  <c r="D36" s="1"/>
  <c r="Z35"/>
  <c r="X35"/>
  <c r="W35"/>
  <c r="Y35" s="1"/>
  <c r="AA35" s="1"/>
  <c r="G35"/>
  <c r="F35"/>
  <c r="H35" s="1"/>
  <c r="D35"/>
  <c r="E35" s="1"/>
  <c r="C35"/>
  <c r="Z34"/>
  <c r="X34"/>
  <c r="W34"/>
  <c r="Y34" s="1"/>
  <c r="AA34" s="1"/>
  <c r="G34"/>
  <c r="D34"/>
  <c r="E34" s="1"/>
  <c r="C34"/>
  <c r="Z33"/>
  <c r="X33"/>
  <c r="W33"/>
  <c r="Y33" s="1"/>
  <c r="AA33" s="1"/>
  <c r="G33"/>
  <c r="D33"/>
  <c r="E33" s="1"/>
  <c r="C33"/>
  <c r="Z32"/>
  <c r="X32"/>
  <c r="W32"/>
  <c r="Y32" s="1"/>
  <c r="AA32" s="1"/>
  <c r="G32"/>
  <c r="E32"/>
  <c r="D32"/>
  <c r="F32" s="1"/>
  <c r="H32" s="1"/>
  <c r="C32"/>
  <c r="Z31"/>
  <c r="X31"/>
  <c r="W31"/>
  <c r="Y31" s="1"/>
  <c r="AA31" s="1"/>
  <c r="G31"/>
  <c r="C31"/>
  <c r="D31" s="1"/>
  <c r="AA30"/>
  <c r="Z30"/>
  <c r="Y30"/>
  <c r="X30"/>
  <c r="W30"/>
  <c r="G30"/>
  <c r="E30"/>
  <c r="D30"/>
  <c r="F30" s="1"/>
  <c r="H30" s="1"/>
  <c r="C30"/>
  <c r="Z29"/>
  <c r="X29"/>
  <c r="W29"/>
  <c r="Y29" s="1"/>
  <c r="AA29" s="1"/>
  <c r="G29"/>
  <c r="C29"/>
  <c r="D29" s="1"/>
  <c r="Z28"/>
  <c r="Y28"/>
  <c r="AA28" s="1"/>
  <c r="X28"/>
  <c r="W28"/>
  <c r="G28"/>
  <c r="C28"/>
  <c r="D28" s="1"/>
  <c r="Z27"/>
  <c r="X27"/>
  <c r="W27"/>
  <c r="Y27" s="1"/>
  <c r="AA27" s="1"/>
  <c r="G27"/>
  <c r="C27"/>
  <c r="D27" s="1"/>
  <c r="Z26"/>
  <c r="X26"/>
  <c r="W26"/>
  <c r="Y26" s="1"/>
  <c r="AA26" s="1"/>
  <c r="G26"/>
  <c r="C26"/>
  <c r="D26" s="1"/>
  <c r="Z25"/>
  <c r="Y25"/>
  <c r="AA25" s="1"/>
  <c r="X25"/>
  <c r="W25"/>
  <c r="G25"/>
  <c r="D25"/>
  <c r="E25" s="1"/>
  <c r="C25"/>
  <c r="Z24"/>
  <c r="X24"/>
  <c r="W24"/>
  <c r="Y24" s="1"/>
  <c r="AA24" s="1"/>
  <c r="G24"/>
  <c r="C24"/>
  <c r="D24" s="1"/>
  <c r="Z23"/>
  <c r="X23"/>
  <c r="W23"/>
  <c r="Y23" s="1"/>
  <c r="AA23" s="1"/>
  <c r="G23"/>
  <c r="D23"/>
  <c r="E23" s="1"/>
  <c r="C23"/>
  <c r="Z22"/>
  <c r="X22"/>
  <c r="W22"/>
  <c r="Y22" s="1"/>
  <c r="AA22" s="1"/>
  <c r="G22"/>
  <c r="E22"/>
  <c r="D22"/>
  <c r="F22" s="1"/>
  <c r="H22" s="1"/>
  <c r="C22"/>
  <c r="Z21"/>
  <c r="X21"/>
  <c r="W21"/>
  <c r="Y21" s="1"/>
  <c r="AA21" s="1"/>
  <c r="G21"/>
  <c r="D21"/>
  <c r="E21" s="1"/>
  <c r="C21"/>
  <c r="Z20"/>
  <c r="Y20"/>
  <c r="AA20" s="1"/>
  <c r="X20"/>
  <c r="W20"/>
  <c r="G20"/>
  <c r="C20"/>
  <c r="D20" s="1"/>
  <c r="Z19"/>
  <c r="X19"/>
  <c r="W19"/>
  <c r="Y19" s="1"/>
  <c r="AA19" s="1"/>
  <c r="G19"/>
  <c r="C19"/>
  <c r="D19" s="1"/>
  <c r="Z18"/>
  <c r="X18"/>
  <c r="W18"/>
  <c r="Y18" s="1"/>
  <c r="AA18" s="1"/>
  <c r="G18"/>
  <c r="C18"/>
  <c r="D18" s="1"/>
  <c r="Z17"/>
  <c r="Y17"/>
  <c r="AA17" s="1"/>
  <c r="X17"/>
  <c r="W17"/>
  <c r="G17"/>
  <c r="D17"/>
  <c r="E17" s="1"/>
  <c r="C17"/>
  <c r="Z16"/>
  <c r="X16"/>
  <c r="W16"/>
  <c r="Y16" s="1"/>
  <c r="AA16" s="1"/>
  <c r="G16"/>
  <c r="F16"/>
  <c r="H16" s="1"/>
  <c r="D16"/>
  <c r="E16" s="1"/>
  <c r="C16"/>
  <c r="Z15"/>
  <c r="X15"/>
  <c r="W15"/>
  <c r="Y15" s="1"/>
  <c r="AA15" s="1"/>
  <c r="G15"/>
  <c r="D15"/>
  <c r="E15" s="1"/>
  <c r="C15"/>
  <c r="Z14"/>
  <c r="X14"/>
  <c r="Y14" s="1"/>
  <c r="AA14" s="1"/>
  <c r="W14"/>
  <c r="G14"/>
  <c r="E14"/>
  <c r="D14"/>
  <c r="F14" s="1"/>
  <c r="H14" s="1"/>
  <c r="C14"/>
  <c r="Z13"/>
  <c r="X13"/>
  <c r="W13"/>
  <c r="Y13" s="1"/>
  <c r="AA13" s="1"/>
  <c r="G13"/>
  <c r="C13"/>
  <c r="D13" s="1"/>
  <c r="Z12"/>
  <c r="Y12"/>
  <c r="AA12" s="1"/>
  <c r="X12"/>
  <c r="W12"/>
  <c r="G12"/>
  <c r="C12"/>
  <c r="D12" s="1"/>
  <c r="Z11"/>
  <c r="X11"/>
  <c r="W11"/>
  <c r="Y11" s="1"/>
  <c r="AA11" s="1"/>
  <c r="G11"/>
  <c r="C11"/>
  <c r="D11" s="1"/>
  <c r="Z10"/>
  <c r="X10"/>
  <c r="W10"/>
  <c r="Y10" s="1"/>
  <c r="AA10" s="1"/>
  <c r="G10"/>
  <c r="C10"/>
  <c r="D10" s="1"/>
  <c r="Z9"/>
  <c r="Y9"/>
  <c r="AA9" s="1"/>
  <c r="X9"/>
  <c r="W9"/>
  <c r="G9"/>
  <c r="C9"/>
  <c r="D9" s="1"/>
  <c r="V40" i="4"/>
  <c r="U40"/>
  <c r="T40"/>
  <c r="S40"/>
  <c r="R40"/>
  <c r="Q40"/>
  <c r="P40"/>
  <c r="O40"/>
  <c r="N40"/>
  <c r="M40"/>
  <c r="L40"/>
  <c r="K40"/>
  <c r="J40"/>
  <c r="I40"/>
  <c r="Z38"/>
  <c r="X38"/>
  <c r="W38"/>
  <c r="Y38" s="1"/>
  <c r="AA38" s="1"/>
  <c r="G38"/>
  <c r="D38"/>
  <c r="E38" s="1"/>
  <c r="C38"/>
  <c r="Z37"/>
  <c r="Y37"/>
  <c r="AA37" s="1"/>
  <c r="X37"/>
  <c r="W37"/>
  <c r="G37"/>
  <c r="C37"/>
  <c r="D37" s="1"/>
  <c r="Z36"/>
  <c r="X36"/>
  <c r="W36"/>
  <c r="Y36" s="1"/>
  <c r="AA36" s="1"/>
  <c r="G36"/>
  <c r="C36"/>
  <c r="D36" s="1"/>
  <c r="Z35"/>
  <c r="X35"/>
  <c r="W35"/>
  <c r="Y35" s="1"/>
  <c r="AA35" s="1"/>
  <c r="G35"/>
  <c r="C35"/>
  <c r="D35" s="1"/>
  <c r="Z34"/>
  <c r="Y34"/>
  <c r="AA34" s="1"/>
  <c r="X34"/>
  <c r="W34"/>
  <c r="G34"/>
  <c r="D34"/>
  <c r="E34" s="1"/>
  <c r="C34"/>
  <c r="Z33"/>
  <c r="X33"/>
  <c r="W33"/>
  <c r="Y33" s="1"/>
  <c r="AA33" s="1"/>
  <c r="G33"/>
  <c r="C33"/>
  <c r="D33" s="1"/>
  <c r="Z32"/>
  <c r="X32"/>
  <c r="W32"/>
  <c r="Y32" s="1"/>
  <c r="AA32" s="1"/>
  <c r="G32"/>
  <c r="D32"/>
  <c r="E32" s="1"/>
  <c r="C32"/>
  <c r="Z31"/>
  <c r="X31"/>
  <c r="W31"/>
  <c r="Y31" s="1"/>
  <c r="AA31" s="1"/>
  <c r="G31"/>
  <c r="E31"/>
  <c r="D31"/>
  <c r="F31" s="1"/>
  <c r="H31" s="1"/>
  <c r="C31"/>
  <c r="Z30"/>
  <c r="X30"/>
  <c r="W30"/>
  <c r="Y30" s="1"/>
  <c r="AA30" s="1"/>
  <c r="G30"/>
  <c r="C30"/>
  <c r="D30" s="1"/>
  <c r="Z29"/>
  <c r="Y29"/>
  <c r="AA29" s="1"/>
  <c r="X29"/>
  <c r="W29"/>
  <c r="G29"/>
  <c r="C29"/>
  <c r="D29" s="1"/>
  <c r="Z28"/>
  <c r="X28"/>
  <c r="W28"/>
  <c r="Y28" s="1"/>
  <c r="AA28" s="1"/>
  <c r="G28"/>
  <c r="C28"/>
  <c r="D28" s="1"/>
  <c r="Z27"/>
  <c r="X27"/>
  <c r="W27"/>
  <c r="Y27" s="1"/>
  <c r="AA27" s="1"/>
  <c r="G27"/>
  <c r="D27"/>
  <c r="E27" s="1"/>
  <c r="C27"/>
  <c r="Z26"/>
  <c r="Y26"/>
  <c r="AA26" s="1"/>
  <c r="X26"/>
  <c r="W26"/>
  <c r="G26"/>
  <c r="D26"/>
  <c r="E26" s="1"/>
  <c r="C26"/>
  <c r="Z25"/>
  <c r="X25"/>
  <c r="W25"/>
  <c r="Y25" s="1"/>
  <c r="AA25" s="1"/>
  <c r="G25"/>
  <c r="C25"/>
  <c r="D25" s="1"/>
  <c r="Z24"/>
  <c r="X24"/>
  <c r="W24"/>
  <c r="Y24" s="1"/>
  <c r="AA24" s="1"/>
  <c r="G24"/>
  <c r="E24"/>
  <c r="D24"/>
  <c r="F24" s="1"/>
  <c r="H24" s="1"/>
  <c r="C24"/>
  <c r="Z23"/>
  <c r="X23"/>
  <c r="W23"/>
  <c r="Y23" s="1"/>
  <c r="AA23" s="1"/>
  <c r="G23"/>
  <c r="D23"/>
  <c r="E23" s="1"/>
  <c r="C23"/>
  <c r="Z22"/>
  <c r="X22"/>
  <c r="Y22" s="1"/>
  <c r="AA22" s="1"/>
  <c r="W22"/>
  <c r="G22"/>
  <c r="D22"/>
  <c r="E22" s="1"/>
  <c r="C22"/>
  <c r="Z21"/>
  <c r="Y21"/>
  <c r="AA21" s="1"/>
  <c r="X21"/>
  <c r="W21"/>
  <c r="G21"/>
  <c r="C21"/>
  <c r="D21" s="1"/>
  <c r="Z20"/>
  <c r="X20"/>
  <c r="Y20" s="1"/>
  <c r="AA20" s="1"/>
  <c r="W20"/>
  <c r="G20"/>
  <c r="F20"/>
  <c r="H20" s="1"/>
  <c r="E20"/>
  <c r="D20"/>
  <c r="C20"/>
  <c r="Z19"/>
  <c r="X19"/>
  <c r="W19"/>
  <c r="Y19" s="1"/>
  <c r="AA19" s="1"/>
  <c r="G19"/>
  <c r="C19"/>
  <c r="D19" s="1"/>
  <c r="Z18"/>
  <c r="Y18"/>
  <c r="AA18" s="1"/>
  <c r="X18"/>
  <c r="W18"/>
  <c r="G18"/>
  <c r="D18"/>
  <c r="E18" s="1"/>
  <c r="C18"/>
  <c r="Z17"/>
  <c r="X17"/>
  <c r="W17"/>
  <c r="Y17" s="1"/>
  <c r="AA17" s="1"/>
  <c r="G17"/>
  <c r="C17"/>
  <c r="D17" s="1"/>
  <c r="Z16"/>
  <c r="X16"/>
  <c r="W16"/>
  <c r="Y16" s="1"/>
  <c r="AA16" s="1"/>
  <c r="G16"/>
  <c r="D16"/>
  <c r="E16" s="1"/>
  <c r="C16"/>
  <c r="Z15"/>
  <c r="X15"/>
  <c r="W15"/>
  <c r="Y15" s="1"/>
  <c r="AA15" s="1"/>
  <c r="G15"/>
  <c r="E15"/>
  <c r="D15"/>
  <c r="F15" s="1"/>
  <c r="H15" s="1"/>
  <c r="C15"/>
  <c r="Z14"/>
  <c r="X14"/>
  <c r="W14"/>
  <c r="Y14" s="1"/>
  <c r="AA14" s="1"/>
  <c r="G14"/>
  <c r="C14"/>
  <c r="D14" s="1"/>
  <c r="Z13"/>
  <c r="Y13"/>
  <c r="AA13" s="1"/>
  <c r="X13"/>
  <c r="W13"/>
  <c r="G13"/>
  <c r="C13"/>
  <c r="D13" s="1"/>
  <c r="Z12"/>
  <c r="X12"/>
  <c r="W12"/>
  <c r="Y12" s="1"/>
  <c r="AA12" s="1"/>
  <c r="G12"/>
  <c r="C12"/>
  <c r="D12" s="1"/>
  <c r="Z11"/>
  <c r="X11"/>
  <c r="W11"/>
  <c r="Y11" s="1"/>
  <c r="AA11" s="1"/>
  <c r="G11"/>
  <c r="D11"/>
  <c r="E11" s="1"/>
  <c r="C11"/>
  <c r="Z10"/>
  <c r="Y10"/>
  <c r="AA10" s="1"/>
  <c r="X10"/>
  <c r="W10"/>
  <c r="G10"/>
  <c r="D10"/>
  <c r="E10" s="1"/>
  <c r="C10"/>
  <c r="Z9"/>
  <c r="X9"/>
  <c r="X40" s="1"/>
  <c r="W9"/>
  <c r="W40" s="1"/>
  <c r="G9"/>
  <c r="F9"/>
  <c r="H9" s="1"/>
  <c r="D9"/>
  <c r="E9" s="1"/>
  <c r="C9"/>
  <c r="V40" i="3"/>
  <c r="U40"/>
  <c r="T40"/>
  <c r="S40"/>
  <c r="R40"/>
  <c r="Q40"/>
  <c r="P40"/>
  <c r="X40" s="1"/>
  <c r="O40"/>
  <c r="N40"/>
  <c r="M40"/>
  <c r="L40"/>
  <c r="K40"/>
  <c r="J40"/>
  <c r="I40"/>
  <c r="W40" s="1"/>
  <c r="Z39"/>
  <c r="X39"/>
  <c r="W39"/>
  <c r="Y39" s="1"/>
  <c r="AA39" s="1"/>
  <c r="H39"/>
  <c r="G39"/>
  <c r="F39"/>
  <c r="E39"/>
  <c r="D39"/>
  <c r="C39"/>
  <c r="Z38"/>
  <c r="X38"/>
  <c r="W38"/>
  <c r="Y38" s="1"/>
  <c r="AA38" s="1"/>
  <c r="G38"/>
  <c r="C38"/>
  <c r="D38" s="1"/>
  <c r="Z37"/>
  <c r="X37"/>
  <c r="W37"/>
  <c r="Y37" s="1"/>
  <c r="AA37" s="1"/>
  <c r="G37"/>
  <c r="C37"/>
  <c r="D37" s="1"/>
  <c r="Z36"/>
  <c r="X36"/>
  <c r="W36"/>
  <c r="Y36" s="1"/>
  <c r="AA36" s="1"/>
  <c r="G36"/>
  <c r="D36"/>
  <c r="E36" s="1"/>
  <c r="C36"/>
  <c r="Z35"/>
  <c r="X35"/>
  <c r="W35"/>
  <c r="Y35" s="1"/>
  <c r="AA35" s="1"/>
  <c r="G35"/>
  <c r="D35"/>
  <c r="E35" s="1"/>
  <c r="C35"/>
  <c r="Z34"/>
  <c r="X34"/>
  <c r="W34"/>
  <c r="Y34" s="1"/>
  <c r="AA34" s="1"/>
  <c r="G34"/>
  <c r="D34"/>
  <c r="E34" s="1"/>
  <c r="C34"/>
  <c r="Z33"/>
  <c r="X33"/>
  <c r="W33"/>
  <c r="Y33" s="1"/>
  <c r="AA33" s="1"/>
  <c r="G33"/>
  <c r="E33"/>
  <c r="D33"/>
  <c r="F33" s="1"/>
  <c r="H33" s="1"/>
  <c r="C33"/>
  <c r="Z32"/>
  <c r="X32"/>
  <c r="W32"/>
  <c r="Y32" s="1"/>
  <c r="AA32" s="1"/>
  <c r="G32"/>
  <c r="C32"/>
  <c r="D32" s="1"/>
  <c r="Z31"/>
  <c r="Y31"/>
  <c r="AA31" s="1"/>
  <c r="X31"/>
  <c r="W31"/>
  <c r="G31"/>
  <c r="C31"/>
  <c r="D31" s="1"/>
  <c r="Z30"/>
  <c r="X30"/>
  <c r="W30"/>
  <c r="Y30" s="1"/>
  <c r="AA30" s="1"/>
  <c r="G30"/>
  <c r="F30"/>
  <c r="H30" s="1"/>
  <c r="E30"/>
  <c r="D30"/>
  <c r="C30"/>
  <c r="Z29"/>
  <c r="X29"/>
  <c r="W29"/>
  <c r="Y29" s="1"/>
  <c r="AA29" s="1"/>
  <c r="G29"/>
  <c r="D29"/>
  <c r="E29" s="1"/>
  <c r="C29"/>
  <c r="Z28"/>
  <c r="Y28"/>
  <c r="AA28" s="1"/>
  <c r="X28"/>
  <c r="W28"/>
  <c r="G28"/>
  <c r="D28"/>
  <c r="E28" s="1"/>
  <c r="C28"/>
  <c r="Z27"/>
  <c r="X27"/>
  <c r="Y27" s="1"/>
  <c r="AA27" s="1"/>
  <c r="W27"/>
  <c r="G27"/>
  <c r="C27"/>
  <c r="D27" s="1"/>
  <c r="Z26"/>
  <c r="X26"/>
  <c r="W26"/>
  <c r="Y26" s="1"/>
  <c r="AA26" s="1"/>
  <c r="G26"/>
  <c r="F26"/>
  <c r="H26" s="1"/>
  <c r="E26"/>
  <c r="D26"/>
  <c r="C26"/>
  <c r="AA25"/>
  <c r="Z25"/>
  <c r="Y25"/>
  <c r="X25"/>
  <c r="W25"/>
  <c r="G25"/>
  <c r="E25"/>
  <c r="D25"/>
  <c r="F25" s="1"/>
  <c r="H25" s="1"/>
  <c r="C25"/>
  <c r="AA24"/>
  <c r="Z24"/>
  <c r="Y24"/>
  <c r="X24"/>
  <c r="W24"/>
  <c r="G24"/>
  <c r="C24"/>
  <c r="D24" s="1"/>
  <c r="Z23"/>
  <c r="X23"/>
  <c r="Y23" s="1"/>
  <c r="AA23" s="1"/>
  <c r="W23"/>
  <c r="G23"/>
  <c r="C23"/>
  <c r="D23" s="1"/>
  <c r="Z22"/>
  <c r="X22"/>
  <c r="W22"/>
  <c r="Y22" s="1"/>
  <c r="AA22" s="1"/>
  <c r="H22"/>
  <c r="G22"/>
  <c r="F22"/>
  <c r="E22"/>
  <c r="D22"/>
  <c r="C22"/>
  <c r="Z21"/>
  <c r="X21"/>
  <c r="W21"/>
  <c r="Y21" s="1"/>
  <c r="AA21" s="1"/>
  <c r="G21"/>
  <c r="C21"/>
  <c r="D21" s="1"/>
  <c r="Z20"/>
  <c r="X20"/>
  <c r="W20"/>
  <c r="Y20" s="1"/>
  <c r="AA20" s="1"/>
  <c r="G20"/>
  <c r="D20"/>
  <c r="E20" s="1"/>
  <c r="C20"/>
  <c r="Z19"/>
  <c r="X19"/>
  <c r="W19"/>
  <c r="Y19" s="1"/>
  <c r="AA19" s="1"/>
  <c r="G19"/>
  <c r="D19"/>
  <c r="E19" s="1"/>
  <c r="C19"/>
  <c r="Z18"/>
  <c r="X18"/>
  <c r="W18"/>
  <c r="Y18" s="1"/>
  <c r="AA18" s="1"/>
  <c r="G18"/>
  <c r="D18"/>
  <c r="E18" s="1"/>
  <c r="C18"/>
  <c r="Z17"/>
  <c r="X17"/>
  <c r="W17"/>
  <c r="Y17" s="1"/>
  <c r="AA17" s="1"/>
  <c r="G17"/>
  <c r="E17"/>
  <c r="D17"/>
  <c r="F17" s="1"/>
  <c r="H17" s="1"/>
  <c r="C17"/>
  <c r="Z16"/>
  <c r="X16"/>
  <c r="Y16" s="1"/>
  <c r="AA16" s="1"/>
  <c r="W16"/>
  <c r="G16"/>
  <c r="E16"/>
  <c r="D16"/>
  <c r="F16" s="1"/>
  <c r="H16" s="1"/>
  <c r="C16"/>
  <c r="Z15"/>
  <c r="Y15"/>
  <c r="AA15" s="1"/>
  <c r="X15"/>
  <c r="W15"/>
  <c r="G15"/>
  <c r="C15"/>
  <c r="D15" s="1"/>
  <c r="Z14"/>
  <c r="Y14"/>
  <c r="AA14" s="1"/>
  <c r="X14"/>
  <c r="W14"/>
  <c r="G14"/>
  <c r="F14"/>
  <c r="H14" s="1"/>
  <c r="E14"/>
  <c r="D14"/>
  <c r="C14"/>
  <c r="Z13"/>
  <c r="X13"/>
  <c r="W13"/>
  <c r="Y13" s="1"/>
  <c r="AA13" s="1"/>
  <c r="G13"/>
  <c r="C13"/>
  <c r="D13" s="1"/>
  <c r="Z12"/>
  <c r="Y12"/>
  <c r="AA12" s="1"/>
  <c r="X12"/>
  <c r="W12"/>
  <c r="G12"/>
  <c r="C12"/>
  <c r="D12" s="1"/>
  <c r="Z11"/>
  <c r="X11"/>
  <c r="W11"/>
  <c r="Y11" s="1"/>
  <c r="AA11" s="1"/>
  <c r="G11"/>
  <c r="F11"/>
  <c r="H11" s="1"/>
  <c r="E11"/>
  <c r="D11"/>
  <c r="C11"/>
  <c r="Z10"/>
  <c r="X10"/>
  <c r="W10"/>
  <c r="Y10" s="1"/>
  <c r="AA10" s="1"/>
  <c r="G10"/>
  <c r="C10"/>
  <c r="D10" s="1"/>
  <c r="AA9"/>
  <c r="Z9"/>
  <c r="Y9"/>
  <c r="X9"/>
  <c r="W9"/>
  <c r="G9"/>
  <c r="D9"/>
  <c r="E9" s="1"/>
  <c r="C9"/>
  <c r="Y39" i="2"/>
  <c r="X39"/>
  <c r="W39"/>
  <c r="Z36"/>
  <c r="Y36"/>
  <c r="AA36" s="1"/>
  <c r="X36"/>
  <c r="W36"/>
  <c r="G36"/>
  <c r="C36"/>
  <c r="D36" s="1"/>
  <c r="Z35"/>
  <c r="Y35"/>
  <c r="AA35" s="1"/>
  <c r="X35"/>
  <c r="W35"/>
  <c r="G35"/>
  <c r="F35"/>
  <c r="H35" s="1"/>
  <c r="E35"/>
  <c r="D35"/>
  <c r="C35"/>
  <c r="Z34"/>
  <c r="X34"/>
  <c r="W34"/>
  <c r="Y34" s="1"/>
  <c r="AA34" s="1"/>
  <c r="G34"/>
  <c r="C34"/>
  <c r="D34" s="1"/>
  <c r="Z33"/>
  <c r="Y33"/>
  <c r="AA33" s="1"/>
  <c r="X33"/>
  <c r="W33"/>
  <c r="G33"/>
  <c r="D33"/>
  <c r="E33" s="1"/>
  <c r="C33"/>
  <c r="Z32"/>
  <c r="X32"/>
  <c r="W32"/>
  <c r="Y32" s="1"/>
  <c r="AA32" s="1"/>
  <c r="G32"/>
  <c r="F32"/>
  <c r="H32" s="1"/>
  <c r="D32"/>
  <c r="E32" s="1"/>
  <c r="C32"/>
  <c r="Z31"/>
  <c r="X31"/>
  <c r="W31"/>
  <c r="Y31" s="1"/>
  <c r="AA31" s="1"/>
  <c r="G31"/>
  <c r="D31"/>
  <c r="E31" s="1"/>
  <c r="C31"/>
  <c r="Z30"/>
  <c r="X30"/>
  <c r="Y30" s="1"/>
  <c r="AA30" s="1"/>
  <c r="W30"/>
  <c r="G30"/>
  <c r="E30"/>
  <c r="D30"/>
  <c r="F30" s="1"/>
  <c r="H30" s="1"/>
  <c r="C30"/>
  <c r="Z29"/>
  <c r="X29"/>
  <c r="Y29" s="1"/>
  <c r="AA29" s="1"/>
  <c r="W29"/>
  <c r="G29"/>
  <c r="C29"/>
  <c r="D29" s="1"/>
  <c r="Z28"/>
  <c r="X28"/>
  <c r="Y28" s="1"/>
  <c r="AA28" s="1"/>
  <c r="W28"/>
  <c r="G28"/>
  <c r="C28"/>
  <c r="D28" s="1"/>
  <c r="AA27"/>
  <c r="Z27"/>
  <c r="Y27"/>
  <c r="X27"/>
  <c r="W27"/>
  <c r="G27"/>
  <c r="C27"/>
  <c r="D27" s="1"/>
  <c r="Z26"/>
  <c r="X26"/>
  <c r="W26"/>
  <c r="Y26" s="1"/>
  <c r="AA26" s="1"/>
  <c r="H26"/>
  <c r="G26"/>
  <c r="F26"/>
  <c r="D26"/>
  <c r="E26" s="1"/>
  <c r="C26"/>
  <c r="Z25"/>
  <c r="X25"/>
  <c r="W25"/>
  <c r="Y25" s="1"/>
  <c r="AA25" s="1"/>
  <c r="G25"/>
  <c r="D25"/>
  <c r="E25" s="1"/>
  <c r="C25"/>
  <c r="Z24"/>
  <c r="X24"/>
  <c r="W24"/>
  <c r="Y24" s="1"/>
  <c r="AA24" s="1"/>
  <c r="G24"/>
  <c r="D24"/>
  <c r="E24" s="1"/>
  <c r="C24"/>
  <c r="Z23"/>
  <c r="X23"/>
  <c r="W23"/>
  <c r="Y23" s="1"/>
  <c r="AA23" s="1"/>
  <c r="G23"/>
  <c r="C23"/>
  <c r="D23" s="1"/>
  <c r="Z22"/>
  <c r="X22"/>
  <c r="W22"/>
  <c r="Y22" s="1"/>
  <c r="AA22" s="1"/>
  <c r="G22"/>
  <c r="E22"/>
  <c r="D22"/>
  <c r="F22" s="1"/>
  <c r="H22" s="1"/>
  <c r="C22"/>
  <c r="Z21"/>
  <c r="X21"/>
  <c r="W21"/>
  <c r="Y21" s="1"/>
  <c r="AA21" s="1"/>
  <c r="G21"/>
  <c r="C21"/>
  <c r="D21" s="1"/>
  <c r="Z20"/>
  <c r="Y20"/>
  <c r="AA20" s="1"/>
  <c r="X20"/>
  <c r="W20"/>
  <c r="G20"/>
  <c r="C20"/>
  <c r="D20" s="1"/>
  <c r="Z19"/>
  <c r="Y19"/>
  <c r="AA19" s="1"/>
  <c r="X19"/>
  <c r="W19"/>
  <c r="H19"/>
  <c r="G19"/>
  <c r="F19"/>
  <c r="E19"/>
  <c r="D19"/>
  <c r="C19"/>
  <c r="Z18"/>
  <c r="X18"/>
  <c r="W18"/>
  <c r="Y18" s="1"/>
  <c r="AA18" s="1"/>
  <c r="G18"/>
  <c r="F18"/>
  <c r="H18" s="1"/>
  <c r="D18"/>
  <c r="E18" s="1"/>
  <c r="C18"/>
  <c r="Z17"/>
  <c r="Y17"/>
  <c r="AA17" s="1"/>
  <c r="X17"/>
  <c r="W17"/>
  <c r="G17"/>
  <c r="C17"/>
  <c r="D17" s="1"/>
  <c r="Z16"/>
  <c r="X16"/>
  <c r="Y16" s="1"/>
  <c r="AA16" s="1"/>
  <c r="W16"/>
  <c r="G16"/>
  <c r="F16"/>
  <c r="H16" s="1"/>
  <c r="D16"/>
  <c r="E16" s="1"/>
  <c r="C16"/>
  <c r="Z15"/>
  <c r="X15"/>
  <c r="W15"/>
  <c r="Y15" s="1"/>
  <c r="AA15" s="1"/>
  <c r="G15"/>
  <c r="C15"/>
  <c r="D15" s="1"/>
  <c r="Z14"/>
  <c r="X14"/>
  <c r="W14"/>
  <c r="Y14" s="1"/>
  <c r="AA14" s="1"/>
  <c r="G14"/>
  <c r="D14"/>
  <c r="E14" s="1"/>
  <c r="C14"/>
  <c r="AA13"/>
  <c r="Z13"/>
  <c r="Y13"/>
  <c r="X13"/>
  <c r="W13"/>
  <c r="G13"/>
  <c r="C13"/>
  <c r="D13" s="1"/>
  <c r="Z12"/>
  <c r="X12"/>
  <c r="Y12" s="1"/>
  <c r="AA12" s="1"/>
  <c r="W12"/>
  <c r="G12"/>
  <c r="C12"/>
  <c r="D12" s="1"/>
  <c r="AA11"/>
  <c r="Z11"/>
  <c r="Y11"/>
  <c r="X11"/>
  <c r="W11"/>
  <c r="G11"/>
  <c r="C11"/>
  <c r="D11" s="1"/>
  <c r="Z10"/>
  <c r="X10"/>
  <c r="W10"/>
  <c r="Y10" s="1"/>
  <c r="AA10" s="1"/>
  <c r="H10"/>
  <c r="G10"/>
  <c r="F10"/>
  <c r="D10"/>
  <c r="E10" s="1"/>
  <c r="C10"/>
  <c r="Z9"/>
  <c r="Y9"/>
  <c r="AA9" s="1"/>
  <c r="X9"/>
  <c r="W9"/>
  <c r="G9"/>
  <c r="D9"/>
  <c r="E9" s="1"/>
  <c r="C9"/>
  <c r="V40" i="1"/>
  <c r="U40"/>
  <c r="T40"/>
  <c r="S40"/>
  <c r="R40"/>
  <c r="Q40"/>
  <c r="P40"/>
  <c r="X40" s="1"/>
  <c r="O40"/>
  <c r="N40"/>
  <c r="M40"/>
  <c r="L40"/>
  <c r="K40"/>
  <c r="J40"/>
  <c r="I40"/>
  <c r="W40" s="1"/>
  <c r="Z39"/>
  <c r="X39"/>
  <c r="W39"/>
  <c r="Y39" s="1"/>
  <c r="AA39" s="1"/>
  <c r="G39"/>
  <c r="C39"/>
  <c r="D39" s="1"/>
  <c r="Z38"/>
  <c r="Y38"/>
  <c r="AA38" s="1"/>
  <c r="X38"/>
  <c r="W38"/>
  <c r="G38"/>
  <c r="C38"/>
  <c r="D38" s="1"/>
  <c r="Z37"/>
  <c r="X37"/>
  <c r="W37"/>
  <c r="Y37" s="1"/>
  <c r="AA37" s="1"/>
  <c r="G37"/>
  <c r="C37"/>
  <c r="D37" s="1"/>
  <c r="Z36"/>
  <c r="X36"/>
  <c r="W36"/>
  <c r="Y36" s="1"/>
  <c r="AA36" s="1"/>
  <c r="G36"/>
  <c r="D36"/>
  <c r="E36" s="1"/>
  <c r="C36"/>
  <c r="Z35"/>
  <c r="Y35"/>
  <c r="AA35" s="1"/>
  <c r="X35"/>
  <c r="W35"/>
  <c r="G35"/>
  <c r="D35"/>
  <c r="E35" s="1"/>
  <c r="C35"/>
  <c r="Z34"/>
  <c r="X34"/>
  <c r="W34"/>
  <c r="Y34" s="1"/>
  <c r="AA34" s="1"/>
  <c r="G34"/>
  <c r="F34"/>
  <c r="H34" s="1"/>
  <c r="D34"/>
  <c r="E34" s="1"/>
  <c r="C34"/>
  <c r="Z33"/>
  <c r="X33"/>
  <c r="W33"/>
  <c r="Y33" s="1"/>
  <c r="AA33" s="1"/>
  <c r="G33"/>
  <c r="C33"/>
  <c r="D33" s="1"/>
  <c r="Z32"/>
  <c r="X32"/>
  <c r="W32"/>
  <c r="Y32" s="1"/>
  <c r="AA32" s="1"/>
  <c r="G32"/>
  <c r="E32"/>
  <c r="D32"/>
  <c r="F32" s="1"/>
  <c r="H32" s="1"/>
  <c r="C32"/>
  <c r="Z31"/>
  <c r="Y31"/>
  <c r="AA31" s="1"/>
  <c r="X31"/>
  <c r="W31"/>
  <c r="G31"/>
  <c r="C31"/>
  <c r="D31" s="1"/>
  <c r="Z30"/>
  <c r="X30"/>
  <c r="Y30" s="1"/>
  <c r="AA30" s="1"/>
  <c r="W30"/>
  <c r="G30"/>
  <c r="C30"/>
  <c r="D30" s="1"/>
  <c r="Z29"/>
  <c r="X29"/>
  <c r="W29"/>
  <c r="Y29" s="1"/>
  <c r="AA29" s="1"/>
  <c r="G29"/>
  <c r="C29"/>
  <c r="D29" s="1"/>
  <c r="Z28"/>
  <c r="X28"/>
  <c r="W28"/>
  <c r="Y28" s="1"/>
  <c r="AA28" s="1"/>
  <c r="H28"/>
  <c r="G28"/>
  <c r="F28"/>
  <c r="E28"/>
  <c r="D28"/>
  <c r="C28"/>
  <c r="Z27"/>
  <c r="Y27"/>
  <c r="AA27" s="1"/>
  <c r="X27"/>
  <c r="W27"/>
  <c r="G27"/>
  <c r="D27"/>
  <c r="E27" s="1"/>
  <c r="C27"/>
  <c r="Z26"/>
  <c r="X26"/>
  <c r="W26"/>
  <c r="Y26" s="1"/>
  <c r="AA26" s="1"/>
  <c r="G26"/>
  <c r="C26"/>
  <c r="D26" s="1"/>
  <c r="Z25"/>
  <c r="X25"/>
  <c r="W25"/>
  <c r="Y25" s="1"/>
  <c r="AA25" s="1"/>
  <c r="G25"/>
  <c r="D25"/>
  <c r="E25" s="1"/>
  <c r="C25"/>
  <c r="Z24"/>
  <c r="X24"/>
  <c r="W24"/>
  <c r="Y24" s="1"/>
  <c r="AA24" s="1"/>
  <c r="G24"/>
  <c r="E24"/>
  <c r="D24"/>
  <c r="F24" s="1"/>
  <c r="H24" s="1"/>
  <c r="C24"/>
  <c r="Z23"/>
  <c r="X23"/>
  <c r="W23"/>
  <c r="Y23" s="1"/>
  <c r="AA23" s="1"/>
  <c r="G23"/>
  <c r="C23"/>
  <c r="D23" s="1"/>
  <c r="Z22"/>
  <c r="Y22"/>
  <c r="AA22" s="1"/>
  <c r="X22"/>
  <c r="W22"/>
  <c r="G22"/>
  <c r="C22"/>
  <c r="D22" s="1"/>
  <c r="Z21"/>
  <c r="X21"/>
  <c r="W21"/>
  <c r="Y21" s="1"/>
  <c r="AA21" s="1"/>
  <c r="G21"/>
  <c r="C21"/>
  <c r="D21" s="1"/>
  <c r="Z20"/>
  <c r="X20"/>
  <c r="W20"/>
  <c r="Y20" s="1"/>
  <c r="AA20" s="1"/>
  <c r="G20"/>
  <c r="D20"/>
  <c r="E20" s="1"/>
  <c r="C20"/>
  <c r="Z19"/>
  <c r="Y19"/>
  <c r="AA19" s="1"/>
  <c r="X19"/>
  <c r="W19"/>
  <c r="G19"/>
  <c r="D19"/>
  <c r="E19" s="1"/>
  <c r="C19"/>
  <c r="Z18"/>
  <c r="X18"/>
  <c r="W18"/>
  <c r="Y18" s="1"/>
  <c r="AA18" s="1"/>
  <c r="G18"/>
  <c r="F18"/>
  <c r="H18" s="1"/>
  <c r="D18"/>
  <c r="E18" s="1"/>
  <c r="C18"/>
  <c r="Z17"/>
  <c r="X17"/>
  <c r="W17"/>
  <c r="Y17" s="1"/>
  <c r="AA17" s="1"/>
  <c r="G17"/>
  <c r="C17"/>
  <c r="D17" s="1"/>
  <c r="Z16"/>
  <c r="X16"/>
  <c r="Y16" s="1"/>
  <c r="AA16" s="1"/>
  <c r="W16"/>
  <c r="G16"/>
  <c r="C16"/>
  <c r="D16" s="1"/>
  <c r="Z15"/>
  <c r="Y15"/>
  <c r="AA15" s="1"/>
  <c r="X15"/>
  <c r="W15"/>
  <c r="G15"/>
  <c r="C15"/>
  <c r="D15" s="1"/>
  <c r="Z14"/>
  <c r="Y14"/>
  <c r="AA14" s="1"/>
  <c r="X14"/>
  <c r="W14"/>
  <c r="G14"/>
  <c r="C14"/>
  <c r="D14" s="1"/>
  <c r="AA13"/>
  <c r="Z13"/>
  <c r="Y13"/>
  <c r="X13"/>
  <c r="W13"/>
  <c r="G13"/>
  <c r="C13"/>
  <c r="D13" s="1"/>
  <c r="Z12"/>
  <c r="X12"/>
  <c r="W12"/>
  <c r="Y12" s="1"/>
  <c r="AA12" s="1"/>
  <c r="G12"/>
  <c r="C12"/>
  <c r="D12" s="1"/>
  <c r="Z11"/>
  <c r="Y11"/>
  <c r="AA11" s="1"/>
  <c r="X11"/>
  <c r="W11"/>
  <c r="G11"/>
  <c r="D11"/>
  <c r="E11" s="1"/>
  <c r="C11"/>
  <c r="Z10"/>
  <c r="X10"/>
  <c r="W10"/>
  <c r="Y10" s="1"/>
  <c r="AA10" s="1"/>
  <c r="G10"/>
  <c r="F10"/>
  <c r="H10" s="1"/>
  <c r="D10"/>
  <c r="E10" s="1"/>
  <c r="C10"/>
  <c r="Z9"/>
  <c r="X9"/>
  <c r="W9"/>
  <c r="Y9" s="1"/>
  <c r="AA9" s="1"/>
  <c r="G9"/>
  <c r="C9"/>
  <c r="D9" s="1"/>
  <c r="E10" i="6" l="1"/>
  <c r="F10"/>
  <c r="H10" s="1"/>
  <c r="E39" i="1"/>
  <c r="F39"/>
  <c r="H39" s="1"/>
  <c r="E15"/>
  <c r="F15"/>
  <c r="H15" s="1"/>
  <c r="E31"/>
  <c r="F31"/>
  <c r="H31" s="1"/>
  <c r="E21" i="4"/>
  <c r="F21"/>
  <c r="H21" s="1"/>
  <c r="E29"/>
  <c r="F29"/>
  <c r="H29" s="1"/>
  <c r="E37" i="5"/>
  <c r="F37"/>
  <c r="H37" s="1"/>
  <c r="E35" i="7"/>
  <c r="F35"/>
  <c r="H35" s="1"/>
  <c r="F37" i="9"/>
  <c r="H37" s="1"/>
  <c r="E37"/>
  <c r="E10" i="10"/>
  <c r="F10"/>
  <c r="H10" s="1"/>
  <c r="E14" i="11"/>
  <c r="F14"/>
  <c r="H14" s="1"/>
  <c r="E19"/>
  <c r="F19"/>
  <c r="H19" s="1"/>
  <c r="E24"/>
  <c r="F24"/>
  <c r="H24" s="1"/>
  <c r="AA40" i="8"/>
  <c r="E19" i="4"/>
  <c r="F19"/>
  <c r="H19" s="1"/>
  <c r="E33" i="8"/>
  <c r="F33"/>
  <c r="H33" s="1"/>
  <c r="E39" i="12"/>
  <c r="F39"/>
  <c r="H39" s="1"/>
  <c r="E26" i="9"/>
  <c r="F26"/>
  <c r="H26" s="1"/>
  <c r="E23" i="1"/>
  <c r="F23"/>
  <c r="H23" s="1"/>
  <c r="E13" i="2"/>
  <c r="F13"/>
  <c r="H13" s="1"/>
  <c r="E20"/>
  <c r="F20"/>
  <c r="H20" s="1"/>
  <c r="E24" i="3"/>
  <c r="F24"/>
  <c r="H24" s="1"/>
  <c r="E13" i="4"/>
  <c r="F13"/>
  <c r="H13" s="1"/>
  <c r="F25" i="6"/>
  <c r="H25" s="1"/>
  <c r="E25"/>
  <c r="E22" i="7"/>
  <c r="F22"/>
  <c r="H22" s="1"/>
  <c r="E27"/>
  <c r="F27"/>
  <c r="H27" s="1"/>
  <c r="E31" i="9"/>
  <c r="F31"/>
  <c r="H31" s="1"/>
  <c r="E11" i="11"/>
  <c r="F11"/>
  <c r="H11" s="1"/>
  <c r="E34"/>
  <c r="F34"/>
  <c r="H34" s="1"/>
  <c r="E9" i="12"/>
  <c r="F9"/>
  <c r="H9" s="1"/>
  <c r="AA40" i="10"/>
  <c r="E13" i="1"/>
  <c r="F13"/>
  <c r="H13" s="1"/>
  <c r="E19" i="5"/>
  <c r="F19"/>
  <c r="H19" s="1"/>
  <c r="E38" i="7"/>
  <c r="F38"/>
  <c r="H38" s="1"/>
  <c r="E30" i="8"/>
  <c r="F30"/>
  <c r="H30" s="1"/>
  <c r="E12" i="3"/>
  <c r="F12"/>
  <c r="H12" s="1"/>
  <c r="E27" i="5"/>
  <c r="F27"/>
  <c r="H27" s="1"/>
  <c r="E18" i="10"/>
  <c r="F18"/>
  <c r="H18" s="1"/>
  <c r="F24" i="5"/>
  <c r="H24" s="1"/>
  <c r="E24"/>
  <c r="E10" i="7"/>
  <c r="F10"/>
  <c r="H10" s="1"/>
  <c r="E15" i="8"/>
  <c r="F15"/>
  <c r="H15" s="1"/>
  <c r="E31" i="10"/>
  <c r="F31"/>
  <c r="H31" s="1"/>
  <c r="E12" i="1"/>
  <c r="F12"/>
  <c r="H12" s="1"/>
  <c r="E37" i="4"/>
  <c r="F37"/>
  <c r="H37" s="1"/>
  <c r="E10" i="5"/>
  <c r="F10"/>
  <c r="H10" s="1"/>
  <c r="E13"/>
  <c r="F13"/>
  <c r="H13" s="1"/>
  <c r="E18"/>
  <c r="F18"/>
  <c r="H18" s="1"/>
  <c r="F22" i="6"/>
  <c r="H22" s="1"/>
  <c r="E22"/>
  <c r="E12" i="7"/>
  <c r="F12"/>
  <c r="H12" s="1"/>
  <c r="E17"/>
  <c r="F17"/>
  <c r="H17" s="1"/>
  <c r="F29" i="8"/>
  <c r="H29" s="1"/>
  <c r="E29"/>
  <c r="F32"/>
  <c r="H32" s="1"/>
  <c r="E32"/>
  <c r="E34" i="9"/>
  <c r="F34"/>
  <c r="H34" s="1"/>
  <c r="E11" i="12"/>
  <c r="F11"/>
  <c r="H11" s="1"/>
  <c r="Y40" i="7"/>
  <c r="F11" i="5"/>
  <c r="H11" s="1"/>
  <c r="E11"/>
  <c r="E33" i="1"/>
  <c r="F33"/>
  <c r="H33" s="1"/>
  <c r="E26" i="5"/>
  <c r="F26"/>
  <c r="H26" s="1"/>
  <c r="E29"/>
  <c r="F29"/>
  <c r="H29" s="1"/>
  <c r="E9" i="6"/>
  <c r="F9"/>
  <c r="H9" s="1"/>
  <c r="E17" i="8"/>
  <c r="F17"/>
  <c r="H17" s="1"/>
  <c r="E28" i="9"/>
  <c r="F28"/>
  <c r="H28" s="1"/>
  <c r="E16" i="12"/>
  <c r="F16"/>
  <c r="H16" s="1"/>
  <c r="E19"/>
  <c r="F19"/>
  <c r="H19" s="1"/>
  <c r="E38"/>
  <c r="F38"/>
  <c r="H38" s="1"/>
  <c r="E15" i="2"/>
  <c r="F15"/>
  <c r="H15" s="1"/>
  <c r="E21" i="3"/>
  <c r="F21"/>
  <c r="H21" s="1"/>
  <c r="E14" i="6"/>
  <c r="F14"/>
  <c r="H14" s="1"/>
  <c r="E19"/>
  <c r="F19"/>
  <c r="H19" s="1"/>
  <c r="E30"/>
  <c r="F30"/>
  <c r="H30" s="1"/>
  <c r="E9" i="8"/>
  <c r="F9"/>
  <c r="H9" s="1"/>
  <c r="E23" i="9"/>
  <c r="F23"/>
  <c r="H23" s="1"/>
  <c r="E14" i="10"/>
  <c r="F14"/>
  <c r="H14" s="1"/>
  <c r="F17"/>
  <c r="H17" s="1"/>
  <c r="E17"/>
  <c r="F33"/>
  <c r="H33" s="1"/>
  <c r="E33"/>
  <c r="E9" i="1"/>
  <c r="F9"/>
  <c r="H9" s="1"/>
  <c r="E17"/>
  <c r="F17"/>
  <c r="H17" s="1"/>
  <c r="E30"/>
  <c r="F30"/>
  <c r="H30" s="1"/>
  <c r="E38"/>
  <c r="F38"/>
  <c r="H38" s="1"/>
  <c r="E28" i="4"/>
  <c r="F28"/>
  <c r="H28" s="1"/>
  <c r="E31" i="5"/>
  <c r="F31"/>
  <c r="H31" s="1"/>
  <c r="E34" i="7"/>
  <c r="F34"/>
  <c r="H34" s="1"/>
  <c r="E12" i="9"/>
  <c r="F12"/>
  <c r="H12" s="1"/>
  <c r="E25"/>
  <c r="F25"/>
  <c r="H25" s="1"/>
  <c r="E36"/>
  <c r="F36"/>
  <c r="H36" s="1"/>
  <c r="E25" i="10"/>
  <c r="F25"/>
  <c r="H25" s="1"/>
  <c r="E13" i="11"/>
  <c r="F13"/>
  <c r="H13" s="1"/>
  <c r="E18"/>
  <c r="F18"/>
  <c r="H18" s="1"/>
  <c r="Y40" i="9"/>
  <c r="E17" i="12"/>
  <c r="F17"/>
  <c r="H17" s="1"/>
  <c r="E26" i="1"/>
  <c r="F26"/>
  <c r="H26" s="1"/>
  <c r="E14"/>
  <c r="F14"/>
  <c r="H14" s="1"/>
  <c r="E12" i="2"/>
  <c r="F12"/>
  <c r="H12" s="1"/>
  <c r="E27"/>
  <c r="F27"/>
  <c r="H27" s="1"/>
  <c r="E23" i="3"/>
  <c r="F23"/>
  <c r="H23" s="1"/>
  <c r="E38"/>
  <c r="F38"/>
  <c r="H38" s="1"/>
  <c r="E12" i="4"/>
  <c r="F12"/>
  <c r="H12" s="1"/>
  <c r="E36" i="5"/>
  <c r="F36"/>
  <c r="H36" s="1"/>
  <c r="E39"/>
  <c r="F39"/>
  <c r="H39" s="1"/>
  <c r="E24" i="6"/>
  <c r="F24"/>
  <c r="H24" s="1"/>
  <c r="E27"/>
  <c r="F27"/>
  <c r="H27" s="1"/>
  <c r="E26" i="7"/>
  <c r="F26"/>
  <c r="H26" s="1"/>
  <c r="E21" i="8"/>
  <c r="F21"/>
  <c r="H21" s="1"/>
  <c r="E17" i="9"/>
  <c r="F17"/>
  <c r="H17" s="1"/>
  <c r="E23" i="11"/>
  <c r="F23"/>
  <c r="H23" s="1"/>
  <c r="E26"/>
  <c r="F26"/>
  <c r="H26" s="1"/>
  <c r="E33" i="12"/>
  <c r="F33"/>
  <c r="H33" s="1"/>
  <c r="E23" i="2"/>
  <c r="F23"/>
  <c r="H23" s="1"/>
  <c r="E14" i="12"/>
  <c r="F14"/>
  <c r="H14" s="1"/>
  <c r="E22" i="1"/>
  <c r="F22"/>
  <c r="H22" s="1"/>
  <c r="F25" i="4"/>
  <c r="H25" s="1"/>
  <c r="E25"/>
  <c r="E36"/>
  <c r="F36"/>
  <c r="H36" s="1"/>
  <c r="E19" i="7"/>
  <c r="F19"/>
  <c r="H19" s="1"/>
  <c r="E31" i="8"/>
  <c r="F31"/>
  <c r="H31" s="1"/>
  <c r="E34"/>
  <c r="F34"/>
  <c r="H34" s="1"/>
  <c r="E33" i="9"/>
  <c r="F33"/>
  <c r="H33" s="1"/>
  <c r="E9" i="10"/>
  <c r="F9"/>
  <c r="H9" s="1"/>
  <c r="E10" i="11"/>
  <c r="F10"/>
  <c r="H10" s="1"/>
  <c r="E28" i="12"/>
  <c r="F28"/>
  <c r="H28" s="1"/>
  <c r="Y40" i="8"/>
  <c r="E17" i="2"/>
  <c r="F17"/>
  <c r="H17" s="1"/>
  <c r="E13" i="3"/>
  <c r="F13"/>
  <c r="H13" s="1"/>
  <c r="E33" i="4"/>
  <c r="F33"/>
  <c r="H33" s="1"/>
  <c r="E9" i="5"/>
  <c r="F9"/>
  <c r="H9" s="1"/>
  <c r="E12"/>
  <c r="F12"/>
  <c r="H12" s="1"/>
  <c r="E20"/>
  <c r="F20"/>
  <c r="H20" s="1"/>
  <c r="E11" i="7"/>
  <c r="F11"/>
  <c r="H11" s="1"/>
  <c r="E39"/>
  <c r="F39"/>
  <c r="H39" s="1"/>
  <c r="E25" i="8"/>
  <c r="F25"/>
  <c r="H25" s="1"/>
  <c r="E19" i="10"/>
  <c r="F19"/>
  <c r="H19" s="1"/>
  <c r="E18" i="12"/>
  <c r="F18"/>
  <c r="H18" s="1"/>
  <c r="Y40" i="3"/>
  <c r="E11" i="2"/>
  <c r="F11"/>
  <c r="H11" s="1"/>
  <c r="F18" i="7"/>
  <c r="H18" s="1"/>
  <c r="E18"/>
  <c r="E27" i="8"/>
  <c r="F27"/>
  <c r="H27" s="1"/>
  <c r="E26" i="10"/>
  <c r="F26"/>
  <c r="H26" s="1"/>
  <c r="E34"/>
  <c r="F34"/>
  <c r="H34" s="1"/>
  <c r="F27" i="3"/>
  <c r="H27" s="1"/>
  <c r="E27"/>
  <c r="E32"/>
  <c r="F32"/>
  <c r="H32" s="1"/>
  <c r="E17" i="4"/>
  <c r="F17"/>
  <c r="H17" s="1"/>
  <c r="E28" i="5"/>
  <c r="F28"/>
  <c r="H28" s="1"/>
  <c r="E32" i="6"/>
  <c r="F32"/>
  <c r="H32" s="1"/>
  <c r="E9" i="9"/>
  <c r="F9"/>
  <c r="H9" s="1"/>
  <c r="E13" i="10"/>
  <c r="F13"/>
  <c r="H13" s="1"/>
  <c r="E16"/>
  <c r="F16"/>
  <c r="H16" s="1"/>
  <c r="E32"/>
  <c r="F32"/>
  <c r="H32" s="1"/>
  <c r="E35"/>
  <c r="F35"/>
  <c r="H35" s="1"/>
  <c r="E23" i="12"/>
  <c r="F23"/>
  <c r="H23" s="1"/>
  <c r="Y40"/>
  <c r="E12"/>
  <c r="F12"/>
  <c r="H12" s="1"/>
  <c r="E28" i="2"/>
  <c r="F28"/>
  <c r="H28" s="1"/>
  <c r="F21" i="9"/>
  <c r="H21" s="1"/>
  <c r="E21"/>
  <c r="E15" i="10"/>
  <c r="F15"/>
  <c r="H15" s="1"/>
  <c r="E16" i="1"/>
  <c r="F16"/>
  <c r="H16" s="1"/>
  <c r="E29"/>
  <c r="F29"/>
  <c r="H29" s="1"/>
  <c r="F37"/>
  <c r="H37" s="1"/>
  <c r="E37"/>
  <c r="E29" i="2"/>
  <c r="F29"/>
  <c r="H29" s="1"/>
  <c r="E34"/>
  <c r="F34"/>
  <c r="H34" s="1"/>
  <c r="E15" i="3"/>
  <c r="F15"/>
  <c r="H15" s="1"/>
  <c r="E30" i="4"/>
  <c r="F30"/>
  <c r="H30" s="1"/>
  <c r="E18" i="6"/>
  <c r="F18"/>
  <c r="H18" s="1"/>
  <c r="E34"/>
  <c r="F34"/>
  <c r="H34" s="1"/>
  <c r="E33" i="7"/>
  <c r="F33"/>
  <c r="H33" s="1"/>
  <c r="E16" i="8"/>
  <c r="F16"/>
  <c r="H16" s="1"/>
  <c r="E22" i="9"/>
  <c r="F22"/>
  <c r="H22" s="1"/>
  <c r="E24" i="10"/>
  <c r="F24"/>
  <c r="H24" s="1"/>
  <c r="AA40" i="12"/>
  <c r="Y40" i="1"/>
  <c r="Y40" i="10"/>
  <c r="E31" i="3"/>
  <c r="F31"/>
  <c r="H31" s="1"/>
  <c r="E21" i="2"/>
  <c r="F21"/>
  <c r="H21" s="1"/>
  <c r="E10" i="3"/>
  <c r="F10"/>
  <c r="H10" s="1"/>
  <c r="E37"/>
  <c r="F37"/>
  <c r="H37" s="1"/>
  <c r="E14" i="4"/>
  <c r="F14"/>
  <c r="H14" s="1"/>
  <c r="E38" i="5"/>
  <c r="F38"/>
  <c r="H38" s="1"/>
  <c r="E13" i="8"/>
  <c r="F13"/>
  <c r="H13" s="1"/>
  <c r="E16" i="9"/>
  <c r="F16"/>
  <c r="H16" s="1"/>
  <c r="E38"/>
  <c r="F38"/>
  <c r="H38" s="1"/>
  <c r="E25" i="11"/>
  <c r="F25"/>
  <c r="H25" s="1"/>
  <c r="E30"/>
  <c r="F30"/>
  <c r="H30" s="1"/>
  <c r="E22" i="12"/>
  <c r="F22"/>
  <c r="H22" s="1"/>
  <c r="E21" i="1"/>
  <c r="F21"/>
  <c r="H21" s="1"/>
  <c r="E36" i="2"/>
  <c r="F36"/>
  <c r="H36" s="1"/>
  <c r="E35" i="4"/>
  <c r="F35"/>
  <c r="H35" s="1"/>
  <c r="E26" i="6"/>
  <c r="F26"/>
  <c r="H26" s="1"/>
  <c r="E32" i="9"/>
  <c r="F32"/>
  <c r="H32" s="1"/>
  <c r="E9" i="11"/>
  <c r="F9"/>
  <c r="H9" s="1"/>
  <c r="E17"/>
  <c r="F17"/>
  <c r="H17" s="1"/>
  <c r="E35"/>
  <c r="F35"/>
  <c r="H35" s="1"/>
  <c r="E27" i="12"/>
  <c r="F27"/>
  <c r="H27" s="1"/>
  <c r="E32"/>
  <c r="F32"/>
  <c r="H32" s="1"/>
  <c r="F22" i="4"/>
  <c r="H22" s="1"/>
  <c r="F38"/>
  <c r="H38" s="1"/>
  <c r="F21" i="5"/>
  <c r="H21" s="1"/>
  <c r="F28" i="7"/>
  <c r="H28" s="1"/>
  <c r="F10" i="8"/>
  <c r="H10" s="1"/>
  <c r="F26"/>
  <c r="H26" s="1"/>
  <c r="F18" i="9"/>
  <c r="H18" s="1"/>
  <c r="F34" i="5"/>
  <c r="H34" s="1"/>
  <c r="F16" i="6"/>
  <c r="H16" s="1"/>
  <c r="F15" i="9"/>
  <c r="H15" s="1"/>
  <c r="F32" i="11"/>
  <c r="H32" s="1"/>
  <c r="F25" i="1"/>
  <c r="H25" s="1"/>
  <c r="F18" i="3"/>
  <c r="H18" s="1"/>
  <c r="F34"/>
  <c r="H34" s="1"/>
  <c r="F16" i="4"/>
  <c r="H16" s="1"/>
  <c r="F32"/>
  <c r="H32" s="1"/>
  <c r="F15" i="5"/>
  <c r="H15" s="1"/>
  <c r="F29" i="6"/>
  <c r="H29" s="1"/>
  <c r="F21" i="10"/>
  <c r="H21" s="1"/>
  <c r="F35" i="12"/>
  <c r="H35" s="1"/>
  <c r="W40" i="9"/>
  <c r="F19" i="1"/>
  <c r="H19" s="1"/>
  <c r="F35"/>
  <c r="H35" s="1"/>
  <c r="F33" i="2"/>
  <c r="H33" s="1"/>
  <c r="F28" i="3"/>
  <c r="H28" s="1"/>
  <c r="F10" i="4"/>
  <c r="H10" s="1"/>
  <c r="F26"/>
  <c r="H26" s="1"/>
  <c r="F25" i="5"/>
  <c r="H25" s="1"/>
  <c r="F23" i="6"/>
  <c r="H23" s="1"/>
  <c r="F16" i="7"/>
  <c r="H16" s="1"/>
  <c r="F32"/>
  <c r="H32" s="1"/>
  <c r="F14" i="8"/>
  <c r="H14" s="1"/>
  <c r="F14" i="2"/>
  <c r="H14" s="1"/>
  <c r="F9" i="3"/>
  <c r="H9" s="1"/>
  <c r="F23" i="4"/>
  <c r="H23" s="1"/>
  <c r="F19" i="9"/>
  <c r="H19" s="1"/>
  <c r="F35"/>
  <c r="H35" s="1"/>
  <c r="F28" i="10"/>
  <c r="H28" s="1"/>
  <c r="F20" i="11"/>
  <c r="H20" s="1"/>
  <c r="F36"/>
  <c r="H36" s="1"/>
  <c r="F29" i="12"/>
  <c r="H29" s="1"/>
  <c r="F24" i="2"/>
  <c r="H24" s="1"/>
  <c r="F19" i="3"/>
  <c r="H19" s="1"/>
  <c r="F35"/>
  <c r="H35" s="1"/>
  <c r="F23" i="7"/>
  <c r="H23" s="1"/>
  <c r="F22" i="10"/>
  <c r="H22" s="1"/>
  <c r="F38"/>
  <c r="H38" s="1"/>
  <c r="F11" i="6"/>
  <c r="H11" s="1"/>
  <c r="F36" i="7"/>
  <c r="H36" s="1"/>
  <c r="F27" i="11"/>
  <c r="H27" s="1"/>
  <c r="F20" i="1"/>
  <c r="H20" s="1"/>
  <c r="F36"/>
  <c r="H36" s="1"/>
  <c r="F29" i="3"/>
  <c r="H29" s="1"/>
  <c r="F11" i="4"/>
  <c r="H11" s="1"/>
  <c r="F27"/>
  <c r="H27" s="1"/>
  <c r="Y9" i="6"/>
  <c r="Y9" i="11"/>
  <c r="F31" i="2"/>
  <c r="H31" s="1"/>
  <c r="Y9" i="4"/>
  <c r="F23" i="5"/>
  <c r="H23" s="1"/>
  <c r="F21" i="6"/>
  <c r="H21" s="1"/>
  <c r="F14" i="7"/>
  <c r="H14" s="1"/>
  <c r="F30"/>
  <c r="H30" s="1"/>
  <c r="F12" i="8"/>
  <c r="H12" s="1"/>
  <c r="F28"/>
  <c r="H28" s="1"/>
  <c r="F20" i="9"/>
  <c r="H20" s="1"/>
  <c r="F29" i="10"/>
  <c r="H29" s="1"/>
  <c r="F30" i="12"/>
  <c r="H30" s="1"/>
  <c r="F11" i="1"/>
  <c r="H11" s="1"/>
  <c r="F27"/>
  <c r="H27" s="1"/>
  <c r="F9" i="2"/>
  <c r="H9" s="1"/>
  <c r="F25"/>
  <c r="H25" s="1"/>
  <c r="F20" i="3"/>
  <c r="H20" s="1"/>
  <c r="F36"/>
  <c r="H36" s="1"/>
  <c r="F18" i="4"/>
  <c r="H18" s="1"/>
  <c r="F34"/>
  <c r="H34" s="1"/>
  <c r="F17" i="5"/>
  <c r="H17" s="1"/>
  <c r="F33"/>
  <c r="H33" s="1"/>
  <c r="F15" i="6"/>
  <c r="H15" s="1"/>
  <c r="F31"/>
  <c r="H31" s="1"/>
  <c r="F24" i="7"/>
  <c r="H24" s="1"/>
  <c r="F22" i="8"/>
  <c r="H22" s="1"/>
  <c r="F38"/>
  <c r="H38" s="1"/>
  <c r="AA9" i="9"/>
  <c r="AA40" s="1"/>
  <c r="F14"/>
  <c r="H14" s="1"/>
  <c r="F30"/>
  <c r="H30" s="1"/>
  <c r="F23" i="10"/>
  <c r="H23" s="1"/>
  <c r="F39"/>
  <c r="H39" s="1"/>
  <c r="F15" i="11"/>
  <c r="H15" s="1"/>
  <c r="F31"/>
  <c r="H31" s="1"/>
  <c r="F24" i="12"/>
  <c r="H24" s="1"/>
  <c r="Y40" i="11" l="1"/>
  <c r="AA9"/>
  <c r="AA40" s="1"/>
  <c r="Y40" i="6"/>
  <c r="AA9"/>
  <c r="AA40" s="1"/>
  <c r="Y40" i="4"/>
  <c r="AA9"/>
</calcChain>
</file>

<file path=xl/sharedStrings.xml><?xml version="1.0" encoding="utf-8"?>
<sst xmlns="http://schemas.openxmlformats.org/spreadsheetml/2006/main" count="773" uniqueCount="93">
  <si>
    <t xml:space="preserve">JANEIRO DE 2021 </t>
  </si>
  <si>
    <t xml:space="preserve">                     INSTITUTO   ASTRONÔMICO   E   GEOFÍSICO   DA   UNIVERSIDADE   DE   SÃO   PAULO</t>
  </si>
  <si>
    <t>(digitado por Evaldo Gomes  )</t>
  </si>
  <si>
    <t>(digitado por Edvaldo Gomes  )</t>
  </si>
  <si>
    <t xml:space="preserve">(verificado por Edvaldo Gomes / sergio )  </t>
  </si>
  <si>
    <t xml:space="preserve">    DADOS  RELATIVOS  À  IRRADIAÇÃO  SOLAR  GLOBAL  E  À  DURAÇÃO  DO  BRILHO  SOLAR</t>
  </si>
  <si>
    <t>(verificado por Edvaldo Gomes / Sergio)</t>
  </si>
  <si>
    <t>DIA</t>
  </si>
  <si>
    <t xml:space="preserve">                 IRRADIAÇÃO  SOLAR  GLOBAL</t>
  </si>
  <si>
    <t xml:space="preserve">   DURAÇÃO  DO  BRILHO  SOLAR</t>
  </si>
  <si>
    <t>área</t>
  </si>
  <si>
    <t>fator</t>
  </si>
  <si>
    <t>total</t>
  </si>
  <si>
    <t>estimativa</t>
  </si>
  <si>
    <t>topo da</t>
  </si>
  <si>
    <t>transmissão</t>
  </si>
  <si>
    <t>duração</t>
  </si>
  <si>
    <t>insolação</t>
  </si>
  <si>
    <t>média</t>
  </si>
  <si>
    <t>diário de</t>
  </si>
  <si>
    <t>diário</t>
  </si>
  <si>
    <t>piranômetro</t>
  </si>
  <si>
    <t>atmosfera</t>
  </si>
  <si>
    <t>global</t>
  </si>
  <si>
    <t xml:space="preserve">                duração  horária  (horas)</t>
  </si>
  <si>
    <t>totais  (horas)</t>
  </si>
  <si>
    <t>teórica (hs)</t>
  </si>
  <si>
    <t>relativa (%)</t>
  </si>
  <si>
    <t>(cm2)</t>
  </si>
  <si>
    <t>correção</t>
  </si>
  <si>
    <t>(cal / cm2)</t>
  </si>
  <si>
    <t>(MJ / m2)</t>
  </si>
  <si>
    <t>(%)</t>
  </si>
  <si>
    <t>05h-06h</t>
  </si>
  <si>
    <t>06h-07h</t>
  </si>
  <si>
    <t>07h-08h</t>
  </si>
  <si>
    <t>08h-09h</t>
  </si>
  <si>
    <t>09h-10h</t>
  </si>
  <si>
    <t>10h-11h</t>
  </si>
  <si>
    <t>11h-12h</t>
  </si>
  <si>
    <t>12h-13h</t>
  </si>
  <si>
    <t>13h-14h</t>
  </si>
  <si>
    <t>14h-15h</t>
  </si>
  <si>
    <t>15h-16h</t>
  </si>
  <si>
    <t>16h-17h</t>
  </si>
  <si>
    <t>17h-18h</t>
  </si>
  <si>
    <t>18h-19h</t>
  </si>
  <si>
    <t>manhã</t>
  </si>
  <si>
    <t>tarde</t>
  </si>
  <si>
    <t>dia</t>
  </si>
  <si>
    <t xml:space="preserve">"área média": valor médio obtido a partir de diversas planimetrias sobre o actinograma </t>
  </si>
  <si>
    <t>"fator diário de correção": fator multiplicativo recomendado pelo fabricante do actinógrafo, dado por 0,734+0,00641*ho-0,000033*ho*ho, sendo ho a elevação solar na passagem meridiana</t>
  </si>
  <si>
    <t>"total diário": produto entre (1) a área média, (2) o fator de correção diário, (3) a constante 14,25 (quantidade de cal/cm2 para cada cm2 de área planimetrada), e (4) o fator 1,022 (obediência à World Radiometric Reference)</t>
  </si>
  <si>
    <t>"estimativa piranômetro": irradiação diária que seria medida com um piranômetro Eppley equipado de filtro Schott WG7, dada por (7,86+1,25*A)*4,1868/100, sendo A a irradiação obtida com o actinógrafo</t>
  </si>
  <si>
    <t>"topo da atmosfera": valor teórico da irradiação diária solar incidente no topo da atmosfera, para uma constante solar de 1367 W/m2</t>
  </si>
  <si>
    <t>"transmissão global": quociente entre as irradiações "estimativa piranômetro" e "topo da atmosfera"</t>
  </si>
  <si>
    <t>"insolação relativa": quociente entre o total diário observado para a duração de brilho solar e o respectivo valor teórico, desprezando-se possíveis efeitos associados à refração atmosférica</t>
  </si>
  <si>
    <r>
      <t xml:space="preserve">(*) valores </t>
    </r>
    <r>
      <rPr>
        <sz val="12"/>
        <color indexed="10"/>
        <rFont val="Arial"/>
        <family val="2"/>
      </rPr>
      <t>-99,0</t>
    </r>
    <r>
      <rPr>
        <sz val="12"/>
        <rFont val="Arial"/>
        <family val="2"/>
      </rPr>
      <t xml:space="preserve"> indicam falha no registro do actinógrafo</t>
    </r>
  </si>
  <si>
    <t>FEVEREIRO DE 2021</t>
  </si>
  <si>
    <t>(digitado por Edvaldo Gomes /   )</t>
  </si>
  <si>
    <t>(digitado por Edvaldo Gomes / )</t>
  </si>
  <si>
    <t xml:space="preserve">(verificado por Edvaldo Gomes / Sergio )  </t>
  </si>
  <si>
    <t>(verificado por  Edvaldo Gomes /Sergio)</t>
  </si>
  <si>
    <t>MARÇO DE 2021</t>
  </si>
  <si>
    <t>(digitado por Edvaldo Gomes )</t>
  </si>
  <si>
    <t xml:space="preserve">(verificado por  Edvaldo Gomes /Sergio  )  </t>
  </si>
  <si>
    <t>(verificado por Edvaldo Gomes /Sergio)</t>
  </si>
  <si>
    <t xml:space="preserve"> </t>
  </si>
  <si>
    <t>ABRIL DE 2021</t>
  </si>
  <si>
    <t xml:space="preserve">(verificado por Edvaldo Gomes /Sergio  )  </t>
  </si>
  <si>
    <t>(verificado por Edvaldo Gomes / Sergio )</t>
  </si>
  <si>
    <r>
      <t xml:space="preserve">(*) valores </t>
    </r>
    <r>
      <rPr>
        <sz val="12"/>
        <color indexed="10"/>
        <rFont val="Arial"/>
        <family val="2"/>
      </rPr>
      <t>-0,0</t>
    </r>
    <r>
      <rPr>
        <sz val="12"/>
        <rFont val="Arial"/>
        <family val="2"/>
      </rPr>
      <t xml:space="preserve"> indicam falha no registro do heliógrafo</t>
    </r>
  </si>
  <si>
    <t xml:space="preserve">MAIO DE 2021 </t>
  </si>
  <si>
    <t>Verif dia 1 até  31</t>
  </si>
  <si>
    <t>(verificado por Edvaldo Gome/Sergio  )</t>
  </si>
  <si>
    <t xml:space="preserve"> JUNHO DE 2021 </t>
  </si>
  <si>
    <t>JULHO DE 2021</t>
  </si>
  <si>
    <t>veri dia 1 até 31</t>
  </si>
  <si>
    <t>(digitado por Edvaldo Gomes / Sergio)</t>
  </si>
  <si>
    <t xml:space="preserve">(verificado por Edvaldo Gomes /Sergio )  </t>
  </si>
  <si>
    <t xml:space="preserve"> AGOSTO DE 2021 </t>
  </si>
  <si>
    <t>VERIF DIA 1 ATÉ 31</t>
  </si>
  <si>
    <t>(verificado por Edvaldo Gomes /Sergio )</t>
  </si>
  <si>
    <t>SETEMBRO DE 2021</t>
  </si>
  <si>
    <t xml:space="preserve">(verificado por Edvaldo Gomes )  </t>
  </si>
  <si>
    <t>(verificado por Edvaldo Gomes )</t>
  </si>
  <si>
    <t xml:space="preserve">OUTUBRO DE 2021 </t>
  </si>
  <si>
    <t>(digitado por Edvaldo Gomes   )</t>
  </si>
  <si>
    <t xml:space="preserve">NOVEMBRO DE 2021 </t>
  </si>
  <si>
    <t xml:space="preserve">(verificado por Edvaldo Gomes  )  </t>
  </si>
  <si>
    <t xml:space="preserve">  DEZEMBRO DE 2021 </t>
  </si>
  <si>
    <t>(digitado por Edvaldo Gomes    )</t>
  </si>
  <si>
    <t xml:space="preserve">(verificado por  Edvaldo Gomes  )  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</si>
</sst>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9"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2"/>
      <color indexed="8"/>
      <name val="Arial"/>
      <family val="2"/>
    </font>
    <font>
      <sz val="12"/>
      <color rgb="FFFF0000"/>
      <name val="Arial"/>
      <family val="2"/>
    </font>
    <font>
      <sz val="12"/>
      <color indexed="10"/>
      <name val="Arial"/>
      <family val="2"/>
    </font>
    <font>
      <b/>
      <sz val="12"/>
      <color rgb="FFFF0000"/>
      <name val="Arial"/>
      <family val="2"/>
    </font>
    <font>
      <sz val="10"/>
      <color indexed="10"/>
      <name val="Arial"/>
      <family val="2"/>
    </font>
    <font>
      <sz val="12"/>
      <color theme="1"/>
      <name val="Arial"/>
      <family val="2"/>
    </font>
    <font>
      <sz val="10"/>
      <color rgb="FFFF0000"/>
      <name val="Arial"/>
      <family val="2"/>
    </font>
    <font>
      <b/>
      <sz val="12"/>
      <color indexed="10"/>
      <name val="Arial"/>
      <family val="2"/>
    </font>
    <font>
      <sz val="12"/>
      <color indexed="9"/>
      <name val="Arial"/>
      <family val="2"/>
    </font>
    <font>
      <b/>
      <sz val="10"/>
      <color rgb="FFFF0000"/>
      <name val="Arial"/>
      <family val="2"/>
    </font>
    <font>
      <b/>
      <i/>
      <u/>
      <sz val="10"/>
      <color indexed="10"/>
      <name val="Arial"/>
      <family val="2"/>
    </font>
    <font>
      <i/>
      <u/>
      <sz val="10"/>
      <name val="Arial"/>
      <family val="2"/>
    </font>
    <font>
      <b/>
      <sz val="10"/>
      <color indexed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42"/>
        <bgColor indexed="34"/>
      </patternFill>
    </fill>
    <fill>
      <patternFill patternType="solid">
        <fgColor rgb="FFCCFFCC"/>
        <bgColor indexed="27"/>
      </patternFill>
    </fill>
    <fill>
      <patternFill patternType="solid">
        <fgColor rgb="FFCCFFCC"/>
        <bgColor indexed="34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27"/>
      </patternFill>
    </fill>
    <fill>
      <patternFill patternType="solid">
        <fgColor theme="0"/>
        <bgColor indexed="27"/>
      </patternFill>
    </fill>
  </fills>
  <borders count="94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/>
      <diagonal/>
    </border>
    <border>
      <left style="double">
        <color indexed="63"/>
      </left>
      <right/>
      <top style="double">
        <color indexed="63"/>
      </top>
      <bottom style="medium">
        <color indexed="63"/>
      </bottom>
      <diagonal/>
    </border>
    <border>
      <left/>
      <right/>
      <top style="double">
        <color indexed="63"/>
      </top>
      <bottom/>
      <diagonal/>
    </border>
    <border>
      <left/>
      <right/>
      <top style="double">
        <color indexed="63"/>
      </top>
      <bottom style="medium">
        <color indexed="63"/>
      </bottom>
      <diagonal/>
    </border>
    <border>
      <left/>
      <right style="double">
        <color indexed="63"/>
      </right>
      <top style="double">
        <color indexed="63"/>
      </top>
      <bottom style="medium">
        <color indexed="63"/>
      </bottom>
      <diagonal/>
    </border>
    <border>
      <left style="double">
        <color indexed="63"/>
      </left>
      <right style="double">
        <color indexed="63"/>
      </right>
      <top/>
      <bottom/>
      <diagonal/>
    </border>
    <border>
      <left style="double">
        <color indexed="63"/>
      </left>
      <right style="thin">
        <color indexed="63"/>
      </right>
      <top style="medium">
        <color indexed="63"/>
      </top>
      <bottom/>
      <diagonal/>
    </border>
    <border>
      <left style="thin">
        <color indexed="63"/>
      </left>
      <right/>
      <top style="medium">
        <color indexed="63"/>
      </top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/>
      <top/>
      <bottom/>
      <diagonal/>
    </border>
    <border>
      <left style="double">
        <color indexed="63"/>
      </left>
      <right/>
      <top style="medium">
        <color indexed="63"/>
      </top>
      <bottom/>
      <diagonal/>
    </border>
    <border>
      <left/>
      <right/>
      <top style="medium">
        <color indexed="63"/>
      </top>
      <bottom/>
      <diagonal/>
    </border>
    <border>
      <left/>
      <right style="medium">
        <color indexed="63"/>
      </right>
      <top style="medium">
        <color indexed="63"/>
      </top>
      <bottom/>
      <diagonal/>
    </border>
    <border>
      <left style="medium">
        <color indexed="63"/>
      </left>
      <right/>
      <top style="medium">
        <color indexed="63"/>
      </top>
      <bottom/>
      <diagonal/>
    </border>
    <border>
      <left style="medium">
        <color indexed="63"/>
      </left>
      <right style="double">
        <color indexed="63"/>
      </right>
      <top style="medium">
        <color indexed="63"/>
      </top>
      <bottom/>
      <diagonal/>
    </border>
    <border>
      <left style="double">
        <color indexed="63"/>
      </left>
      <right/>
      <top/>
      <bottom/>
      <diagonal/>
    </border>
    <border>
      <left style="double">
        <color indexed="63"/>
      </left>
      <right style="thin">
        <color indexed="63"/>
      </right>
      <top/>
      <bottom/>
      <diagonal/>
    </border>
    <border>
      <left style="double">
        <color indexed="63"/>
      </left>
      <right/>
      <top/>
      <bottom style="medium">
        <color indexed="63"/>
      </bottom>
      <diagonal/>
    </border>
    <border>
      <left/>
      <right style="medium">
        <color indexed="63"/>
      </right>
      <top/>
      <bottom style="medium">
        <color indexed="63"/>
      </bottom>
      <diagonal/>
    </border>
    <border>
      <left style="medium">
        <color indexed="63"/>
      </left>
      <right/>
      <top/>
      <bottom style="medium">
        <color indexed="63"/>
      </bottom>
      <diagonal/>
    </border>
    <border>
      <left/>
      <right/>
      <top/>
      <bottom style="medium">
        <color indexed="63"/>
      </bottom>
      <diagonal/>
    </border>
    <border>
      <left style="medium">
        <color indexed="63"/>
      </left>
      <right style="double">
        <color indexed="63"/>
      </right>
      <top/>
      <bottom style="medium">
        <color indexed="63"/>
      </bottom>
      <diagonal/>
    </border>
    <border>
      <left style="double">
        <color indexed="63"/>
      </left>
      <right style="double">
        <color indexed="63"/>
      </right>
      <top/>
      <bottom style="medium">
        <color indexed="63"/>
      </bottom>
      <diagonal/>
    </border>
    <border>
      <left style="double">
        <color indexed="63"/>
      </left>
      <right style="thin">
        <color indexed="63"/>
      </right>
      <top/>
      <bottom style="medium">
        <color indexed="63"/>
      </bottom>
      <diagonal/>
    </border>
    <border>
      <left style="thin">
        <color indexed="63"/>
      </left>
      <right style="thin">
        <color indexed="63"/>
      </right>
      <top/>
      <bottom style="medium">
        <color indexed="63"/>
      </bottom>
      <diagonal/>
    </border>
    <border>
      <left style="thin">
        <color indexed="63"/>
      </left>
      <right/>
      <top/>
      <bottom style="medium">
        <color indexed="63"/>
      </bottom>
      <diagonal/>
    </border>
    <border>
      <left style="double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/>
      <right style="thin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/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3"/>
      </top>
      <bottom/>
      <diagonal/>
    </border>
    <border>
      <left style="medium">
        <color indexed="63"/>
      </left>
      <right/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double">
        <color indexed="63"/>
      </right>
      <top style="medium">
        <color indexed="63"/>
      </top>
      <bottom style="medium">
        <color indexed="63"/>
      </bottom>
      <diagonal/>
    </border>
    <border>
      <left style="double">
        <color indexed="63"/>
      </left>
      <right style="double">
        <color indexed="63"/>
      </right>
      <top/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3"/>
      </top>
      <bottom style="thin">
        <color indexed="63"/>
      </bottom>
      <diagonal/>
    </border>
    <border>
      <left/>
      <right/>
      <top/>
      <bottom style="thin">
        <color indexed="63"/>
      </bottom>
      <diagonal/>
    </border>
    <border>
      <left style="thin">
        <color indexed="63"/>
      </left>
      <right/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 style="double">
        <color indexed="63"/>
      </right>
      <top style="medium">
        <color indexed="63"/>
      </top>
      <bottom style="thin">
        <color indexed="63"/>
      </bottom>
      <diagonal/>
    </border>
    <border>
      <left/>
      <right style="thin">
        <color indexed="63"/>
      </right>
      <top style="medium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 style="medium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3"/>
      </left>
      <right/>
      <top/>
      <bottom style="thin">
        <color indexed="63"/>
      </bottom>
      <diagonal/>
    </border>
    <border>
      <left style="medium">
        <color indexed="63"/>
      </left>
      <right style="double">
        <color indexed="63"/>
      </right>
      <top/>
      <bottom style="thin">
        <color indexed="63"/>
      </bottom>
      <diagonal/>
    </border>
    <border>
      <left style="thin">
        <color indexed="63"/>
      </left>
      <right style="double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 style="thin">
        <color indexed="63"/>
      </top>
      <bottom/>
      <diagonal/>
    </border>
    <border>
      <left style="double">
        <color indexed="63"/>
      </left>
      <right style="double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/>
      <right style="thin">
        <color indexed="63"/>
      </right>
      <top style="thin">
        <color indexed="63"/>
      </top>
      <bottom/>
      <diagonal/>
    </border>
    <border>
      <left style="double">
        <color indexed="63"/>
      </left>
      <right style="double">
        <color indexed="63"/>
      </right>
      <top style="thin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double">
        <color indexed="63"/>
      </bottom>
      <diagonal/>
    </border>
    <border>
      <left/>
      <right/>
      <top style="thin">
        <color indexed="63"/>
      </top>
      <bottom style="double">
        <color indexed="63"/>
      </bottom>
      <diagonal/>
    </border>
    <border>
      <left style="thin">
        <color indexed="63"/>
      </left>
      <right/>
      <top style="thin">
        <color indexed="63"/>
      </top>
      <bottom style="double">
        <color indexed="63"/>
      </bottom>
      <diagonal/>
    </border>
    <border>
      <left style="thin">
        <color indexed="63"/>
      </left>
      <right style="double">
        <color indexed="63"/>
      </right>
      <top style="thin">
        <color indexed="63"/>
      </top>
      <bottom style="double">
        <color indexed="63"/>
      </bottom>
      <diagonal/>
    </border>
    <border>
      <left/>
      <right style="thin">
        <color indexed="63"/>
      </right>
      <top style="thin">
        <color indexed="63"/>
      </top>
      <bottom style="double">
        <color indexed="63"/>
      </bottom>
      <diagonal/>
    </border>
    <border>
      <left style="thin">
        <color indexed="63"/>
      </left>
      <right style="medium">
        <color indexed="63"/>
      </right>
      <top style="thin">
        <color indexed="63"/>
      </top>
      <bottom style="double">
        <color indexed="63"/>
      </bottom>
      <diagonal/>
    </border>
    <border>
      <left style="medium">
        <color indexed="63"/>
      </left>
      <right style="thin">
        <color indexed="63"/>
      </right>
      <top style="thin">
        <color indexed="63"/>
      </top>
      <bottom style="double">
        <color indexed="63"/>
      </bottom>
      <diagonal/>
    </border>
    <border>
      <left style="medium">
        <color indexed="63"/>
      </left>
      <right/>
      <top/>
      <bottom/>
      <diagonal/>
    </border>
    <border>
      <left style="medium">
        <color indexed="63"/>
      </left>
      <right style="double">
        <color indexed="63"/>
      </right>
      <top/>
      <bottom/>
      <diagonal/>
    </border>
    <border>
      <left style="thin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 style="double">
        <color indexed="63"/>
      </left>
      <right style="thin">
        <color indexed="63"/>
      </right>
      <top style="medium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 style="medium">
        <color indexed="63"/>
      </top>
      <bottom/>
      <diagonal/>
    </border>
    <border>
      <left style="medium">
        <color indexed="63"/>
      </left>
      <right/>
      <top style="thin">
        <color indexed="63"/>
      </top>
      <bottom/>
      <diagonal/>
    </border>
    <border>
      <left style="medium">
        <color indexed="63"/>
      </left>
      <right style="double">
        <color indexed="63"/>
      </right>
      <top style="thin">
        <color indexed="63"/>
      </top>
      <bottom/>
      <diagonal/>
    </border>
    <border>
      <left style="thin">
        <color indexed="63"/>
      </left>
      <right style="medium">
        <color indexed="63"/>
      </right>
      <top/>
      <bottom style="thin">
        <color indexed="63"/>
      </bottom>
      <diagonal/>
    </border>
    <border>
      <left style="double">
        <color indexed="63"/>
      </left>
      <right style="thin">
        <color indexed="63"/>
      </right>
      <top style="thin">
        <color indexed="63"/>
      </top>
      <bottom/>
      <diagonal/>
    </border>
    <border>
      <left style="double">
        <color indexed="63"/>
      </left>
      <right style="thin">
        <color indexed="63"/>
      </right>
      <top style="thin">
        <color indexed="63"/>
      </top>
      <bottom style="double">
        <color indexed="63"/>
      </bottom>
      <diagonal/>
    </border>
    <border>
      <left style="medium">
        <color indexed="63"/>
      </left>
      <right style="medium">
        <color indexed="63"/>
      </right>
      <top style="thin">
        <color indexed="63"/>
      </top>
      <bottom style="double">
        <color indexed="63"/>
      </bottom>
      <diagonal/>
    </border>
    <border>
      <left/>
      <right style="double">
        <color indexed="63"/>
      </right>
      <top style="thin">
        <color indexed="63"/>
      </top>
      <bottom style="double">
        <color indexed="63"/>
      </bottom>
      <diagonal/>
    </border>
    <border>
      <left/>
      <right style="thin">
        <color indexed="63"/>
      </right>
      <top style="medium">
        <color indexed="63"/>
      </top>
      <bottom/>
      <diagonal/>
    </border>
    <border>
      <left style="double">
        <color indexed="63"/>
      </left>
      <right style="thin">
        <color indexed="63"/>
      </right>
      <top/>
      <bottom style="thin">
        <color indexed="63"/>
      </bottom>
      <diagonal/>
    </border>
    <border>
      <left style="double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/>
      <bottom/>
      <diagonal/>
    </border>
    <border>
      <left style="medium">
        <color indexed="63"/>
      </left>
      <right style="medium">
        <color indexed="63"/>
      </right>
      <top style="thin">
        <color indexed="63"/>
      </top>
      <bottom/>
      <diagonal/>
    </border>
    <border>
      <left style="thin">
        <color indexed="63"/>
      </left>
      <right/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thin">
        <color indexed="63"/>
      </right>
      <top style="medium">
        <color indexed="63"/>
      </top>
      <bottom/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/>
      <diagonal/>
    </border>
    <border>
      <left style="medium">
        <color indexed="63"/>
      </left>
      <right style="thin">
        <color indexed="63"/>
      </right>
      <top style="thin">
        <color indexed="63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3"/>
      </left>
      <right style="medium">
        <color indexed="63"/>
      </right>
      <top style="thin">
        <color indexed="63"/>
      </top>
      <bottom style="double">
        <color indexed="64"/>
      </bottom>
      <diagonal/>
    </border>
    <border>
      <left/>
      <right style="thin">
        <color indexed="63"/>
      </right>
      <top/>
      <bottom/>
      <diagonal/>
    </border>
    <border>
      <left/>
      <right style="medium">
        <color indexed="63"/>
      </right>
      <top/>
      <bottom/>
      <diagonal/>
    </border>
    <border>
      <left/>
      <right style="medium">
        <color indexed="63"/>
      </right>
      <top style="thin">
        <color indexed="63"/>
      </top>
      <bottom style="thin">
        <color indexed="63"/>
      </bottom>
      <diagonal/>
    </border>
    <border>
      <left/>
      <right style="medium">
        <color indexed="63"/>
      </right>
      <top style="thin">
        <color indexed="63"/>
      </top>
      <bottom style="double">
        <color indexed="63"/>
      </bottom>
      <diagonal/>
    </border>
    <border>
      <left/>
      <right style="medium">
        <color indexed="63"/>
      </right>
      <top style="medium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/>
      <bottom style="double">
        <color indexed="63"/>
      </bottom>
      <diagonal/>
    </border>
    <border>
      <left/>
      <right style="medium">
        <color indexed="63"/>
      </right>
      <top style="thin">
        <color indexed="63"/>
      </top>
      <bottom/>
      <diagonal/>
    </border>
  </borders>
  <cellStyleXfs count="3">
    <xf numFmtId="0" fontId="0" fillId="0" borderId="0"/>
    <xf numFmtId="9" fontId="1" fillId="0" borderId="0" applyFill="0" applyBorder="0" applyAlignment="0" applyProtection="0"/>
    <xf numFmtId="0" fontId="1" fillId="0" borderId="0" applyNumberFormat="0"/>
  </cellStyleXfs>
  <cellXfs count="226">
    <xf numFmtId="0" fontId="0" fillId="0" borderId="0" xfId="0"/>
    <xf numFmtId="0" fontId="2" fillId="2" borderId="0" xfId="2" applyFont="1" applyFill="1" applyAlignment="1">
      <alignment horizontal="left"/>
    </xf>
    <xf numFmtId="0" fontId="2" fillId="2" borderId="0" xfId="2" applyFont="1" applyFill="1" applyAlignment="1">
      <alignment horizontal="right"/>
    </xf>
    <xf numFmtId="0" fontId="1" fillId="3" borderId="0" xfId="2" applyFill="1"/>
    <xf numFmtId="0" fontId="2" fillId="3" borderId="0" xfId="2" applyFont="1" applyFill="1" applyAlignment="1">
      <alignment horizontal="left"/>
    </xf>
    <xf numFmtId="0" fontId="3" fillId="3" borderId="0" xfId="2" applyFont="1" applyFill="1" applyAlignment="1">
      <alignment horizontal="center"/>
    </xf>
    <xf numFmtId="0" fontId="2" fillId="3" borderId="0" xfId="2" applyFont="1" applyFill="1"/>
    <xf numFmtId="0" fontId="1" fillId="0" borderId="0" xfId="2"/>
    <xf numFmtId="0" fontId="0" fillId="2" borderId="0" xfId="2" applyFont="1" applyFill="1" applyAlignment="1">
      <alignment horizontal="left"/>
    </xf>
    <xf numFmtId="0" fontId="0" fillId="3" borderId="0" xfId="2" applyFont="1" applyFill="1" applyAlignment="1">
      <alignment horizontal="left"/>
    </xf>
    <xf numFmtId="0" fontId="4" fillId="3" borderId="1" xfId="2" applyFont="1" applyFill="1" applyBorder="1" applyAlignment="1">
      <alignment horizontal="center"/>
    </xf>
    <xf numFmtId="0" fontId="1" fillId="3" borderId="2" xfId="2" applyFill="1" applyBorder="1"/>
    <xf numFmtId="0" fontId="4" fillId="3" borderId="3" xfId="2" applyFont="1" applyFill="1" applyBorder="1" applyAlignment="1">
      <alignment horizontal="left"/>
    </xf>
    <xf numFmtId="0" fontId="1" fillId="3" borderId="4" xfId="2" applyFill="1" applyBorder="1"/>
    <xf numFmtId="0" fontId="4" fillId="3" borderId="4" xfId="2" applyFont="1" applyFill="1" applyBorder="1" applyAlignment="1">
      <alignment horizontal="center"/>
    </xf>
    <xf numFmtId="0" fontId="1" fillId="3" borderId="5" xfId="2" applyFill="1" applyBorder="1"/>
    <xf numFmtId="0" fontId="4" fillId="3" borderId="3" xfId="2" applyFont="1" applyFill="1" applyBorder="1" applyAlignment="1">
      <alignment horizontal="center"/>
    </xf>
    <xf numFmtId="0" fontId="4" fillId="3" borderId="3" xfId="2" applyFont="1" applyFill="1" applyBorder="1"/>
    <xf numFmtId="0" fontId="5" fillId="3" borderId="5" xfId="2" applyFont="1" applyFill="1" applyBorder="1" applyAlignment="1">
      <alignment horizontal="center"/>
    </xf>
    <xf numFmtId="0" fontId="1" fillId="3" borderId="6" xfId="2" applyFill="1" applyBorder="1" applyAlignment="1">
      <alignment horizontal="center" vertical="top" wrapText="1"/>
    </xf>
    <xf numFmtId="0" fontId="5" fillId="3" borderId="7" xfId="2" applyFont="1" applyFill="1" applyBorder="1" applyAlignment="1">
      <alignment horizontal="center"/>
    </xf>
    <xf numFmtId="0" fontId="5" fillId="3" borderId="8" xfId="2" applyFont="1" applyFill="1" applyBorder="1" applyAlignment="1">
      <alignment horizontal="center"/>
    </xf>
    <xf numFmtId="0" fontId="5" fillId="3" borderId="9" xfId="2" applyFont="1" applyFill="1" applyBorder="1" applyAlignment="1">
      <alignment horizontal="center"/>
    </xf>
    <xf numFmtId="0" fontId="5" fillId="3" borderId="10" xfId="2" applyFont="1" applyFill="1" applyBorder="1" applyAlignment="1">
      <alignment horizontal="center"/>
    </xf>
    <xf numFmtId="0" fontId="5" fillId="3" borderId="11" xfId="2" applyFont="1" applyFill="1" applyBorder="1" applyAlignment="1">
      <alignment horizontal="left"/>
    </xf>
    <xf numFmtId="0" fontId="1" fillId="3" borderId="12" xfId="2" applyFill="1" applyBorder="1"/>
    <xf numFmtId="0" fontId="1" fillId="3" borderId="12" xfId="2" applyFill="1" applyBorder="1" applyAlignment="1">
      <alignment horizontal="center"/>
    </xf>
    <xf numFmtId="0" fontId="1" fillId="3" borderId="13" xfId="2" applyFill="1" applyBorder="1" applyAlignment="1">
      <alignment horizontal="center"/>
    </xf>
    <xf numFmtId="0" fontId="1" fillId="3" borderId="14" xfId="2" applyFill="1" applyBorder="1" applyAlignment="1">
      <alignment horizontal="center"/>
    </xf>
    <xf numFmtId="0" fontId="0" fillId="3" borderId="12" xfId="2" applyFont="1" applyFill="1" applyBorder="1" applyAlignment="1">
      <alignment horizontal="center"/>
    </xf>
    <xf numFmtId="0" fontId="0" fillId="3" borderId="13" xfId="2" applyFont="1" applyFill="1" applyBorder="1" applyAlignment="1">
      <alignment horizontal="center"/>
    </xf>
    <xf numFmtId="0" fontId="5" fillId="3" borderId="14" xfId="2" applyFont="1" applyFill="1" applyBorder="1" applyAlignment="1">
      <alignment horizontal="center"/>
    </xf>
    <xf numFmtId="0" fontId="5" fillId="3" borderId="15" xfId="2" applyFont="1" applyFill="1" applyBorder="1" applyAlignment="1">
      <alignment horizontal="center"/>
    </xf>
    <xf numFmtId="0" fontId="1" fillId="3" borderId="16" xfId="2" applyFill="1" applyBorder="1" applyAlignment="1">
      <alignment horizontal="center" vertical="top" wrapText="1"/>
    </xf>
    <xf numFmtId="0" fontId="5" fillId="3" borderId="17" xfId="2" applyFont="1" applyFill="1" applyBorder="1" applyAlignment="1">
      <alignment horizontal="center"/>
    </xf>
    <xf numFmtId="0" fontId="5" fillId="3" borderId="0" xfId="2" applyFont="1" applyFill="1" applyAlignment="1">
      <alignment horizontal="center"/>
    </xf>
    <xf numFmtId="0" fontId="5" fillId="3" borderId="18" xfId="2" applyFont="1" applyFill="1" applyBorder="1" applyAlignment="1">
      <alignment horizontal="center"/>
    </xf>
    <xf numFmtId="0" fontId="4" fillId="3" borderId="19" xfId="2" applyFont="1" applyFill="1" applyBorder="1" applyAlignment="1">
      <alignment horizontal="left"/>
    </xf>
    <xf numFmtId="0" fontId="5" fillId="3" borderId="20" xfId="2" applyFont="1" applyFill="1" applyBorder="1" applyAlignment="1">
      <alignment horizontal="left"/>
    </xf>
    <xf numFmtId="0" fontId="5" fillId="3" borderId="21" xfId="2" applyFont="1" applyFill="1" applyBorder="1" applyAlignment="1">
      <alignment horizontal="center"/>
    </xf>
    <xf numFmtId="0" fontId="1" fillId="3" borderId="19" xfId="2" applyFill="1" applyBorder="1" applyAlignment="1">
      <alignment horizontal="center"/>
    </xf>
    <xf numFmtId="0" fontId="5" fillId="3" borderId="20" xfId="2" applyFont="1" applyFill="1" applyBorder="1" applyAlignment="1">
      <alignment horizontal="center"/>
    </xf>
    <xf numFmtId="0" fontId="5" fillId="3" borderId="22" xfId="2" applyFont="1" applyFill="1" applyBorder="1" applyAlignment="1">
      <alignment horizontal="center"/>
    </xf>
    <xf numFmtId="9" fontId="0" fillId="3" borderId="23" xfId="1" applyFont="1" applyFill="1" applyBorder="1" applyAlignment="1">
      <alignment horizontal="center" vertical="top" wrapText="1"/>
    </xf>
    <xf numFmtId="0" fontId="5" fillId="3" borderId="24" xfId="2" applyFont="1" applyFill="1" applyBorder="1" applyAlignment="1">
      <alignment horizontal="center"/>
    </xf>
    <xf numFmtId="0" fontId="5" fillId="3" borderId="25" xfId="2" applyFont="1" applyFill="1" applyBorder="1" applyAlignment="1">
      <alignment horizontal="center"/>
    </xf>
    <xf numFmtId="0" fontId="5" fillId="3" borderId="26" xfId="2" applyFont="1" applyFill="1" applyBorder="1" applyAlignment="1">
      <alignment horizontal="center"/>
    </xf>
    <xf numFmtId="0" fontId="5" fillId="3" borderId="27" xfId="2" applyFont="1" applyFill="1" applyBorder="1" applyAlignment="1">
      <alignment horizontal="center"/>
    </xf>
    <xf numFmtId="0" fontId="5" fillId="3" borderId="28" xfId="2" applyFont="1" applyFill="1" applyBorder="1" applyAlignment="1">
      <alignment horizontal="center"/>
    </xf>
    <xf numFmtId="0" fontId="5" fillId="3" borderId="29" xfId="2" applyFont="1" applyFill="1" applyBorder="1" applyAlignment="1">
      <alignment horizontal="center"/>
    </xf>
    <xf numFmtId="0" fontId="5" fillId="3" borderId="30" xfId="2" applyFont="1" applyFill="1" applyBorder="1" applyAlignment="1">
      <alignment horizontal="left"/>
    </xf>
    <xf numFmtId="0" fontId="5" fillId="3" borderId="31" xfId="2" applyFont="1" applyFill="1" applyBorder="1" applyAlignment="1">
      <alignment horizontal="center"/>
    </xf>
    <xf numFmtId="0" fontId="5" fillId="3" borderId="13" xfId="2" applyFont="1" applyFill="1" applyBorder="1" applyAlignment="1">
      <alignment horizontal="center"/>
    </xf>
    <xf numFmtId="0" fontId="5" fillId="3" borderId="32" xfId="2" applyFont="1" applyFill="1" applyBorder="1" applyAlignment="1">
      <alignment horizontal="center"/>
    </xf>
    <xf numFmtId="0" fontId="5" fillId="3" borderId="33" xfId="2" applyFont="1" applyFill="1" applyBorder="1" applyAlignment="1">
      <alignment horizontal="center"/>
    </xf>
    <xf numFmtId="0" fontId="3" fillId="4" borderId="34" xfId="2" applyFont="1" applyFill="1" applyBorder="1" applyAlignment="1">
      <alignment horizontal="center"/>
    </xf>
    <xf numFmtId="164" fontId="3" fillId="2" borderId="35" xfId="2" applyNumberFormat="1" applyFont="1" applyFill="1" applyBorder="1" applyAlignment="1">
      <alignment horizontal="center"/>
    </xf>
    <xf numFmtId="165" fontId="3" fillId="3" borderId="36" xfId="2" applyNumberFormat="1" applyFont="1" applyFill="1" applyBorder="1" applyAlignment="1">
      <alignment horizontal="center"/>
    </xf>
    <xf numFmtId="164" fontId="3" fillId="3" borderId="35" xfId="2" applyNumberFormat="1" applyFont="1" applyFill="1" applyBorder="1" applyAlignment="1">
      <alignment horizontal="center"/>
    </xf>
    <xf numFmtId="2" fontId="3" fillId="3" borderId="37" xfId="2" applyNumberFormat="1" applyFont="1" applyFill="1" applyBorder="1" applyAlignment="1">
      <alignment horizontal="center"/>
    </xf>
    <xf numFmtId="2" fontId="3" fillId="3" borderId="38" xfId="2" applyNumberFormat="1" applyFont="1" applyFill="1" applyBorder="1" applyAlignment="1">
      <alignment horizontal="center"/>
    </xf>
    <xf numFmtId="2" fontId="3" fillId="3" borderId="39" xfId="2" applyNumberFormat="1" applyFont="1" applyFill="1" applyBorder="1" applyAlignment="1">
      <alignment horizontal="center"/>
    </xf>
    <xf numFmtId="164" fontId="3" fillId="3" borderId="40" xfId="2" applyNumberFormat="1" applyFont="1" applyFill="1" applyBorder="1" applyAlignment="1">
      <alignment horizontal="center"/>
    </xf>
    <xf numFmtId="164" fontId="3" fillId="2" borderId="41" xfId="2" applyNumberFormat="1" applyFont="1" applyFill="1" applyBorder="1" applyAlignment="1">
      <alignment horizontal="center"/>
    </xf>
    <xf numFmtId="164" fontId="3" fillId="2" borderId="42" xfId="2" applyNumberFormat="1" applyFont="1" applyFill="1" applyBorder="1" applyAlignment="1">
      <alignment horizontal="center"/>
    </xf>
    <xf numFmtId="164" fontId="3" fillId="0" borderId="43" xfId="0" applyNumberFormat="1" applyFont="1" applyBorder="1" applyAlignment="1">
      <alignment horizontal="center"/>
    </xf>
    <xf numFmtId="164" fontId="3" fillId="0" borderId="44" xfId="0" applyNumberFormat="1" applyFont="1" applyBorder="1" applyAlignment="1">
      <alignment horizontal="center"/>
    </xf>
    <xf numFmtId="164" fontId="6" fillId="3" borderId="45" xfId="2" applyNumberFormat="1" applyFont="1" applyFill="1" applyBorder="1" applyAlignment="1">
      <alignment horizontal="center"/>
    </xf>
    <xf numFmtId="164" fontId="3" fillId="3" borderId="44" xfId="2" applyNumberFormat="1" applyFont="1" applyFill="1" applyBorder="1" applyAlignment="1">
      <alignment horizontal="center"/>
    </xf>
    <xf numFmtId="164" fontId="3" fillId="3" borderId="46" xfId="2" applyNumberFormat="1" applyFont="1" applyFill="1" applyBorder="1" applyAlignment="1">
      <alignment horizontal="center"/>
    </xf>
    <xf numFmtId="164" fontId="3" fillId="3" borderId="47" xfId="2" applyNumberFormat="1" applyFont="1" applyFill="1" applyBorder="1" applyAlignment="1">
      <alignment horizontal="center"/>
    </xf>
    <xf numFmtId="164" fontId="3" fillId="3" borderId="48" xfId="2" applyNumberFormat="1" applyFont="1" applyFill="1" applyBorder="1" applyAlignment="1">
      <alignment horizontal="center"/>
    </xf>
    <xf numFmtId="0" fontId="3" fillId="5" borderId="34" xfId="2" applyFont="1" applyFill="1" applyBorder="1" applyAlignment="1">
      <alignment horizontal="center"/>
    </xf>
    <xf numFmtId="165" fontId="3" fillId="3" borderId="39" xfId="2" applyNumberFormat="1" applyFont="1" applyFill="1" applyBorder="1" applyAlignment="1">
      <alignment horizontal="center"/>
    </xf>
    <xf numFmtId="164" fontId="3" fillId="3" borderId="49" xfId="2" applyNumberFormat="1" applyFont="1" applyFill="1" applyBorder="1" applyAlignment="1">
      <alignment horizontal="center"/>
    </xf>
    <xf numFmtId="164" fontId="3" fillId="2" borderId="44" xfId="2" applyNumberFormat="1" applyFont="1" applyFill="1" applyBorder="1" applyAlignment="1">
      <alignment horizontal="center"/>
    </xf>
    <xf numFmtId="164" fontId="3" fillId="2" borderId="46" xfId="2" applyNumberFormat="1" applyFont="1" applyFill="1" applyBorder="1" applyAlignment="1">
      <alignment horizontal="center"/>
    </xf>
    <xf numFmtId="164" fontId="3" fillId="2" borderId="50" xfId="2" applyNumberFormat="1" applyFont="1" applyFill="1" applyBorder="1" applyAlignment="1">
      <alignment horizontal="center"/>
    </xf>
    <xf numFmtId="164" fontId="3" fillId="2" borderId="43" xfId="2" applyNumberFormat="1" applyFont="1" applyFill="1" applyBorder="1" applyAlignment="1">
      <alignment horizontal="center"/>
    </xf>
    <xf numFmtId="0" fontId="3" fillId="5" borderId="51" xfId="2" applyFont="1" applyFill="1" applyBorder="1" applyAlignment="1">
      <alignment horizontal="center"/>
    </xf>
    <xf numFmtId="164" fontId="3" fillId="2" borderId="52" xfId="2" applyNumberFormat="1" applyFont="1" applyFill="1" applyBorder="1" applyAlignment="1">
      <alignment horizontal="center"/>
    </xf>
    <xf numFmtId="164" fontId="3" fillId="2" borderId="53" xfId="2" applyNumberFormat="1" applyFont="1" applyFill="1" applyBorder="1" applyAlignment="1">
      <alignment horizontal="center"/>
    </xf>
    <xf numFmtId="0" fontId="3" fillId="6" borderId="51" xfId="2" applyFont="1" applyFill="1" applyBorder="1" applyAlignment="1">
      <alignment horizontal="center"/>
    </xf>
    <xf numFmtId="0" fontId="3" fillId="4" borderId="51" xfId="2" applyFont="1" applyFill="1" applyBorder="1" applyAlignment="1">
      <alignment horizontal="center"/>
    </xf>
    <xf numFmtId="0" fontId="3" fillId="3" borderId="51" xfId="2" applyFont="1" applyFill="1" applyBorder="1" applyAlignment="1">
      <alignment horizontal="center"/>
    </xf>
    <xf numFmtId="164" fontId="7" fillId="2" borderId="44" xfId="2" applyNumberFormat="1" applyFont="1" applyFill="1" applyBorder="1" applyAlignment="1">
      <alignment horizontal="center"/>
    </xf>
    <xf numFmtId="0" fontId="3" fillId="3" borderId="54" xfId="2" applyFont="1" applyFill="1" applyBorder="1" applyAlignment="1">
      <alignment horizontal="center"/>
    </xf>
    <xf numFmtId="164" fontId="3" fillId="2" borderId="55" xfId="2" applyNumberFormat="1" applyFont="1" applyFill="1" applyBorder="1" applyAlignment="1">
      <alignment horizontal="center"/>
    </xf>
    <xf numFmtId="165" fontId="3" fillId="3" borderId="55" xfId="2" applyNumberFormat="1" applyFont="1" applyFill="1" applyBorder="1" applyAlignment="1">
      <alignment horizontal="center"/>
    </xf>
    <xf numFmtId="164" fontId="3" fillId="3" borderId="55" xfId="2" applyNumberFormat="1" applyFont="1" applyFill="1" applyBorder="1" applyAlignment="1">
      <alignment horizontal="center"/>
    </xf>
    <xf numFmtId="2" fontId="3" fillId="3" borderId="56" xfId="2" applyNumberFormat="1" applyFont="1" applyFill="1" applyBorder="1" applyAlignment="1">
      <alignment horizontal="center"/>
    </xf>
    <xf numFmtId="2" fontId="3" fillId="3" borderId="57" xfId="2" applyNumberFormat="1" applyFont="1" applyFill="1" applyBorder="1" applyAlignment="1">
      <alignment horizontal="center"/>
    </xf>
    <xf numFmtId="2" fontId="3" fillId="3" borderId="55" xfId="2" applyNumberFormat="1" applyFont="1" applyFill="1" applyBorder="1" applyAlignment="1">
      <alignment horizontal="center"/>
    </xf>
    <xf numFmtId="164" fontId="3" fillId="3" borderId="58" xfId="2" applyNumberFormat="1" applyFont="1" applyFill="1" applyBorder="1" applyAlignment="1">
      <alignment horizontal="center"/>
    </xf>
    <xf numFmtId="164" fontId="3" fillId="2" borderId="59" xfId="2" applyNumberFormat="1" applyFont="1" applyFill="1" applyBorder="1" applyAlignment="1">
      <alignment horizontal="center"/>
    </xf>
    <xf numFmtId="164" fontId="3" fillId="2" borderId="60" xfId="2" applyNumberFormat="1" applyFont="1" applyFill="1" applyBorder="1" applyAlignment="1">
      <alignment horizontal="center"/>
    </xf>
    <xf numFmtId="164" fontId="3" fillId="0" borderId="59" xfId="0" applyNumberFormat="1" applyFont="1" applyBorder="1" applyAlignment="1">
      <alignment horizontal="center"/>
    </xf>
    <xf numFmtId="164" fontId="3" fillId="0" borderId="55" xfId="0" applyNumberFormat="1" applyFont="1" applyBorder="1" applyAlignment="1">
      <alignment horizontal="center"/>
    </xf>
    <xf numFmtId="164" fontId="6" fillId="3" borderId="61" xfId="2" applyNumberFormat="1" applyFont="1" applyFill="1" applyBorder="1" applyAlignment="1">
      <alignment horizontal="center"/>
    </xf>
    <xf numFmtId="164" fontId="3" fillId="3" borderId="60" xfId="2" applyNumberFormat="1" applyFont="1" applyFill="1" applyBorder="1" applyAlignment="1">
      <alignment horizontal="center"/>
    </xf>
    <xf numFmtId="164" fontId="3" fillId="3" borderId="62" xfId="2" applyNumberFormat="1" applyFont="1" applyFill="1" applyBorder="1" applyAlignment="1">
      <alignment horizontal="center"/>
    </xf>
    <xf numFmtId="164" fontId="3" fillId="3" borderId="63" xfId="2" applyNumberFormat="1" applyFont="1" applyFill="1" applyBorder="1" applyAlignment="1">
      <alignment horizontal="center"/>
    </xf>
    <xf numFmtId="0" fontId="3" fillId="3" borderId="0" xfId="2" applyFont="1" applyFill="1"/>
    <xf numFmtId="0" fontId="3" fillId="3" borderId="3" xfId="2" applyFont="1" applyFill="1" applyBorder="1" applyAlignment="1">
      <alignment horizontal="center"/>
    </xf>
    <xf numFmtId="164" fontId="6" fillId="3" borderId="3" xfId="2" applyNumberFormat="1" applyFont="1" applyFill="1" applyBorder="1" applyAlignment="1">
      <alignment horizontal="center"/>
    </xf>
    <xf numFmtId="164" fontId="3" fillId="3" borderId="3" xfId="2" applyNumberFormat="1" applyFont="1" applyFill="1" applyBorder="1" applyAlignment="1">
      <alignment horizontal="center"/>
    </xf>
    <xf numFmtId="0" fontId="3" fillId="3" borderId="3" xfId="2" applyFont="1" applyFill="1" applyBorder="1"/>
    <xf numFmtId="0" fontId="3" fillId="0" borderId="0" xfId="2" applyFont="1"/>
    <xf numFmtId="0" fontId="9" fillId="0" borderId="0" xfId="2" applyFont="1"/>
    <xf numFmtId="0" fontId="10" fillId="3" borderId="0" xfId="2" applyFont="1" applyFill="1"/>
    <xf numFmtId="0" fontId="0" fillId="3" borderId="0" xfId="2" applyFont="1" applyFill="1"/>
    <xf numFmtId="0" fontId="5" fillId="3" borderId="64" xfId="2" applyFont="1" applyFill="1" applyBorder="1" applyAlignment="1">
      <alignment horizontal="center"/>
    </xf>
    <xf numFmtId="0" fontId="3" fillId="3" borderId="34" xfId="2" applyFont="1" applyFill="1" applyBorder="1" applyAlignment="1">
      <alignment horizontal="center"/>
    </xf>
    <xf numFmtId="164" fontId="3" fillId="2" borderId="65" xfId="2" applyNumberFormat="1" applyFont="1" applyFill="1" applyBorder="1" applyAlignment="1">
      <alignment horizontal="center"/>
    </xf>
    <xf numFmtId="164" fontId="6" fillId="2" borderId="44" xfId="0" applyNumberFormat="1" applyFont="1" applyFill="1" applyBorder="1" applyAlignment="1">
      <alignment horizontal="center"/>
    </xf>
    <xf numFmtId="164" fontId="6" fillId="2" borderId="42" xfId="0" applyNumberFormat="1" applyFont="1" applyFill="1" applyBorder="1" applyAlignment="1">
      <alignment horizontal="center"/>
    </xf>
    <xf numFmtId="164" fontId="6" fillId="2" borderId="43" xfId="0" applyNumberFormat="1" applyFont="1" applyFill="1" applyBorder="1" applyAlignment="1">
      <alignment horizontal="center"/>
    </xf>
    <xf numFmtId="164" fontId="6" fillId="3" borderId="35" xfId="2" applyNumberFormat="1" applyFont="1" applyFill="1" applyBorder="1" applyAlignment="1">
      <alignment horizontal="center"/>
    </xf>
    <xf numFmtId="164" fontId="3" fillId="3" borderId="39" xfId="2" applyNumberFormat="1" applyFont="1" applyFill="1" applyBorder="1" applyAlignment="1">
      <alignment horizontal="center"/>
    </xf>
    <xf numFmtId="164" fontId="3" fillId="3" borderId="66" xfId="2" applyNumberFormat="1" applyFont="1" applyFill="1" applyBorder="1" applyAlignment="1">
      <alignment horizontal="center"/>
    </xf>
    <xf numFmtId="165" fontId="3" fillId="3" borderId="44" xfId="2" applyNumberFormat="1" applyFont="1" applyFill="1" applyBorder="1" applyAlignment="1">
      <alignment horizontal="center"/>
    </xf>
    <xf numFmtId="164" fontId="6" fillId="2" borderId="46" xfId="0" applyNumberFormat="1" applyFont="1" applyFill="1" applyBorder="1" applyAlignment="1">
      <alignment horizontal="center"/>
    </xf>
    <xf numFmtId="0" fontId="3" fillId="5" borderId="54" xfId="2" applyFont="1" applyFill="1" applyBorder="1" applyAlignment="1">
      <alignment horizontal="center"/>
    </xf>
    <xf numFmtId="2" fontId="3" fillId="3" borderId="59" xfId="2" applyNumberFormat="1" applyFont="1" applyFill="1" applyBorder="1" applyAlignment="1">
      <alignment horizontal="center"/>
    </xf>
    <xf numFmtId="164" fontId="3" fillId="3" borderId="67" xfId="2" applyNumberFormat="1" applyFont="1" applyFill="1" applyBorder="1" applyAlignment="1">
      <alignment horizontal="center"/>
    </xf>
    <xf numFmtId="164" fontId="3" fillId="3" borderId="68" xfId="2" applyNumberFormat="1" applyFont="1" applyFill="1" applyBorder="1" applyAlignment="1">
      <alignment horizontal="center"/>
    </xf>
    <xf numFmtId="164" fontId="3" fillId="3" borderId="0" xfId="2" applyNumberFormat="1" applyFont="1" applyFill="1" applyAlignment="1">
      <alignment horizontal="center"/>
    </xf>
    <xf numFmtId="164" fontId="3" fillId="3" borderId="69" xfId="2" applyNumberFormat="1" applyFont="1" applyFill="1" applyBorder="1" applyAlignment="1">
      <alignment horizontal="center"/>
    </xf>
    <xf numFmtId="164" fontId="3" fillId="3" borderId="3" xfId="2" applyNumberFormat="1" applyFont="1" applyFill="1" applyBorder="1"/>
    <xf numFmtId="9" fontId="1" fillId="5" borderId="23" xfId="1" applyFont="1" applyFill="1" applyBorder="1" applyAlignment="1">
      <alignment horizontal="center" vertical="top" wrapText="1"/>
    </xf>
    <xf numFmtId="164" fontId="3" fillId="2" borderId="44" xfId="0" applyNumberFormat="1" applyFont="1" applyFill="1" applyBorder="1" applyAlignment="1">
      <alignment horizontal="center"/>
    </xf>
    <xf numFmtId="164" fontId="3" fillId="2" borderId="42" xfId="0" applyNumberFormat="1" applyFont="1" applyFill="1" applyBorder="1" applyAlignment="1">
      <alignment horizontal="center"/>
    </xf>
    <xf numFmtId="164" fontId="3" fillId="2" borderId="43" xfId="0" applyNumberFormat="1" applyFont="1" applyFill="1" applyBorder="1" applyAlignment="1">
      <alignment horizontal="center"/>
    </xf>
    <xf numFmtId="164" fontId="3" fillId="2" borderId="70" xfId="2" applyNumberFormat="1" applyFont="1" applyFill="1" applyBorder="1" applyAlignment="1">
      <alignment horizontal="center"/>
    </xf>
    <xf numFmtId="164" fontId="3" fillId="2" borderId="46" xfId="0" applyNumberFormat="1" applyFont="1" applyFill="1" applyBorder="1" applyAlignment="1">
      <alignment horizontal="center"/>
    </xf>
    <xf numFmtId="0" fontId="2" fillId="5" borderId="51" xfId="2" applyFont="1" applyFill="1" applyBorder="1" applyAlignment="1">
      <alignment horizontal="center"/>
    </xf>
    <xf numFmtId="164" fontId="11" fillId="2" borderId="43" xfId="0" applyNumberFormat="1" applyFont="1" applyFill="1" applyBorder="1" applyAlignment="1">
      <alignment horizontal="center"/>
    </xf>
    <xf numFmtId="164" fontId="11" fillId="2" borderId="44" xfId="0" applyNumberFormat="1" applyFont="1" applyFill="1" applyBorder="1" applyAlignment="1">
      <alignment horizontal="center"/>
    </xf>
    <xf numFmtId="164" fontId="11" fillId="2" borderId="46" xfId="0" applyNumberFormat="1" applyFont="1" applyFill="1" applyBorder="1" applyAlignment="1">
      <alignment horizontal="center"/>
    </xf>
    <xf numFmtId="164" fontId="3" fillId="2" borderId="44" xfId="0" quotePrefix="1" applyNumberFormat="1" applyFont="1" applyFill="1" applyBorder="1" applyAlignment="1">
      <alignment horizontal="center"/>
    </xf>
    <xf numFmtId="164" fontId="9" fillId="2" borderId="44" xfId="0" applyNumberFormat="1" applyFont="1" applyFill="1" applyBorder="1" applyAlignment="1">
      <alignment horizontal="center"/>
    </xf>
    <xf numFmtId="164" fontId="3" fillId="2" borderId="53" xfId="0" applyNumberFormat="1" applyFont="1" applyFill="1" applyBorder="1" applyAlignment="1">
      <alignment horizontal="center"/>
    </xf>
    <xf numFmtId="164" fontId="3" fillId="2" borderId="52" xfId="0" applyNumberFormat="1" applyFont="1" applyFill="1" applyBorder="1" applyAlignment="1">
      <alignment horizontal="center"/>
    </xf>
    <xf numFmtId="164" fontId="3" fillId="2" borderId="50" xfId="0" applyNumberFormat="1" applyFont="1" applyFill="1" applyBorder="1" applyAlignment="1">
      <alignment horizontal="center"/>
    </xf>
    <xf numFmtId="164" fontId="7" fillId="2" borderId="55" xfId="2" applyNumberFormat="1" applyFont="1" applyFill="1" applyBorder="1" applyAlignment="1">
      <alignment horizontal="center"/>
    </xf>
    <xf numFmtId="164" fontId="3" fillId="2" borderId="71" xfId="2" applyNumberFormat="1" applyFont="1" applyFill="1" applyBorder="1" applyAlignment="1">
      <alignment horizontal="center"/>
    </xf>
    <xf numFmtId="164" fontId="3" fillId="2" borderId="59" xfId="0" applyNumberFormat="1" applyFont="1" applyFill="1" applyBorder="1" applyAlignment="1">
      <alignment horizontal="center"/>
    </xf>
    <xf numFmtId="164" fontId="3" fillId="2" borderId="55" xfId="0" applyNumberFormat="1" applyFont="1" applyFill="1" applyBorder="1" applyAlignment="1">
      <alignment horizontal="center"/>
    </xf>
    <xf numFmtId="164" fontId="3" fillId="2" borderId="60" xfId="0" applyNumberFormat="1" applyFont="1" applyFill="1" applyBorder="1" applyAlignment="1">
      <alignment horizontal="center"/>
    </xf>
    <xf numFmtId="0" fontId="12" fillId="3" borderId="0" xfId="2" applyFont="1" applyFill="1"/>
    <xf numFmtId="0" fontId="12" fillId="5" borderId="0" xfId="2" applyFont="1" applyFill="1"/>
    <xf numFmtId="0" fontId="13" fillId="3" borderId="0" xfId="2" applyFont="1" applyFill="1"/>
    <xf numFmtId="164" fontId="3" fillId="2" borderId="36" xfId="2" applyNumberFormat="1" applyFont="1" applyFill="1" applyBorder="1" applyAlignment="1">
      <alignment horizontal="center"/>
    </xf>
    <xf numFmtId="164" fontId="7" fillId="2" borderId="43" xfId="2" applyNumberFormat="1" applyFont="1" applyFill="1" applyBorder="1" applyAlignment="1">
      <alignment horizontal="center"/>
    </xf>
    <xf numFmtId="164" fontId="7" fillId="2" borderId="52" xfId="2" applyNumberFormat="1" applyFont="1" applyFill="1" applyBorder="1" applyAlignment="1">
      <alignment horizontal="center"/>
    </xf>
    <xf numFmtId="164" fontId="7" fillId="2" borderId="50" xfId="2" applyNumberFormat="1" applyFont="1" applyFill="1" applyBorder="1" applyAlignment="1">
      <alignment horizontal="center"/>
    </xf>
    <xf numFmtId="164" fontId="3" fillId="7" borderId="52" xfId="2" applyNumberFormat="1" applyFont="1" applyFill="1" applyBorder="1" applyAlignment="1">
      <alignment horizontal="center"/>
    </xf>
    <xf numFmtId="164" fontId="3" fillId="3" borderId="72" xfId="2" applyNumberFormat="1" applyFont="1" applyFill="1" applyBorder="1" applyAlignment="1">
      <alignment horizontal="center"/>
    </xf>
    <xf numFmtId="164" fontId="3" fillId="3" borderId="73" xfId="2" applyNumberFormat="1" applyFont="1" applyFill="1" applyBorder="1" applyAlignment="1">
      <alignment horizontal="center"/>
    </xf>
    <xf numFmtId="0" fontId="1" fillId="3" borderId="0" xfId="2" applyFont="1" applyFill="1"/>
    <xf numFmtId="0" fontId="1" fillId="3" borderId="16" xfId="2" applyFill="1" applyBorder="1"/>
    <xf numFmtId="0" fontId="3" fillId="3" borderId="16" xfId="2" applyFont="1" applyFill="1" applyBorder="1" applyAlignment="1">
      <alignment horizontal="center"/>
    </xf>
    <xf numFmtId="0" fontId="1" fillId="0" borderId="0" xfId="2" applyBorder="1"/>
    <xf numFmtId="0" fontId="11" fillId="3" borderId="51" xfId="2" applyFont="1" applyFill="1" applyBorder="1" applyAlignment="1">
      <alignment horizontal="center"/>
    </xf>
    <xf numFmtId="0" fontId="5" fillId="3" borderId="30" xfId="2" applyFont="1" applyFill="1" applyBorder="1" applyAlignment="1">
      <alignment horizontal="center"/>
    </xf>
    <xf numFmtId="0" fontId="14" fillId="2" borderId="65" xfId="2" applyFont="1" applyFill="1" applyBorder="1" applyAlignment="1">
      <alignment horizontal="center"/>
    </xf>
    <xf numFmtId="164" fontId="3" fillId="2" borderId="74" xfId="2" applyNumberFormat="1" applyFont="1" applyFill="1" applyBorder="1" applyAlignment="1">
      <alignment horizontal="center"/>
    </xf>
    <xf numFmtId="164" fontId="3" fillId="2" borderId="66" xfId="2" applyNumberFormat="1" applyFont="1" applyFill="1" applyBorder="1" applyAlignment="1">
      <alignment horizontal="center"/>
    </xf>
    <xf numFmtId="0" fontId="14" fillId="2" borderId="75" xfId="2" applyFont="1" applyFill="1" applyBorder="1" applyAlignment="1">
      <alignment horizontal="center"/>
    </xf>
    <xf numFmtId="164" fontId="3" fillId="3" borderId="50" xfId="2" applyNumberFormat="1" applyFont="1" applyFill="1" applyBorder="1" applyAlignment="1">
      <alignment horizontal="center"/>
    </xf>
    <xf numFmtId="0" fontId="14" fillId="2" borderId="76" xfId="2" applyFont="1" applyFill="1" applyBorder="1" applyAlignment="1">
      <alignment horizontal="center"/>
    </xf>
    <xf numFmtId="164" fontId="11" fillId="2" borderId="44" xfId="2" applyNumberFormat="1" applyFont="1" applyFill="1" applyBorder="1" applyAlignment="1">
      <alignment horizontal="center"/>
    </xf>
    <xf numFmtId="164" fontId="3" fillId="3" borderId="77" xfId="2" applyNumberFormat="1" applyFont="1" applyFill="1" applyBorder="1" applyAlignment="1">
      <alignment horizontal="center"/>
    </xf>
    <xf numFmtId="164" fontId="3" fillId="3" borderId="78" xfId="2" applyNumberFormat="1" applyFont="1" applyFill="1" applyBorder="1" applyAlignment="1">
      <alignment horizontal="center"/>
    </xf>
    <xf numFmtId="0" fontId="9" fillId="3" borderId="0" xfId="2" applyFont="1" applyFill="1" applyAlignment="1">
      <alignment horizontal="left"/>
    </xf>
    <xf numFmtId="0" fontId="7" fillId="3" borderId="0" xfId="2" applyFont="1" applyFill="1" applyAlignment="1">
      <alignment horizontal="center"/>
    </xf>
    <xf numFmtId="0" fontId="15" fillId="3" borderId="0" xfId="2" applyFont="1" applyFill="1"/>
    <xf numFmtId="0" fontId="9" fillId="3" borderId="0" xfId="2" applyFont="1" applyFill="1"/>
    <xf numFmtId="0" fontId="5" fillId="3" borderId="79" xfId="2" applyFont="1" applyFill="1" applyBorder="1" applyAlignment="1">
      <alignment horizontal="center"/>
    </xf>
    <xf numFmtId="0" fontId="5" fillId="3" borderId="80" xfId="2" applyFont="1" applyFill="1" applyBorder="1" applyAlignment="1">
      <alignment horizontal="center"/>
    </xf>
    <xf numFmtId="164" fontId="3" fillId="2" borderId="31" xfId="2" applyNumberFormat="1" applyFont="1" applyFill="1" applyBorder="1" applyAlignment="1">
      <alignment horizontal="center"/>
    </xf>
    <xf numFmtId="164" fontId="3" fillId="2" borderId="8" xfId="2" applyNumberFormat="1" applyFont="1" applyFill="1" applyBorder="1" applyAlignment="1">
      <alignment horizontal="center"/>
    </xf>
    <xf numFmtId="164" fontId="3" fillId="2" borderId="81" xfId="2" applyNumberFormat="1" applyFont="1" applyFill="1" applyBorder="1" applyAlignment="1">
      <alignment horizontal="center"/>
    </xf>
    <xf numFmtId="164" fontId="11" fillId="2" borderId="35" xfId="2" applyNumberFormat="1" applyFont="1" applyFill="1" applyBorder="1" applyAlignment="1">
      <alignment horizontal="center"/>
    </xf>
    <xf numFmtId="164" fontId="11" fillId="2" borderId="43" xfId="2" applyNumberFormat="1" applyFont="1" applyFill="1" applyBorder="1" applyAlignment="1">
      <alignment horizontal="center"/>
    </xf>
    <xf numFmtId="164" fontId="11" fillId="2" borderId="82" xfId="2" applyNumberFormat="1" applyFont="1" applyFill="1" applyBorder="1" applyAlignment="1">
      <alignment horizontal="center"/>
    </xf>
    <xf numFmtId="164" fontId="11" fillId="2" borderId="45" xfId="2" applyNumberFormat="1" applyFont="1" applyFill="1" applyBorder="1" applyAlignment="1">
      <alignment horizontal="center"/>
    </xf>
    <xf numFmtId="164" fontId="11" fillId="2" borderId="53" xfId="2" applyNumberFormat="1" applyFont="1" applyFill="1" applyBorder="1" applyAlignment="1">
      <alignment horizontal="center"/>
    </xf>
    <xf numFmtId="164" fontId="7" fillId="2" borderId="53" xfId="2" applyNumberFormat="1" applyFont="1" applyFill="1" applyBorder="1" applyAlignment="1">
      <alignment horizontal="center"/>
    </xf>
    <xf numFmtId="164" fontId="3" fillId="2" borderId="82" xfId="2" applyNumberFormat="1" applyFont="1" applyFill="1" applyBorder="1" applyAlignment="1">
      <alignment horizontal="center"/>
    </xf>
    <xf numFmtId="164" fontId="3" fillId="2" borderId="45" xfId="2" applyNumberFormat="1" applyFont="1" applyFill="1" applyBorder="1" applyAlignment="1">
      <alignment horizontal="center"/>
    </xf>
    <xf numFmtId="164" fontId="11" fillId="2" borderId="52" xfId="2" applyNumberFormat="1" applyFont="1" applyFill="1" applyBorder="1" applyAlignment="1">
      <alignment horizontal="center"/>
    </xf>
    <xf numFmtId="164" fontId="11" fillId="2" borderId="83" xfId="2" applyNumberFormat="1" applyFont="1" applyFill="1" applyBorder="1" applyAlignment="1">
      <alignment horizontal="center"/>
    </xf>
    <xf numFmtId="164" fontId="11" fillId="2" borderId="84" xfId="2" applyNumberFormat="1" applyFont="1" applyFill="1" applyBorder="1" applyAlignment="1">
      <alignment horizontal="center"/>
    </xf>
    <xf numFmtId="164" fontId="3" fillId="2" borderId="83" xfId="2" applyNumberFormat="1" applyFont="1" applyFill="1" applyBorder="1" applyAlignment="1">
      <alignment horizontal="center"/>
    </xf>
    <xf numFmtId="164" fontId="3" fillId="2" borderId="84" xfId="2" applyNumberFormat="1" applyFont="1" applyFill="1" applyBorder="1" applyAlignment="1">
      <alignment horizontal="center"/>
    </xf>
    <xf numFmtId="0" fontId="14" fillId="2" borderId="71" xfId="2" applyFont="1" applyFill="1" applyBorder="1" applyAlignment="1">
      <alignment horizontal="center"/>
    </xf>
    <xf numFmtId="164" fontId="3" fillId="2" borderId="57" xfId="2" applyNumberFormat="1" applyFont="1" applyFill="1" applyBorder="1" applyAlignment="1">
      <alignment horizontal="center"/>
    </xf>
    <xf numFmtId="164" fontId="3" fillId="2" borderId="61" xfId="2" applyNumberFormat="1" applyFont="1" applyFill="1" applyBorder="1" applyAlignment="1">
      <alignment horizontal="center"/>
    </xf>
    <xf numFmtId="164" fontId="3" fillId="3" borderId="85" xfId="2" applyNumberFormat="1" applyFont="1" applyFill="1" applyBorder="1" applyAlignment="1">
      <alignment horizontal="center"/>
    </xf>
    <xf numFmtId="0" fontId="16" fillId="3" borderId="0" xfId="2" applyFont="1" applyFill="1"/>
    <xf numFmtId="164" fontId="3" fillId="3" borderId="36" xfId="2" applyNumberFormat="1" applyFont="1" applyFill="1" applyBorder="1" applyAlignment="1">
      <alignment horizontal="center"/>
    </xf>
    <xf numFmtId="0" fontId="3" fillId="8" borderId="76" xfId="2" applyFont="1" applyFill="1" applyBorder="1" applyAlignment="1">
      <alignment horizontal="center"/>
    </xf>
    <xf numFmtId="0" fontId="3" fillId="8" borderId="70" xfId="2" applyFont="1" applyFill="1" applyBorder="1" applyAlignment="1">
      <alignment horizontal="center"/>
    </xf>
    <xf numFmtId="164" fontId="3" fillId="2" borderId="86" xfId="2" applyNumberFormat="1" applyFont="1" applyFill="1" applyBorder="1" applyAlignment="1">
      <alignment horizontal="center"/>
    </xf>
    <xf numFmtId="164" fontId="3" fillId="3" borderId="87" xfId="2" applyNumberFormat="1" applyFont="1" applyFill="1" applyBorder="1" applyAlignment="1">
      <alignment horizontal="center"/>
    </xf>
    <xf numFmtId="164" fontId="3" fillId="3" borderId="9" xfId="2" applyNumberFormat="1" applyFont="1" applyFill="1" applyBorder="1" applyAlignment="1">
      <alignment horizontal="center"/>
    </xf>
    <xf numFmtId="0" fontId="3" fillId="3" borderId="0" xfId="2" applyFont="1" applyFill="1" applyBorder="1"/>
    <xf numFmtId="164" fontId="6" fillId="9" borderId="35" xfId="2" applyNumberFormat="1" applyFont="1" applyFill="1" applyBorder="1" applyAlignment="1">
      <alignment horizontal="center"/>
    </xf>
    <xf numFmtId="164" fontId="3" fillId="3" borderId="88" xfId="2" applyNumberFormat="1" applyFont="1" applyFill="1" applyBorder="1" applyAlignment="1">
      <alignment horizontal="center"/>
    </xf>
    <xf numFmtId="164" fontId="7" fillId="2" borderId="35" xfId="2" applyNumberFormat="1" applyFont="1" applyFill="1" applyBorder="1" applyAlignment="1">
      <alignment horizontal="center"/>
    </xf>
    <xf numFmtId="0" fontId="2" fillId="3" borderId="0" xfId="2" applyFont="1" applyFill="1" applyAlignment="1">
      <alignment horizontal="center"/>
    </xf>
    <xf numFmtId="164" fontId="3" fillId="9" borderId="35" xfId="2" applyNumberFormat="1" applyFont="1" applyFill="1" applyBorder="1" applyAlignment="1">
      <alignment horizontal="center"/>
    </xf>
    <xf numFmtId="164" fontId="3" fillId="3" borderId="13" xfId="2" applyNumberFormat="1" applyFont="1" applyFill="1" applyBorder="1" applyAlignment="1">
      <alignment horizontal="center"/>
    </xf>
    <xf numFmtId="164" fontId="3" fillId="3" borderId="89" xfId="2" applyNumberFormat="1" applyFont="1" applyFill="1" applyBorder="1" applyAlignment="1">
      <alignment horizontal="center"/>
    </xf>
    <xf numFmtId="164" fontId="3" fillId="3" borderId="90" xfId="2" applyNumberFormat="1" applyFont="1" applyFill="1" applyBorder="1" applyAlignment="1">
      <alignment horizontal="center"/>
    </xf>
    <xf numFmtId="0" fontId="4" fillId="3" borderId="0" xfId="2" applyFont="1" applyFill="1"/>
    <xf numFmtId="0" fontId="17" fillId="3" borderId="0" xfId="2" applyFont="1" applyFill="1" applyAlignment="1">
      <alignment horizontal="center"/>
    </xf>
    <xf numFmtId="0" fontId="18" fillId="3" borderId="0" xfId="2" applyFont="1" applyFill="1" applyAlignment="1">
      <alignment horizontal="left"/>
    </xf>
    <xf numFmtId="164" fontId="6" fillId="9" borderId="42" xfId="2" applyNumberFormat="1" applyFont="1" applyFill="1" applyBorder="1" applyAlignment="1">
      <alignment horizontal="center"/>
    </xf>
    <xf numFmtId="164" fontId="3" fillId="3" borderId="91" xfId="2" applyNumberFormat="1" applyFont="1" applyFill="1" applyBorder="1" applyAlignment="1">
      <alignment horizontal="center"/>
    </xf>
    <xf numFmtId="164" fontId="1" fillId="0" borderId="0" xfId="2" applyNumberFormat="1"/>
    <xf numFmtId="164" fontId="6" fillId="9" borderId="69" xfId="2" applyNumberFormat="1" applyFont="1" applyFill="1" applyBorder="1" applyAlignment="1">
      <alignment horizontal="center"/>
    </xf>
    <xf numFmtId="164" fontId="6" fillId="9" borderId="92" xfId="2" applyNumberFormat="1" applyFont="1" applyFill="1" applyBorder="1" applyAlignment="1">
      <alignment horizontal="center"/>
    </xf>
    <xf numFmtId="164" fontId="3" fillId="3" borderId="93" xfId="2" applyNumberFormat="1" applyFont="1" applyFill="1" applyBorder="1" applyAlignment="1">
      <alignment horizontal="center"/>
    </xf>
    <xf numFmtId="9" fontId="0" fillId="0" borderId="0" xfId="1" applyFont="1"/>
  </cellXfs>
  <cellStyles count="3">
    <cellStyle name="Normal" xfId="0" builtinId="0"/>
    <cellStyle name="Normal_01f1998a" xfId="2"/>
    <cellStyle name="Porcentagem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Solar/so2021b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janeiro"/>
      <sheetName val="fevereiro"/>
      <sheetName val="marco"/>
      <sheetName val="abril"/>
      <sheetName val="maio"/>
      <sheetName val="junho"/>
      <sheetName val="julho"/>
      <sheetName val="agosto"/>
      <sheetName val="setembro"/>
      <sheetName val="outubro"/>
      <sheetName val="novembro"/>
      <sheetName val="dezembro"/>
      <sheetName val="irradiação solar - ano"/>
      <sheetName val="transmissão global - ano"/>
      <sheetName val="duração do brilho - ano"/>
      <sheetName val="insolação relativa - ano"/>
      <sheetName val="cálculos teóricos"/>
      <sheetName val="figura 1"/>
      <sheetName val="figura 2"/>
      <sheetName val="figura 3"/>
      <sheetName val="Pla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3">
          <cell r="I3">
            <v>13.432646455605028</v>
          </cell>
          <cell r="K3">
            <v>1.0433095476903587</v>
          </cell>
          <cell r="T3">
            <v>42.972554729067994</v>
          </cell>
        </row>
        <row r="4">
          <cell r="I4">
            <v>13.427083464038553</v>
          </cell>
          <cell r="K4">
            <v>1.0432689705391567</v>
          </cell>
          <cell r="T4">
            <v>42.957348831388643</v>
          </cell>
        </row>
        <row r="5">
          <cell r="I5">
            <v>13.420993894192648</v>
          </cell>
          <cell r="K5">
            <v>1.0432240147113081</v>
          </cell>
          <cell r="T5">
            <v>42.94007223550922</v>
          </cell>
        </row>
        <row r="6">
          <cell r="I6">
            <v>13.414382772748056</v>
          </cell>
          <cell r="K6">
            <v>1.0431745699304664</v>
          </cell>
          <cell r="T6">
            <v>42.920712814194886</v>
          </cell>
        </row>
        <row r="7">
          <cell r="I7">
            <v>13.40725552892793</v>
          </cell>
          <cell r="K7">
            <v>1.0431205173832472</v>
          </cell>
          <cell r="T7">
            <v>42.899257802114548</v>
          </cell>
        </row>
        <row r="8">
          <cell r="I8">
            <v>13.399617979654318</v>
          </cell>
          <cell r="K8">
            <v>1.0430617300197544</v>
          </cell>
          <cell r="T8">
            <v>42.875693838404729</v>
          </cell>
        </row>
        <row r="9">
          <cell r="I9">
            <v>13.391476313835456</v>
          </cell>
          <cell r="K9">
            <v>1.0429980728749551</v>
          </cell>
          <cell r="T9">
            <v>42.850007012169783</v>
          </cell>
        </row>
        <row r="10">
          <cell r="I10">
            <v>13.382837075865469</v>
          </cell>
          <cell r="K10">
            <v>1.0429294034098502</v>
          </cell>
          <cell r="T10">
            <v>42.822182910782871</v>
          </cell>
        </row>
        <row r="11">
          <cell r="I11">
            <v>13.373707148420571</v>
          </cell>
          <cell r="K11">
            <v>1.0428555718713279</v>
          </cell>
          <cell r="T11">
            <v>42.792206670842504</v>
          </cell>
        </row>
        <row r="12">
          <cell r="I12">
            <v>13.364093734637674</v>
          </cell>
          <cell r="K12">
            <v>1.0427764216695341</v>
          </cell>
          <cell r="T12">
            <v>42.760063031628945</v>
          </cell>
        </row>
        <row r="13">
          <cell r="I13">
            <v>13.354004339762858</v>
          </cell>
          <cell r="K13">
            <v>1.0426917897715424</v>
          </cell>
          <cell r="T13">
            <v>42.72573639089709</v>
          </cell>
        </row>
        <row r="14">
          <cell r="I14">
            <v>13.343446752357368</v>
          </cell>
          <cell r="K14">
            <v>1.0426015071100707</v>
          </cell>
          <cell r="T14">
            <v>42.689210862833292</v>
          </cell>
        </row>
        <row r="15">
          <cell r="I15">
            <v>13.332429025149247</v>
          </cell>
          <cell r="K15">
            <v>1.0425053990059436</v>
          </cell>
          <cell r="T15">
            <v>42.6504703379955</v>
          </cell>
        </row>
        <row r="16">
          <cell r="I16">
            <v>13.32095945561748</v>
          </cell>
          <cell r="K16">
            <v>1.0424032856029817</v>
          </cell>
          <cell r="T16">
            <v>42.609498545049341</v>
          </cell>
        </row>
        <row r="17">
          <cell r="I17">
            <v>13.309046566394962</v>
          </cell>
          <cell r="K17">
            <v>1.0422949823139649</v>
          </cell>
          <cell r="T17">
            <v>42.566279114105868</v>
          </cell>
        </row>
        <row r="18">
          <cell r="I18">
            <v>13.296699085574138</v>
          </cell>
          <cell r="K18">
            <v>1.0421803002763004</v>
          </cell>
          <cell r="T18">
            <v>42.520795641460737</v>
          </cell>
        </row>
        <row r="19">
          <cell r="I19">
            <v>13.283925926997437</v>
          </cell>
          <cell r="K19">
            <v>1.0420590468160129</v>
          </cell>
          <cell r="T19">
            <v>42.473031755529334</v>
          </cell>
        </row>
        <row r="20">
          <cell r="I20">
            <v>13.270736170611478</v>
          </cell>
          <cell r="K20">
            <v>1.0419310259186705</v>
          </cell>
          <cell r="T20">
            <v>42.422971183768496</v>
          </cell>
        </row>
        <row r="21">
          <cell r="I21">
            <v>13.257139042960983</v>
          </cell>
          <cell r="K21">
            <v>1.0417960387058549</v>
          </cell>
          <cell r="T21">
            <v>42.370597820371522</v>
          </cell>
        </row>
        <row r="22">
          <cell r="I22">
            <v>13.243143897894775</v>
          </cell>
          <cell r="K22">
            <v>1.0416538839157914</v>
          </cell>
          <cell r="T22">
            <v>42.315895794520593</v>
          </cell>
        </row>
        <row r="23">
          <cell r="I23">
            <v>13.228760197552258</v>
          </cell>
          <cell r="K23">
            <v>1.0415043583867623</v>
          </cell>
          <cell r="T23">
            <v>42.258849538979433</v>
          </cell>
        </row>
        <row r="24">
          <cell r="I24">
            <v>13.213997493694729</v>
          </cell>
          <cell r="K24">
            <v>1.0413472575419567</v>
          </cell>
          <cell r="T24">
            <v>42.199443858808038</v>
          </cell>
        </row>
        <row r="25">
          <cell r="I25">
            <v>13.198865409441321</v>
          </cell>
          <cell r="K25">
            <v>1.041182375874407</v>
          </cell>
          <cell r="T25">
            <v>42.137663999981427</v>
          </cell>
        </row>
        <row r="26">
          <cell r="I26">
            <v>13.183373621464895</v>
          </cell>
          <cell r="K26">
            <v>1.0410095074307182</v>
          </cell>
          <cell r="T26">
            <v>42.073495717695977</v>
          </cell>
        </row>
        <row r="27">
          <cell r="I27">
            <v>13.16753184269853</v>
          </cell>
          <cell r="K27">
            <v>1.0408284462923059</v>
          </cell>
          <cell r="T27">
            <v>42.006925344148755</v>
          </cell>
        </row>
        <row r="28">
          <cell r="I28">
            <v>13.151349805598334</v>
          </cell>
          <cell r="K28">
            <v>1.0406389870529105</v>
          </cell>
          <cell r="T28">
            <v>41.937939855578989</v>
          </cell>
        </row>
        <row r="29">
          <cell r="I29">
            <v>13.134837246003574</v>
          </cell>
          <cell r="K29">
            <v>1.040440925291195</v>
          </cell>
          <cell r="T29">
            <v>41.866526938364217</v>
          </cell>
        </row>
        <row r="30">
          <cell r="I30">
            <v>13.118003887630318</v>
          </cell>
          <cell r="K30">
            <v>1.0402340580372698</v>
          </cell>
          <cell r="T30">
            <v>41.792675053969653</v>
          </cell>
        </row>
        <row r="31">
          <cell r="I31">
            <v>13.100859427229913</v>
          </cell>
          <cell r="K31">
            <v>1.0400181842320544</v>
          </cell>
          <cell r="T31">
            <v>41.716373502555001</v>
          </cell>
        </row>
        <row r="32">
          <cell r="I32">
            <v>13.083413520438963</v>
          </cell>
          <cell r="K32">
            <v>1.0397931051784299</v>
          </cell>
          <cell r="T32">
            <v>41.637612485050042</v>
          </cell>
        </row>
        <row r="33">
          <cell r="I33">
            <v>13.065675768342954</v>
          </cell>
          <cell r="K33">
            <v>1.0395586249831952</v>
          </cell>
          <cell r="T33">
            <v>41.556383163518021</v>
          </cell>
        </row>
        <row r="34">
          <cell r="I34">
            <v>13.047655704771071</v>
          </cell>
          <cell r="K34">
            <v>1.0393145509889044</v>
          </cell>
          <cell r="T34">
            <v>41.472677719635314</v>
          </cell>
        </row>
        <row r="35">
          <cell r="I35">
            <v>13.029362784335678</v>
          </cell>
          <cell r="K35">
            <v>1.03906069419472</v>
          </cell>
          <cell r="T35">
            <v>41.386489411124131</v>
          </cell>
        </row>
        <row r="36">
          <cell r="I36">
            <v>13.010806371225611</v>
          </cell>
          <cell r="K36">
            <v>1.038796869665491</v>
          </cell>
          <cell r="T36">
            <v>41.297812625986587</v>
          </cell>
        </row>
        <row r="37">
          <cell r="I37">
            <v>12.991995728758745</v>
          </cell>
          <cell r="K37">
            <v>1.0385228969283236</v>
          </cell>
          <cell r="T37">
            <v>41.206642934398403</v>
          </cell>
        </row>
        <row r="38">
          <cell r="I38">
            <v>12.972940009695547</v>
          </cell>
          <cell r="K38">
            <v>1.0382386003559865</v>
          </cell>
          <cell r="T38">
            <v>41.112977138132415</v>
          </cell>
        </row>
        <row r="39">
          <cell r="I39">
            <v>12.953648247311923</v>
          </cell>
          <cell r="K39">
            <v>1.0379438095365645</v>
          </cell>
          <cell r="T39">
            <v>41.016813317393655</v>
          </cell>
        </row>
        <row r="40">
          <cell r="I40">
            <v>12.934129347226488</v>
          </cell>
          <cell r="K40">
            <v>1.037638359628839</v>
          </cell>
          <cell r="T40">
            <v>40.9181508749611</v>
          </cell>
        </row>
        <row r="41">
          <cell r="I41">
            <v>12.914392079974427</v>
          </cell>
          <cell r="K41">
            <v>1.0373220917029544</v>
          </cell>
          <cell r="T41">
            <v>40.816990577542512</v>
          </cell>
        </row>
        <row r="42">
          <cell r="I42">
            <v>12.894445074317558</v>
          </cell>
          <cell r="K42">
            <v>1.0369948530659916</v>
          </cell>
          <cell r="T42">
            <v>40.713334594263301</v>
          </cell>
        </row>
        <row r="43">
          <cell r="I43">
            <v>12.874296811277606</v>
          </cell>
          <cell r="K43">
            <v>1.0366564975721508</v>
          </cell>
          <cell r="T43">
            <v>40.607186532222627</v>
          </cell>
        </row>
        <row r="44">
          <cell r="I44">
            <v>12.853955618877693</v>
          </cell>
          <cell r="K44">
            <v>1.0363068859173084</v>
          </cell>
          <cell r="T44">
            <v>40.49855146906372</v>
          </cell>
        </row>
        <row r="45">
          <cell r="I45">
            <v>12.833429667575025</v>
          </cell>
          <cell r="K45">
            <v>1.0359458859177855</v>
          </cell>
          <cell r="T45">
            <v>40.387435982518646</v>
          </cell>
        </row>
        <row r="46">
          <cell r="I46">
            <v>12.812726966366139</v>
          </cell>
          <cell r="K46">
            <v>1.0355733727732386</v>
          </cell>
          <cell r="T46">
            <v>40.273848176901005</v>
          </cell>
        </row>
        <row r="47">
          <cell r="I47">
            <v>12.791855359544524</v>
          </cell>
          <cell r="K47">
            <v>1.0351892293136391</v>
          </cell>
          <cell r="T47">
            <v>40.157797706533401</v>
          </cell>
        </row>
        <row r="48">
          <cell r="I48">
            <v>12.770822524089397</v>
          </cell>
          <cell r="K48">
            <v>1.0347933462303829</v>
          </cell>
          <cell r="T48">
            <v>40.03929579610913</v>
          </cell>
        </row>
        <row r="49">
          <cell r="I49">
            <v>12.749635967663192</v>
          </cell>
          <cell r="K49">
            <v>1.0343856222916303</v>
          </cell>
          <cell r="T49">
            <v>39.918355258000474</v>
          </cell>
        </row>
        <row r="50">
          <cell r="I50">
            <v>12.728303027194645</v>
          </cell>
          <cell r="K50">
            <v>1.0339659645420316</v>
          </cell>
          <cell r="T50">
            <v>39.794990506538213</v>
          </cell>
        </row>
        <row r="51">
          <cell r="I51">
            <v>12.706830868023706</v>
          </cell>
          <cell r="K51">
            <v>1.0335342884870602</v>
          </cell>
          <cell r="T51">
            <v>39.669217569298148</v>
          </cell>
        </row>
        <row r="52">
          <cell r="I52">
            <v>12.685226483584112</v>
          </cell>
          <cell r="K52">
            <v>1.033090518262219</v>
          </cell>
          <cell r="T52">
            <v>39.54105409544276</v>
          </cell>
        </row>
        <row r="53">
          <cell r="I53">
            <v>12.663496695599086</v>
          </cell>
          <cell r="K53">
            <v>1.0326345867874447</v>
          </cell>
          <cell r="T53">
            <v>39.410519361176185</v>
          </cell>
        </row>
        <row r="54">
          <cell r="I54">
            <v>12.641648154765646</v>
          </cell>
          <cell r="K54">
            <v>1.032166435907075</v>
          </cell>
          <cell r="T54">
            <v>39.277634272380226</v>
          </cell>
        </row>
        <row r="55">
          <cell r="I55">
            <v>12.619687341902916</v>
          </cell>
          <cell r="K55">
            <v>1.0316860165157933</v>
          </cell>
          <cell r="T55">
            <v>39.142421364509971</v>
          </cell>
        </row>
        <row r="56">
          <cell r="I56">
            <v>12.597620569540034</v>
          </cell>
          <cell r="K56">
            <v>1.0311932886709996</v>
          </cell>
          <cell r="T56">
            <v>39.004904799834748</v>
          </cell>
        </row>
        <row r="57">
          <cell r="I57">
            <v>12.575453983919491</v>
          </cell>
          <cell r="K57">
            <v>1.0306882216920989</v>
          </cell>
          <cell r="T57">
            <v>38.865110362118791</v>
          </cell>
        </row>
        <row r="58">
          <cell r="I58">
            <v>12.553193567392162</v>
          </cell>
          <cell r="K58">
            <v>1.0301707942472205</v>
          </cell>
          <cell r="T58">
            <v>38.723065448843045</v>
          </cell>
        </row>
        <row r="59">
          <cell r="I59">
            <v>12.530845141180563</v>
          </cell>
          <cell r="K59">
            <v>1.0296409944279203</v>
          </cell>
          <cell r="T59">
            <v>38.578799061075529</v>
          </cell>
        </row>
        <row r="60">
          <cell r="I60">
            <v>12.508414368487685</v>
          </cell>
          <cell r="K60">
            <v>1.0290988198124356</v>
          </cell>
          <cell r="T60">
            <v>38.432341791103383</v>
          </cell>
        </row>
        <row r="61">
          <cell r="I61">
            <v>12.485906757928969</v>
          </cell>
          <cell r="K61">
            <v>1.0285442775180771</v>
          </cell>
          <cell r="T61">
            <v>38.283725807943732</v>
          </cell>
        </row>
        <row r="63">
          <cell r="I63">
            <v>12.463327667266025</v>
          </cell>
          <cell r="K63">
            <v>1.0279773842433713</v>
          </cell>
          <cell r="T63">
            <v>38.132984840855237</v>
          </cell>
        </row>
        <row r="64">
          <cell r="I64">
            <v>12.440682307421085</v>
          </cell>
          <cell r="K64">
            <v>1.027398166300562</v>
          </cell>
          <cell r="T64">
            <v>37.980154160973754</v>
          </cell>
        </row>
        <row r="65">
          <cell r="I65">
            <v>12.417975746751987</v>
          </cell>
          <cell r="K65">
            <v>1.0268066596390977</v>
          </cell>
          <cell r="T65">
            <v>37.825270561198415</v>
          </cell>
        </row>
        <row r="66">
          <cell r="I66">
            <v>12.395212915568337</v>
          </cell>
          <cell r="K66">
            <v>1.0262029098607273</v>
          </cell>
          <cell r="T66">
            <v>37.668372334455164</v>
          </cell>
        </row>
        <row r="67">
          <cell r="I67">
            <v>12.372398610870075</v>
          </cell>
          <cell r="K67">
            <v>1.0255869722268318</v>
          </cell>
          <cell r="T67">
            <v>37.509499250465367</v>
          </cell>
        </row>
        <row r="68">
          <cell r="I68">
            <v>12.349537501290623</v>
          </cell>
          <cell r="K68">
            <v>1.0249589116586053</v>
          </cell>
          <cell r="T68">
            <v>37.348692531146071</v>
          </cell>
        </row>
        <row r="69">
          <cell r="I69">
            <v>12.326634132227381</v>
          </cell>
          <cell r="K69">
            <v>1.0243188027306998</v>
          </cell>
          <cell r="T69">
            <v>37.185994824767818</v>
          </cell>
        </row>
        <row r="70">
          <cell r="I70">
            <v>12.303692931143221</v>
          </cell>
          <cell r="K70">
            <v>1.023666729658925</v>
          </cell>
          <cell r="T70">
            <v>37.021450178993661</v>
          </cell>
        </row>
        <row r="71">
          <cell r="I71">
            <v>12.280718213023388</v>
          </cell>
          <cell r="K71">
            <v>1.0230027862825883</v>
          </cell>
          <cell r="T71">
            <v>36.855104012919824</v>
          </cell>
        </row>
        <row r="72">
          <cell r="I72">
            <v>12.25771418597288</v>
          </cell>
          <cell r="K72">
            <v>1.0223270760420269</v>
          </cell>
          <cell r="T72">
            <v>36.687003088236096</v>
          </cell>
        </row>
        <row r="73">
          <cell r="I73">
            <v>12.234684956940034</v>
          </cell>
          <cell r="K73">
            <v>1.0216397119518779</v>
          </cell>
          <cell r="T73">
            <v>36.517195479618834</v>
          </cell>
        </row>
        <row r="74">
          <cell r="I74">
            <v>12.211634537553067</v>
          </cell>
          <cell r="K74">
            <v>1.0209408165705878</v>
          </cell>
          <cell r="T74">
            <v>36.345730544465582</v>
          </cell>
        </row>
        <row r="75">
          <cell r="I75">
            <v>12.1885668500564</v>
          </cell>
          <cell r="K75">
            <v>1.0202305219666468</v>
          </cell>
          <cell r="T75">
            <v>36.172658892075304</v>
          </cell>
        </row>
        <row r="76">
          <cell r="I76">
            <v>12.165485733334812</v>
          </cell>
          <cell r="K76">
            <v>1.0195089696819948</v>
          </cell>
          <cell r="T76">
            <v>35.998032352371688</v>
          </cell>
        </row>
        <row r="77">
          <cell r="I77">
            <v>12.142394949013712</v>
          </cell>
          <cell r="K77">
            <v>1.0187763106930137</v>
          </cell>
          <cell r="T77">
            <v>35.82190394426226</v>
          </cell>
        </row>
        <row r="78">
          <cell r="I78">
            <v>12.119298187624363</v>
          </cell>
          <cell r="K78">
            <v>1.018032705369482</v>
          </cell>
          <cell r="T78">
            <v>35.644327843718507</v>
          </cell>
        </row>
        <row r="79">
          <cell r="I79">
            <v>12.096199074823641</v>
          </cell>
          <cell r="K79">
            <v>1.0172783234318352</v>
          </cell>
          <cell r="T79">
            <v>35.465359351656311</v>
          </cell>
        </row>
        <row r="80">
          <cell r="I80">
            <v>12.073101177658092</v>
          </cell>
          <cell r="K80">
            <v>1.016513343907022</v>
          </cell>
          <cell r="T80">
            <v>35.285054861688451</v>
          </cell>
        </row>
        <row r="81">
          <cell r="I81">
            <v>12.050008010862662</v>
          </cell>
          <cell r="K81">
            <v>1.0157379550832217</v>
          </cell>
          <cell r="T81">
            <v>35.103471827814516</v>
          </cell>
        </row>
        <row r="82">
          <cell r="I82">
            <v>12.026923043184821</v>
          </cell>
          <cell r="K82">
            <v>1.0149523544636272</v>
          </cell>
          <cell r="T82">
            <v>34.920668732105412</v>
          </cell>
        </row>
        <row r="83">
          <cell r="I83">
            <v>12.003849703725068</v>
          </cell>
          <cell r="K83">
            <v>1.0141567487194687</v>
          </cell>
          <cell r="T83">
            <v>34.736705052432924</v>
          </cell>
        </row>
        <row r="84">
          <cell r="I84">
            <v>11.980791388285134</v>
          </cell>
          <cell r="K84">
            <v>1.0133513536423984</v>
          </cell>
          <cell r="T84">
            <v>34.551641230287451</v>
          </cell>
        </row>
        <row r="85">
          <cell r="I85">
            <v>11.957751465715512</v>
          </cell>
          <cell r="K85">
            <v>1.0125363940963121</v>
          </cell>
          <cell r="T85">
            <v>34.36553863871918</v>
          </cell>
        </row>
        <row r="86">
          <cell r="I86">
            <v>11.934733284254012</v>
          </cell>
          <cell r="K86">
            <v>1.011712103968645</v>
          </cell>
          <cell r="T86">
            <v>34.1784595504311</v>
          </cell>
        </row>
        <row r="87">
          <cell r="I87">
            <v>11.911740177847248</v>
          </cell>
          <cell r="K87">
            <v>1.0108787261211196</v>
          </cell>
          <cell r="T87">
            <v>33.990467106044939</v>
          </cell>
        </row>
        <row r="88">
          <cell r="I88">
            <v>11.888775472447131</v>
          </cell>
          <cell r="K88">
            <v>1.010036512339894</v>
          </cell>
          <cell r="T88">
            <v>33.801625282554461</v>
          </cell>
        </row>
        <row r="89">
          <cell r="I89">
            <v>11.865842492274421</v>
          </cell>
          <cell r="K89">
            <v>1.0091857232849979</v>
          </cell>
          <cell r="T89">
            <v>33.61199886197312</v>
          </cell>
        </row>
        <row r="90">
          <cell r="I90">
            <v>11.842944566041432</v>
          </cell>
          <cell r="K90">
            <v>1.0083266284389116</v>
          </cell>
          <cell r="T90">
            <v>33.421653400177576</v>
          </cell>
        </row>
        <row r="91">
          <cell r="I91">
            <v>11.820085033125993</v>
          </cell>
          <cell r="K91">
            <v>1.0074595060540923</v>
          </cell>
          <cell r="T91">
            <v>33.230655195941289</v>
          </cell>
        </row>
        <row r="92">
          <cell r="I92">
            <v>11.797267249688634</v>
          </cell>
          <cell r="K92">
            <v>1.0065846430992109</v>
          </cell>
          <cell r="T92">
            <v>33.03907126014785</v>
          </cell>
        </row>
        <row r="93">
          <cell r="I93">
            <v>11.774494594725017</v>
          </cell>
          <cell r="K93">
            <v>1.0057023352038255</v>
          </cell>
          <cell r="T93">
            <v>32.846969285166935</v>
          </cell>
        </row>
        <row r="94">
          <cell r="I94">
            <v>11.751770476045246</v>
          </cell>
          <cell r="K94">
            <v>1.0048128866011701</v>
          </cell>
          <cell r="T94">
            <v>32.65441761437198</v>
          </cell>
        </row>
        <row r="95">
          <cell r="I95">
            <v>11.729098336171763</v>
          </cell>
          <cell r="K95">
            <v>1.0039166100687127</v>
          </cell>
          <cell r="T95">
            <v>32.461485211773081</v>
          </cell>
        </row>
        <row r="96">
          <cell r="I96">
            <v>11.706481658147139</v>
          </cell>
          <cell r="K96">
            <v>1.003013826866084</v>
          </cell>
          <cell r="T96">
            <v>32.268241631734995</v>
          </cell>
        </row>
        <row r="97">
          <cell r="I97">
            <v>11.683923971242983</v>
          </cell>
          <cell r="K97">
            <v>1.0021048666699626</v>
          </cell>
          <cell r="T97">
            <v>32.074756988746543</v>
          </cell>
        </row>
        <row r="98">
          <cell r="I98">
            <v>11.661428856560702</v>
          </cell>
          <cell r="K98">
            <v>1.0011900675054584</v>
          </cell>
          <cell r="T98">
            <v>31.881101927204124</v>
          </cell>
        </row>
        <row r="99">
          <cell r="I99">
            <v>11.638999952514853</v>
          </cell>
          <cell r="K99">
            <v>1.0002697756735133</v>
          </cell>
          <cell r="T99">
            <v>31.687347591169619</v>
          </cell>
        </row>
        <row r="100">
          <cell r="I100">
            <v>11.616640960189132</v>
          </cell>
          <cell r="K100">
            <v>0.99934434567381758</v>
          </cell>
          <cell r="T100">
            <v>31.493565594061103</v>
          </cell>
        </row>
        <row r="101">
          <cell r="I101">
            <v>11.594355648555021</v>
          </cell>
          <cell r="K101">
            <v>0.99841414012270413</v>
          </cell>
          <cell r="T101">
            <v>31.299827988232465</v>
          </cell>
        </row>
        <row r="102">
          <cell r="I102">
            <v>11.5721478595426</v>
          </cell>
          <cell r="K102">
            <v>0.99747952966548015</v>
          </cell>
          <cell r="T102">
            <v>31.106207234397623</v>
          </cell>
        </row>
        <row r="103">
          <cell r="I103">
            <v>11.55002151295256</v>
          </cell>
          <cell r="K103">
            <v>0.99654089288262615</v>
          </cell>
          <cell r="T103">
            <v>30.912776170854091</v>
          </cell>
        </row>
        <row r="104">
          <cell r="I104">
            <v>11.527980611198263</v>
          </cell>
          <cell r="K104">
            <v>0.99559861618928736</v>
          </cell>
          <cell r="T104">
            <v>30.719607982460538</v>
          </cell>
        </row>
        <row r="105">
          <cell r="I105">
            <v>11.506029243866161</v>
          </cell>
          <cell r="K105">
            <v>0.99465309372746913</v>
          </cell>
          <cell r="T105">
            <v>30.526776169323703</v>
          </cell>
        </row>
        <row r="106">
          <cell r="I106">
            <v>11.484171592082447</v>
          </cell>
          <cell r="K106">
            <v>0.9937047272503452</v>
          </cell>
          <cell r="T106">
            <v>30.334354515150523</v>
          </cell>
        </row>
        <row r="107">
          <cell r="I107">
            <v>11.462411932673533</v>
          </cell>
          <cell r="K107">
            <v>0.99275392599807921</v>
          </cell>
          <cell r="T107">
            <v>30.142417055223362</v>
          </cell>
        </row>
        <row r="108">
          <cell r="I108">
            <v>11.440754642107416</v>
          </cell>
          <cell r="K108">
            <v>0.99180110656457066</v>
          </cell>
          <cell r="T108">
            <v>29.951038043957332</v>
          </cell>
        </row>
        <row r="109">
          <cell r="I109">
            <v>11.419204200202659</v>
          </cell>
          <cell r="K109">
            <v>0.99084669275453241</v>
          </cell>
          <cell r="T109">
            <v>29.760291922001649</v>
          </cell>
        </row>
        <row r="110">
          <cell r="I110">
            <v>11.397765193591368</v>
          </cell>
          <cell r="K110">
            <v>0.9898911154303186</v>
          </cell>
          <cell r="T110">
            <v>29.570253282849443</v>
          </cell>
        </row>
        <row r="111">
          <cell r="I111">
            <v>11.376442318922143</v>
          </cell>
          <cell r="K111">
            <v>0.98893481234793812</v>
          </cell>
          <cell r="T111">
            <v>29.380996838923444</v>
          </cell>
        </row>
        <row r="112">
          <cell r="I112">
            <v>11.355240385788584</v>
          </cell>
          <cell r="K112">
            <v>0.9879782279816971</v>
          </cell>
          <cell r="T112">
            <v>29.192597387108517</v>
          </cell>
        </row>
        <row r="113">
          <cell r="I113">
            <v>11.334164319368824</v>
          </cell>
          <cell r="K113">
            <v>0.98702181333694017</v>
          </cell>
          <cell r="T113">
            <v>29.005129773706106</v>
          </cell>
        </row>
        <row r="114">
          <cell r="I114">
            <v>11.313219162761063</v>
          </cell>
          <cell r="K114">
            <v>0.98606602575038249</v>
          </cell>
          <cell r="T114">
            <v>28.818668858789103</v>
          </cell>
        </row>
        <row r="115">
          <cell r="I115">
            <v>11.292410079000071</v>
          </cell>
          <cell r="K115">
            <v>0.98511132867754536</v>
          </cell>
          <cell r="T115">
            <v>28.633289479940686</v>
          </cell>
        </row>
        <row r="116">
          <cell r="I116">
            <v>11.27174235273929</v>
          </cell>
          <cell r="K116">
            <v>0.98415819146685024</v>
          </cell>
          <cell r="T116">
            <v>28.449066415364875</v>
          </cell>
        </row>
        <row r="117">
          <cell r="I117">
            <v>11.251221391583176</v>
          </cell>
          <cell r="K117">
            <v>0.98320708911994803</v>
          </cell>
          <cell r="T117">
            <v>28.266074346361314</v>
          </cell>
        </row>
        <row r="118">
          <cell r="I118">
            <v>11.230852727054316</v>
          </cell>
          <cell r="K118">
            <v>0.98225850203790688</v>
          </cell>
          <cell r="T118">
            <v>28.08438781916194</v>
          </cell>
        </row>
        <row r="119">
          <cell r="I119">
            <v>11.210642015179907</v>
          </cell>
          <cell r="K119">
            <v>0.98131291575291579</v>
          </cell>
          <cell r="T119">
            <v>27.904081206131991</v>
          </cell>
        </row>
        <row r="120">
          <cell r="I120">
            <v>11.190595036682291</v>
          </cell>
          <cell r="K120">
            <v>0.98037082064520997</v>
          </cell>
          <cell r="T120">
            <v>27.725228666343192</v>
          </cell>
        </row>
        <row r="121">
          <cell r="I121">
            <v>11.170717696758381</v>
          </cell>
          <cell r="K121">
            <v>0.97943271164497014</v>
          </cell>
          <cell r="T121">
            <v>27.547904105531607</v>
          </cell>
        </row>
        <row r="122">
          <cell r="I122">
            <v>11.15101602443325</v>
          </cell>
          <cell r="K122">
            <v>0.97849908791898976</v>
          </cell>
          <cell r="T122">
            <v>27.372181135458487</v>
          </cell>
        </row>
        <row r="123">
          <cell r="I123">
            <v>11.131496171473273</v>
          </cell>
          <cell r="K123">
            <v>0.97757045254197084</v>
          </cell>
          <cell r="T123">
            <v>27.198133032696809</v>
          </cell>
        </row>
        <row r="124">
          <cell r="I124">
            <v>11.112164410845079</v>
          </cell>
          <cell r="K124">
            <v>0.97664731215234668</v>
          </cell>
          <cell r="T124">
            <v>27.025832696871763</v>
          </cell>
        </row>
        <row r="125">
          <cell r="I125">
            <v>11.093027134706757</v>
          </cell>
          <cell r="K125">
            <v>0.97573017659260319</v>
          </cell>
          <cell r="T125">
            <v>26.855352608387982</v>
          </cell>
        </row>
        <row r="126">
          <cell r="I126">
            <v>11.074090851918852</v>
          </cell>
          <cell r="K126">
            <v>0.97481955853411284</v>
          </cell>
          <cell r="T126">
            <v>26.686764785681291</v>
          </cell>
        </row>
        <row r="127">
          <cell r="I127">
            <v>11.055362185063325</v>
          </cell>
          <cell r="K127">
            <v>0.97391597308657185</v>
          </cell>
          <cell r="T127">
            <v>26.520140742037025</v>
          </cell>
        </row>
        <row r="128">
          <cell r="I128">
            <v>11.036847866959667</v>
          </cell>
          <cell r="K128">
            <v>0.97301993739218018</v>
          </cell>
          <cell r="T128">
            <v>26.355551442021564</v>
          </cell>
        </row>
        <row r="129">
          <cell r="I129">
            <v>11.018554736668527</v>
          </cell>
          <cell r="K129">
            <v>0.97213197020477449</v>
          </cell>
          <cell r="T129">
            <v>26.193067257577663</v>
          </cell>
        </row>
        <row r="130">
          <cell r="I130">
            <v>11.000489734974462</v>
          </cell>
          <cell r="K130">
            <v>0.97125259145418985</v>
          </cell>
          <cell r="T130">
            <v>26.032757923837824</v>
          </cell>
        </row>
        <row r="131">
          <cell r="I131">
            <v>10.982659899340732</v>
          </cell>
          <cell r="K131">
            <v>0.97038232179618111</v>
          </cell>
          <cell r="T131">
            <v>25.874692494713734</v>
          </cell>
        </row>
        <row r="132">
          <cell r="I132">
            <v>10.965072358330648</v>
          </cell>
          <cell r="K132">
            <v>0.96952168214831635</v>
          </cell>
          <cell r="T132">
            <v>25.718939298322645</v>
          </cell>
        </row>
        <row r="133">
          <cell r="I133">
            <v>10.947734325491757</v>
          </cell>
          <cell r="K133">
            <v>0.96867119321230488</v>
          </cell>
          <cell r="T133">
            <v>25.565565892314495</v>
          </cell>
        </row>
        <row r="134">
          <cell r="I134">
            <v>10.930653092700721</v>
          </cell>
          <cell r="K134">
            <v>0.9678313749832993</v>
          </cell>
          <cell r="T134">
            <v>25.414639019166131</v>
          </cell>
        </row>
        <row r="135">
          <cell r="I135">
            <v>10.913836022969011</v>
          </cell>
          <cell r="K135">
            <v>0.96700274624676985</v>
          </cell>
          <cell r="T135">
            <v>25.26622456151059</v>
          </cell>
        </row>
        <row r="136">
          <cell r="I136">
            <v>10.897290542711382</v>
          </cell>
          <cell r="K136">
            <v>0.96618582406361775</v>
          </cell>
          <cell r="T136">
            <v>25.120387497571706</v>
          </cell>
        </row>
        <row r="137">
          <cell r="I137">
            <v>10.881024133481446</v>
          </cell>
          <cell r="K137">
            <v>0.96538112324425585</v>
          </cell>
          <cell r="T137">
            <v>24.977191856775008</v>
          </cell>
        </row>
        <row r="138">
          <cell r="I138">
            <v>10.865044323181046</v>
          </cell>
          <cell r="K138">
            <v>0.96458915581244764</v>
          </cell>
          <cell r="T138">
            <v>24.836700675606831</v>
          </cell>
        </row>
        <row r="139">
          <cell r="I139">
            <v>10.849358676752436</v>
          </cell>
          <cell r="K139">
            <v>0.96381043045975534</v>
          </cell>
          <cell r="T139">
            <v>24.698975953794339</v>
          </cell>
        </row>
        <row r="140">
          <cell r="I140">
            <v>10.833974786365069</v>
          </cell>
          <cell r="K140">
            <v>0.96304545199151148</v>
          </cell>
          <cell r="T140">
            <v>24.564078610878632</v>
          </cell>
        </row>
        <row r="141">
          <cell r="I141">
            <v>10.818900261111278</v>
          </cell>
          <cell r="K141">
            <v>0.96229472076527511</v>
          </cell>
          <cell r="T141">
            <v>24.432068443253335</v>
          </cell>
        </row>
        <row r="142">
          <cell r="I142">
            <v>10.804142716228</v>
          </cell>
          <cell r="K142">
            <v>0.96155873212279996</v>
          </cell>
          <cell r="T142">
            <v>24.3030040817398</v>
          </cell>
        </row>
        <row r="143">
          <cell r="I143">
            <v>10.78970976186449</v>
          </cell>
          <cell r="K143">
            <v>0.9608379758165817</v>
          </cell>
          <cell r="T143">
            <v>24.176942949769266</v>
          </cell>
        </row>
        <row r="144">
          <cell r="I144">
            <v>10.775608991418745</v>
          </cell>
          <cell r="K144">
            <v>0.96013293543210909</v>
          </cell>
          <cell r="T144">
            <v>24.053941222240866</v>
          </cell>
        </row>
        <row r="145">
          <cell r="I145">
            <v>10.761847969468413</v>
          </cell>
          <cell r="K145">
            <v>0.95944408780698176</v>
          </cell>
          <cell r="T145">
            <v>23.934053785122181</v>
          </cell>
        </row>
        <row r="146">
          <cell r="I146">
            <v>10.748434219324782</v>
          </cell>
          <cell r="K146">
            <v>0.95877190244810251</v>
          </cell>
          <cell r="T146">
            <v>23.81733419585737</v>
          </cell>
        </row>
        <row r="147">
          <cell r="I147">
            <v>10.735375210241287</v>
          </cell>
          <cell r="K147">
            <v>0.95811684094818839</v>
          </cell>
          <cell r="T147">
            <v>23.703834644645326</v>
          </cell>
        </row>
        <row r="148">
          <cell r="I148">
            <v>10.722678344310896</v>
          </cell>
          <cell r="K148">
            <v>0.95747935640287785</v>
          </cell>
          <cell r="T148">
            <v>23.593605916647533</v>
          </cell>
        </row>
        <row r="149">
          <cell r="I149">
            <v>10.710350943089647</v>
          </cell>
          <cell r="K149">
            <v>0.95685989282974016</v>
          </cell>
          <cell r="T149">
            <v>23.486697355182486</v>
          </cell>
        </row>
        <row r="150">
          <cell r="I150">
            <v>10.698400233986028</v>
          </cell>
          <cell r="K150">
            <v>0.95625888459052066</v>
          </cell>
          <cell r="T150">
            <v>23.38315682596054</v>
          </cell>
        </row>
        <row r="151">
          <cell r="I151">
            <v>10.686833336458804</v>
          </cell>
          <cell r="K151">
            <v>0.95567675581796974</v>
          </cell>
          <cell r="T151">
            <v>23.283030682409645</v>
          </cell>
        </row>
        <row r="152">
          <cell r="I152">
            <v>10.675657248068191</v>
          </cell>
          <cell r="K152">
            <v>0.95511391984862659</v>
          </cell>
          <cell r="T152">
            <v>23.186363732139114</v>
          </cell>
        </row>
        <row r="153">
          <cell r="I153">
            <v>10.66487883042762</v>
          </cell>
          <cell r="K153">
            <v>0.95457077866293116</v>
          </cell>
          <cell r="T153">
            <v>23.093199204585154</v>
          </cell>
        </row>
        <row r="154">
          <cell r="I154">
            <v>10.654504795105451</v>
          </cell>
          <cell r="K154">
            <v>0.95404772233404822</v>
          </cell>
          <cell r="T154">
            <v>23.003578719878121</v>
          </cell>
        </row>
        <row r="155">
          <cell r="I155">
            <v>10.64454168952793</v>
          </cell>
          <cell r="K155">
            <v>0.95354512848678641</v>
          </cell>
          <cell r="T155">
            <v>22.917542258968254</v>
          </cell>
        </row>
        <row r="156">
          <cell r="I156">
            <v>10.634995882936208</v>
          </cell>
          <cell r="K156">
            <v>0.95306336176798911</v>
          </cell>
          <cell r="T156">
            <v>22.835128135042794</v>
          </cell>
        </row>
        <row r="157">
          <cell r="I157">
            <v>10.625873552451839</v>
          </cell>
          <cell r="K157">
            <v>0.95260277332976384</v>
          </cell>
          <cell r="T157">
            <v>22.756372966264053</v>
          </cell>
        </row>
        <row r="158">
          <cell r="I158">
            <v>10.617180669306048</v>
          </cell>
          <cell r="K158">
            <v>0.95216370032690345</v>
          </cell>
          <cell r="T158">
            <v>22.681311649854528</v>
          </cell>
        </row>
        <row r="159">
          <cell r="I159">
            <v>10.608922985289027</v>
          </cell>
          <cell r="K159">
            <v>0.95174646542982722</v>
          </cell>
          <cell r="T159">
            <v>22.609977337551737</v>
          </cell>
        </row>
        <row r="160">
          <cell r="I160">
            <v>10.601106019475857</v>
          </cell>
          <cell r="K160">
            <v>0.95135137635435019</v>
          </cell>
          <cell r="T160">
            <v>22.542401412452758</v>
          </cell>
        </row>
        <row r="161">
          <cell r="I161">
            <v>10.593735045285838</v>
          </cell>
          <cell r="K161">
            <v>0.9509787254095502</v>
          </cell>
          <cell r="T161">
            <v>22.478613467264381</v>
          </cell>
        </row>
        <row r="162">
          <cell r="I162">
            <v>10.586815077931689</v>
          </cell>
          <cell r="K162">
            <v>0.95062878906497217</v>
          </cell>
          <cell r="T162">
            <v>22.418641283973457</v>
          </cell>
        </row>
        <row r="163">
          <cell r="I163">
            <v>10.580350862314617</v>
          </cell>
          <cell r="K163">
            <v>0.95030182753836612</v>
          </cell>
          <cell r="T163">
            <v>22.362510814947974</v>
          </cell>
        </row>
        <row r="164">
          <cell r="I164">
            <v>10.57434686142002</v>
          </cell>
          <cell r="K164">
            <v>0.94999808440510503</v>
          </cell>
          <cell r="T164">
            <v>22.310246165477785</v>
          </cell>
        </row>
        <row r="165">
          <cell r="I165">
            <v>10.568807245267474</v>
          </cell>
          <cell r="K165">
            <v>0.94971778623038505</v>
          </cell>
          <cell r="T165">
            <v>22.261869577761775</v>
          </cell>
        </row>
        <row r="166">
          <cell r="I166">
            <v>10.563735880466673</v>
          </cell>
          <cell r="K166">
            <v>0.94946114222524891</v>
          </cell>
          <cell r="T166">
            <v>22.217401416345737</v>
          </cell>
        </row>
        <row r="167">
          <cell r="I167">
            <v>10.559136320429129</v>
          </cell>
          <cell r="K167">
            <v>0.9492283439274154</v>
          </cell>
          <cell r="T167">
            <v>22.176860155014239</v>
          </cell>
        </row>
        <row r="168">
          <cell r="I168">
            <v>10.555011796282567</v>
          </cell>
          <cell r="K168">
            <v>0.94901956490783757</v>
          </cell>
          <cell r="T168">
            <v>22.140262365137801</v>
          </cell>
        </row>
        <row r="169">
          <cell r="I169">
            <v>10.551365208532534</v>
          </cell>
          <cell r="K169">
            <v>0.94883496050383698</v>
          </cell>
          <cell r="T169">
            <v>22.107622705475894</v>
          </cell>
        </row>
        <row r="170">
          <cell r="I170">
            <v>10.54819911951218</v>
          </cell>
          <cell r="K170">
            <v>0.9486746675795964</v>
          </cell>
          <cell r="T170">
            <v>22.078953913434933</v>
          </cell>
        </row>
        <row r="171">
          <cell r="I171">
            <v>10.545515746657909</v>
          </cell>
          <cell r="K171">
            <v>0.94853880431471793</v>
          </cell>
          <cell r="T171">
            <v>22.054266797780116</v>
          </cell>
        </row>
        <row r="172">
          <cell r="I172">
            <v>10.543316956644638</v>
          </cell>
          <cell r="K172">
            <v>0.94842747002147099</v>
          </cell>
          <cell r="T172">
            <v>22.033570232799129</v>
          </cell>
        </row>
        <row r="173">
          <cell r="I173">
            <v>10.541604260410397</v>
          </cell>
          <cell r="K173">
            <v>0.94834074499127929</v>
          </cell>
          <cell r="T173">
            <v>22.016871153915464</v>
          </cell>
        </row>
        <row r="174">
          <cell r="I174">
            <v>10.540378809095687</v>
          </cell>
          <cell r="K174">
            <v>0.94827869037091239</v>
          </cell>
          <cell r="T174">
            <v>22.004174554749007</v>
          </cell>
        </row>
        <row r="175">
          <cell r="I175">
            <v>10.539641390918483</v>
          </cell>
          <cell r="K175">
            <v>0.94824134806875726</v>
          </cell>
          <cell r="T175">
            <v>21.995483485621605</v>
          </cell>
        </row>
        <row r="176">
          <cell r="I176">
            <v>10.539392429001008</v>
          </cell>
          <cell r="K176">
            <v>0.94822874069146967</v>
          </cell>
          <cell r="T176">
            <v>21.990799053505</v>
          </cell>
        </row>
        <row r="177">
          <cell r="I177">
            <v>10.539631980159754</v>
          </cell>
          <cell r="K177">
            <v>0.9482408715112014</v>
          </cell>
          <cell r="T177">
            <v>21.990120423409326</v>
          </cell>
        </row>
        <row r="178">
          <cell r="I178">
            <v>10.540359734665067</v>
          </cell>
          <cell r="K178">
            <v>0.94827772446352887</v>
          </cell>
          <cell r="T178">
            <v>21.993444821210002</v>
          </cell>
        </row>
        <row r="179">
          <cell r="I179">
            <v>10.541575016971914</v>
          </cell>
          <cell r="K179">
            <v>0.94833926417610326</v>
          </cell>
          <cell r="T179">
            <v>22.000767537911535</v>
          </cell>
        </row>
        <row r="180">
          <cell r="I180">
            <v>10.543276787418177</v>
          </cell>
          <cell r="K180">
            <v>0.94842543602796126</v>
          </cell>
          <cell r="T180">
            <v>22.012081935346771</v>
          </cell>
        </row>
        <row r="181">
          <cell r="I181">
            <v>10.545463644882119</v>
          </cell>
          <cell r="K181">
            <v>0.94853616623934689</v>
          </cell>
          <cell r="T181">
            <v>22.027379453310431</v>
          </cell>
        </row>
        <row r="182">
          <cell r="I182">
            <v>10.548133830385645</v>
          </cell>
          <cell r="K182">
            <v>0.94867136199179813</v>
          </cell>
          <cell r="T182">
            <v>22.046649618125883</v>
          </cell>
        </row>
        <row r="183">
          <cell r="I183">
            <v>10.551285231625181</v>
          </cell>
          <cell r="K183">
            <v>0.94883091157817412</v>
          </cell>
          <cell r="T183">
            <v>22.069880052644166</v>
          </cell>
        </row>
        <row r="184">
          <cell r="I184">
            <v>10.554915388407521</v>
          </cell>
          <cell r="K184">
            <v>0.94901468458220362</v>
          </cell>
          <cell r="T184">
            <v>22.097056487674202</v>
          </cell>
        </row>
        <row r="185">
          <cell r="I185">
            <v>10.559021498963354</v>
          </cell>
          <cell r="K185">
            <v>0.94922253208705598</v>
          </cell>
          <cell r="T185">
            <v>22.12816277484286</v>
          </cell>
        </row>
        <row r="186">
          <cell r="I186">
            <v>10.563600427107158</v>
          </cell>
          <cell r="K186">
            <v>0.94945428691235023</v>
          </cell>
          <cell r="T186">
            <v>22.16318090088307</v>
          </cell>
        </row>
        <row r="187">
          <cell r="I187">
            <v>10.568648710207977</v>
          </cell>
          <cell r="K187">
            <v>0.94970976387893824</v>
          </cell>
          <cell r="T187">
            <v>22.20209100334764</v>
          </cell>
        </row>
        <row r="188">
          <cell r="I188">
            <v>10.57416256793211</v>
          </cell>
          <cell r="K188">
            <v>0.9499887601007182</v>
          </cell>
          <cell r="T188">
            <v>22.244871387745548</v>
          </cell>
        </row>
        <row r="189">
          <cell r="I189">
            <v>10.580137911715219</v>
          </cell>
          <cell r="K189">
            <v>0.95029105530266378</v>
          </cell>
          <cell r="T189">
            <v>22.291498546096314</v>
          </cell>
        </row>
        <row r="190">
          <cell r="I190">
            <v>10.586570354918337</v>
          </cell>
          <cell r="K190">
            <v>0.95061641216417903</v>
          </cell>
          <cell r="T190">
            <v>22.341947176896817</v>
          </cell>
        </row>
        <row r="191">
          <cell r="I191">
            <v>10.593455223619625</v>
          </cell>
          <cell r="K191">
            <v>0.95096457668682222</v>
          </cell>
          <cell r="T191">
            <v>22.396190206493252</v>
          </cell>
        </row>
        <row r="192">
          <cell r="I192">
            <v>10.600787567991276</v>
          </cell>
          <cell r="K192">
            <v>0.95133527858537681</v>
          </cell>
          <cell r="T192">
            <v>22.454198811849096</v>
          </cell>
        </row>
        <row r="193">
          <cell r="I193">
            <v>10.608562174209084</v>
          </cell>
          <cell r="K193">
            <v>0.95172823170119347</v>
          </cell>
          <cell r="T193">
            <v>22.515942444697764</v>
          </cell>
        </row>
        <row r="194">
          <cell r="I194">
            <v>10.616773576840487</v>
          </cell>
          <cell r="K194">
            <v>0.95214313443666077</v>
          </cell>
          <cell r="T194">
            <v>22.581388857066401</v>
          </cell>
        </row>
        <row r="195">
          <cell r="I195">
            <v>10.625416071655851</v>
          </cell>
          <cell r="K195">
            <v>0.95257967020962231</v>
          </cell>
          <cell r="T195">
            <v>22.650504128154459</v>
          </cell>
        </row>
        <row r="196">
          <cell r="I196">
            <v>10.634483728806718</v>
          </cell>
          <cell r="K196">
            <v>0.95303750792650499</v>
          </cell>
          <cell r="T196">
            <v>22.723252692547995</v>
          </cell>
        </row>
        <row r="197">
          <cell r="I197">
            <v>10.643970406314452</v>
          </cell>
          <cell r="K197">
            <v>0.95351630247288299</v>
          </cell>
          <cell r="T197">
            <v>22.79959736974741</v>
          </cell>
        </row>
        <row r="198">
          <cell r="I198">
            <v>10.653869763812521</v>
          </cell>
          <cell r="K198">
            <v>0.95401569522016727</v>
          </cell>
          <cell r="T198">
            <v>22.879499394983263</v>
          </cell>
        </row>
        <row r="199">
          <cell r="I199">
            <v>10.664175276485974</v>
          </cell>
          <cell r="K199">
            <v>0.95453531454708007</v>
          </cell>
          <cell r="T199">
            <v>22.962918451291131</v>
          </cell>
        </row>
        <row r="200">
          <cell r="I200">
            <v>10.674880249152137</v>
          </cell>
          <cell r="K200">
            <v>0.95507477637454152</v>
          </cell>
          <cell r="T200">
            <v>23.049812702813032</v>
          </cell>
        </row>
        <row r="201">
          <cell r="I201">
            <v>10.685977830427753</v>
          </cell>
          <cell r="K201">
            <v>0.9556336847125847</v>
          </cell>
          <cell r="T201">
            <v>23.140138829289349</v>
          </cell>
        </row>
        <row r="202">
          <cell r="I202">
            <v>10.69746102692859</v>
          </cell>
          <cell r="K202">
            <v>0.95621163221789329</v>
          </cell>
          <cell r="T202">
            <v>23.233852061700922</v>
          </cell>
        </row>
        <row r="203">
          <cell r="I203">
            <v>10.709322717449501</v>
          </cell>
          <cell r="K203">
            <v>0.95680820076054496</v>
          </cell>
          <cell r="T203">
            <v>23.330906219017812</v>
          </cell>
        </row>
        <row r="204">
          <cell r="I204">
            <v>10.721555667074277</v>
          </cell>
          <cell r="K204">
            <v>0.95742296199854815</v>
          </cell>
          <cell r="T204">
            <v>23.431253746006767</v>
          </cell>
        </row>
        <row r="205">
          <cell r="I205">
            <v>10.734152541166916</v>
          </cell>
          <cell r="K205">
            <v>0.95805547795874668</v>
          </cell>
          <cell r="T205">
            <v>23.534845752045989</v>
          </cell>
        </row>
        <row r="206">
          <cell r="I206">
            <v>10.747105919197939</v>
          </cell>
          <cell r="K206">
            <v>0.9587053016226873</v>
          </cell>
          <cell r="T206">
            <v>23.641632050891843</v>
          </cell>
        </row>
        <row r="207">
          <cell r="I207">
            <v>10.760408308361818</v>
          </cell>
          <cell r="K207">
            <v>0.95937197751604364</v>
          </cell>
          <cell r="T207">
            <v>23.751561201338504</v>
          </cell>
        </row>
        <row r="208">
          <cell r="I208">
            <v>10.774052156944194</v>
          </cell>
          <cell r="K208">
            <v>0.96005504230021532</v>
          </cell>
          <cell r="T208">
            <v>23.864580548707934</v>
          </cell>
        </row>
        <row r="209">
          <cell r="I209">
            <v>10.788029867400006</v>
          </cell>
          <cell r="K209">
            <v>0.96075402536473475</v>
          </cell>
          <cell r="T209">
            <v>23.980636267104472</v>
          </cell>
        </row>
        <row r="210">
          <cell r="I210">
            <v>10.802333809106663</v>
          </cell>
          <cell r="K210">
            <v>0.96146844941914744</v>
          </cell>
          <cell r="T210">
            <v>24.099673402364708</v>
          </cell>
        </row>
        <row r="211">
          <cell r="I211">
            <v>10.81695633075898</v>
          </cell>
          <cell r="K211">
            <v>0.96219783108305346</v>
          </cell>
          <cell r="T211">
            <v>24.221635915630831</v>
          </cell>
        </row>
        <row r="212">
          <cell r="I212">
            <v>10.831889772375648</v>
          </cell>
          <cell r="K212">
            <v>0.96294168147303771</v>
          </cell>
          <cell r="T212">
            <v>24.346466727472635</v>
          </cell>
        </row>
        <row r="213">
          <cell r="I213">
            <v>10.84712647688978</v>
          </cell>
          <cell r="K213">
            <v>0.96369950678525729</v>
          </cell>
          <cell r="T213">
            <v>24.474107762481303</v>
          </cell>
        </row>
        <row r="214">
          <cell r="I214">
            <v>10.86265880129913</v>
          </cell>
          <cell r="K214">
            <v>0.96447080887248837</v>
          </cell>
          <cell r="T214">
            <v>24.60449999425596</v>
          </cell>
        </row>
        <row r="215">
          <cell r="I215">
            <v>10.87847912735425</v>
          </cell>
          <cell r="K215">
            <v>0.96525508581449126</v>
          </cell>
          <cell r="T215">
            <v>24.7375834907022</v>
          </cell>
        </row>
        <row r="216">
          <cell r="I216">
            <v>10.894579871765924</v>
          </cell>
          <cell r="K216">
            <v>0.96605183248059556</v>
          </cell>
          <cell r="T216">
            <v>24.873297459560863</v>
          </cell>
        </row>
        <row r="217">
          <cell r="I217">
            <v>10.910953495915864</v>
          </cell>
          <cell r="K217">
            <v>0.96686054108346287</v>
          </cell>
          <cell r="T217">
            <v>25.01158029408397</v>
          </cell>
        </row>
        <row r="218">
          <cell r="I218">
            <v>10.927592515057382</v>
          </cell>
          <cell r="K218">
            <v>0.96768070172304144</v>
          </cell>
          <cell r="T218">
            <v>25.152369618774994</v>
          </cell>
        </row>
        <row r="219">
          <cell r="I219">
            <v>10.944489506995499</v>
          </cell>
          <cell r="K219">
            <v>0.96851180291978101</v>
          </cell>
          <cell r="T219">
            <v>25.295602335109727</v>
          </cell>
        </row>
        <row r="220">
          <cell r="I220">
            <v>10.961637120238258</v>
          </cell>
          <cell r="K220">
            <v>0.96935333213624431</v>
          </cell>
          <cell r="T220">
            <v>25.441214667155272</v>
          </cell>
        </row>
        <row r="221">
          <cell r="I221">
            <v>10.979028081613723</v>
          </cell>
          <cell r="K221">
            <v>0.9702047762863053</v>
          </cell>
          <cell r="T221">
            <v>25.589142207004898</v>
          </cell>
        </row>
        <row r="222">
          <cell r="I222">
            <v>10.996655203349142</v>
          </cell>
          <cell r="K222">
            <v>0.97106562223120196</v>
          </cell>
          <cell r="T222">
            <v>25.7393199599484</v>
          </cell>
        </row>
        <row r="223">
          <cell r="I223">
            <v>11.014511389611176</v>
          </cell>
          <cell r="K223">
            <v>0.97193535726175861</v>
          </cell>
          <cell r="T223">
            <v>25.891682389298744</v>
          </cell>
        </row>
        <row r="224">
          <cell r="I224">
            <v>11.032589642507965</v>
          </cell>
          <cell r="K224">
            <v>0.97281346956618042</v>
          </cell>
          <cell r="T224">
            <v>26.046163460798493</v>
          </cell>
        </row>
        <row r="225">
          <cell r="I225">
            <v>11.050883067555807</v>
          </cell>
          <cell r="K225">
            <v>0.97369944868287672</v>
          </cell>
          <cell r="T225">
            <v>26.202696686531851</v>
          </cell>
        </row>
        <row r="226">
          <cell r="I226">
            <v>11.069384878614876</v>
          </cell>
          <cell r="K226">
            <v>0.97459278593784082</v>
          </cell>
          <cell r="T226">
            <v>26.361215168271393</v>
          </cell>
        </row>
        <row r="227">
          <cell r="I227">
            <v>11.088088402300205</v>
          </cell>
          <cell r="K227">
            <v>0.97549297486618836</v>
          </cell>
          <cell r="T227">
            <v>26.521651640191784</v>
          </cell>
        </row>
        <row r="228">
          <cell r="I228">
            <v>11.106987081875399</v>
          </cell>
          <cell r="K228">
            <v>0.97639951161751659</v>
          </cell>
          <cell r="T228">
            <v>26.683938510886904</v>
          </cell>
        </row>
        <row r="229">
          <cell r="I229">
            <v>11.126074480638078</v>
          </cell>
          <cell r="K229">
            <v>0.97731189534482377</v>
          </cell>
          <cell r="T229">
            <v>26.848007904630741</v>
          </cell>
        </row>
        <row r="230">
          <cell r="I230">
            <v>11.145344284807122</v>
          </cell>
          <cell r="K230">
            <v>0.97822962857678464</v>
          </cell>
          <cell r="T230">
            <v>27.01379170182711</v>
          </cell>
        </row>
        <row r="231">
          <cell r="I231">
            <v>11.16479030592296</v>
          </cell>
          <cell r="K231">
            <v>0.97915221757325832</v>
          </cell>
          <cell r="T231">
            <v>27.181221578598191</v>
          </cell>
        </row>
        <row r="232">
          <cell r="I232">
            <v>11.184406482772879</v>
          </cell>
          <cell r="K232">
            <v>0.98007917266395439</v>
          </cell>
          <cell r="T232">
            <v>27.350229045466691</v>
          </cell>
        </row>
        <row r="233">
          <cell r="I233">
            <v>11.204186882854412</v>
          </cell>
          <cell r="K233">
            <v>0.98101000857026255</v>
          </cell>
          <cell r="T233">
            <v>27.520745485092121</v>
          </cell>
        </row>
        <row r="234">
          <cell r="I234">
            <v>11.224125703390222</v>
          </cell>
          <cell r="K234">
            <v>0.98194424471029895</v>
          </cell>
          <cell r="T234">
            <v>27.692702189027393</v>
          </cell>
        </row>
        <row r="235">
          <cell r="I235">
            <v>11.244217271908742</v>
          </cell>
          <cell r="K235">
            <v>0.98288140548729619</v>
          </cell>
          <cell r="T235">
            <v>27.866030393466986</v>
          </cell>
        </row>
        <row r="236">
          <cell r="I236">
            <v>11.264456046405073</v>
          </cell>
          <cell r="K236">
            <v>0.98382102056150911</v>
          </cell>
          <cell r="T236">
            <v>28.040661313965174</v>
          </cell>
        </row>
        <row r="237">
          <cell r="I237">
            <v>11.284836615097095</v>
          </cell>
          <cell r="K237">
            <v>0.98476262510587231</v>
          </cell>
          <cell r="T237">
            <v>28.216526179107174</v>
          </cell>
        </row>
        <row r="238">
          <cell r="I238">
            <v>11.30535369579199</v>
          </cell>
          <cell r="K238">
            <v>0.98570576004569876</v>
          </cell>
          <cell r="T238">
            <v>28.393556263123799</v>
          </cell>
        </row>
        <row r="239">
          <cell r="I239">
            <v>11.326002134878424</v>
          </cell>
          <cell r="K239">
            <v>0.98664997228275131</v>
          </cell>
          <cell r="T239">
            <v>28.571682917445187</v>
          </cell>
        </row>
        <row r="240">
          <cell r="I240">
            <v>11.346776905959914</v>
          </cell>
          <cell r="K240">
            <v>0.98759481490407497</v>
          </cell>
          <cell r="T240">
            <v>28.750837601195709</v>
          </cell>
        </row>
        <row r="241">
          <cell r="I241">
            <v>11.367673108144633</v>
          </cell>
          <cell r="K241">
            <v>0.98853984737601885</v>
          </cell>
          <cell r="T241">
            <v>28.930951910638235</v>
          </cell>
        </row>
        <row r="242">
          <cell r="I242">
            <v>11.388685964007152</v>
          </cell>
          <cell r="K242">
            <v>0.98948463572391299</v>
          </cell>
          <cell r="T242">
            <v>29.111957607581996</v>
          </cell>
        </row>
        <row r="243">
          <cell r="I243">
            <v>11.409810817237096</v>
          </cell>
          <cell r="K243">
            <v>0.99042875269791231</v>
          </cell>
          <cell r="T243">
            <v>29.29378664677364</v>
          </cell>
        </row>
        <row r="244">
          <cell r="I244">
            <v>11.431043129989952</v>
          </cell>
          <cell r="K244">
            <v>0.99137177792554487</v>
          </cell>
          <cell r="T244">
            <v>29.476371202297315</v>
          </cell>
        </row>
        <row r="245">
          <cell r="I245">
            <v>11.452378479954556</v>
          </cell>
          <cell r="K245">
            <v>0.9923132980515369</v>
          </cell>
          <cell r="T245">
            <v>29.659643693014726</v>
          </cell>
        </row>
        <row r="246">
          <cell r="I246">
            <v>11.473812557151932</v>
          </cell>
          <cell r="K246">
            <v>0.99325290686551726</v>
          </cell>
          <cell r="T246">
            <v>29.843536807081268</v>
          </cell>
        </row>
        <row r="247">
          <cell r="I247">
            <v>11.495341160479503</v>
          </cell>
          <cell r="K247">
            <v>0.99419020541821523</v>
          </cell>
          <cell r="T247">
            <v>30.02798352557965</v>
          </cell>
        </row>
        <row r="248">
          <cell r="I248">
            <v>11.516960194014535</v>
          </cell>
          <cell r="K248">
            <v>0.99512480212680143</v>
          </cell>
          <cell r="T248">
            <v>30.21291714531624</v>
          </cell>
        </row>
        <row r="249">
          <cell r="I249">
            <v>11.538665663090258</v>
          </cell>
          <cell r="K249">
            <v>0.99605631287002294</v>
          </cell>
          <cell r="T249">
            <v>30.398271300830679</v>
          </cell>
        </row>
        <row r="250">
          <cell r="I250">
            <v>11.560453670157653</v>
          </cell>
          <cell r="K250">
            <v>0.99698436107380495</v>
          </cell>
          <cell r="T250">
            <v>30.583979985672055</v>
          </cell>
        </row>
        <row r="251">
          <cell r="I251">
            <v>11.582320410445583</v>
          </cell>
          <cell r="K251">
            <v>0.99790857778799535</v>
          </cell>
          <cell r="T251">
            <v>30.769977572999139</v>
          </cell>
        </row>
        <row r="252">
          <cell r="I252">
            <v>11.604262167431463</v>
          </cell>
          <cell r="K252">
            <v>0.99882860175493227</v>
          </cell>
          <cell r="T252">
            <v>30.956198835564976</v>
          </cell>
        </row>
        <row r="253">
          <cell r="I253">
            <v>11.626275308134208</v>
          </cell>
          <cell r="K253">
            <v>0.99974407947051991</v>
          </cell>
          <cell r="T253">
            <v>31.142578965148473</v>
          </cell>
        </row>
        <row r="254">
          <cell r="I254">
            <v>11.648356278240907</v>
          </cell>
          <cell r="K254">
            <v>1.0006546652384873</v>
          </cell>
          <cell r="T254">
            <v>31.329053591497956</v>
          </cell>
        </row>
        <row r="255">
          <cell r="I255">
            <v>11.670501597078111</v>
          </cell>
          <cell r="K255">
            <v>1.0015600212185085</v>
          </cell>
          <cell r="T255">
            <v>31.515558800853107</v>
          </cell>
        </row>
        <row r="256">
          <cell r="I256">
            <v>11.692707852438252</v>
          </cell>
          <cell r="K256">
            <v>1.0024598174688395</v>
          </cell>
          <cell r="T256">
            <v>31.702031154112685</v>
          </cell>
        </row>
        <row r="257">
          <cell r="I257">
            <v>11.714971695271378</v>
          </cell>
          <cell r="K257">
            <v>1.0033537319841259</v>
          </cell>
          <cell r="T257">
            <v>31.888407704716052</v>
          </cell>
        </row>
        <row r="258">
          <cell r="I258">
            <v>11.737289834251907</v>
          </cell>
          <cell r="K258">
            <v>1.0042414507290078</v>
          </cell>
          <cell r="T258">
            <v>32.074626016306389</v>
          </cell>
        </row>
        <row r="259">
          <cell r="I259">
            <v>11.759659030229781</v>
          </cell>
          <cell r="K259">
            <v>1.0051226676681373</v>
          </cell>
          <cell r="T259">
            <v>32.260624180242964</v>
          </cell>
        </row>
        <row r="260">
          <cell r="I260">
            <v>11.782076090575021</v>
          </cell>
          <cell r="K260">
            <v>1.0059970847931912</v>
          </cell>
          <cell r="T260">
            <v>32.446340833028621</v>
          </cell>
        </row>
        <row r="261">
          <cell r="I261">
            <v>11.804537863424434</v>
          </cell>
          <cell r="K261">
            <v>1.0068644121474433</v>
          </cell>
          <cell r="T261">
            <v>32.63171517371709</v>
          </cell>
        </row>
        <row r="262">
          <cell r="I262">
            <v>11.827041231838793</v>
          </cell>
          <cell r="K262">
            <v>1.0077243678484233</v>
          </cell>
          <cell r="T262">
            <v>32.816686981362338</v>
          </cell>
        </row>
        <row r="263">
          <cell r="I263">
            <v>11.849583107878678</v>
          </cell>
          <cell r="K263">
            <v>1.0085766781091658</v>
          </cell>
          <cell r="T263">
            <v>33.001196632569247</v>
          </cell>
        </row>
        <row r="264">
          <cell r="I264">
            <v>11.872160426606762</v>
          </cell>
          <cell r="K264">
            <v>1.0094210772585084</v>
          </cell>
          <cell r="T264">
            <v>33.185185119202401</v>
          </cell>
        </row>
        <row r="265">
          <cell r="I265">
            <v>11.894770140024326</v>
          </cell>
          <cell r="K265">
            <v>1.0102573077608699</v>
          </cell>
          <cell r="T265">
            <v>33.368594066304397</v>
          </cell>
        </row>
        <row r="266">
          <cell r="I266">
            <v>11.917409210949348</v>
          </cell>
          <cell r="K266">
            <v>1.0110851202358924</v>
          </cell>
          <cell r="T266">
            <v>33.551365750272652</v>
          </cell>
        </row>
        <row r="267">
          <cell r="I267">
            <v>11.940074606843586</v>
          </cell>
          <cell r="K267">
            <v>1.0119042734782999</v>
          </cell>
          <cell r="T267">
            <v>33.733443117336968</v>
          </cell>
        </row>
        <row r="268">
          <cell r="I268">
            <v>11.962763293595893</v>
          </cell>
          <cell r="K268">
            <v>1.0127145344782673</v>
          </cell>
          <cell r="T268">
            <v>33.914769802376469</v>
          </cell>
        </row>
        <row r="269">
          <cell r="I269">
            <v>11.985472229268808</v>
          </cell>
          <cell r="K269">
            <v>1.0135156784425661</v>
          </cell>
          <cell r="T269">
            <v>34.095290148107495</v>
          </cell>
        </row>
        <row r="270">
          <cell r="I270">
            <v>12.008198357815731</v>
          </cell>
          <cell r="K270">
            <v>1.0143074888166961</v>
          </cell>
          <cell r="T270">
            <v>34.274949224668816</v>
          </cell>
        </row>
        <row r="271">
          <cell r="I271">
            <v>12.030938602775587</v>
          </cell>
          <cell r="K271">
            <v>1.0150897573081683</v>
          </cell>
          <cell r="T271">
            <v>34.453692849623536</v>
          </cell>
        </row>
        <row r="272">
          <cell r="I272">
            <v>12.053689860952399</v>
          </cell>
          <cell r="K272">
            <v>1.0158622839110589</v>
          </cell>
          <cell r="T272">
            <v>34.631467608390317</v>
          </cell>
        </row>
        <row r="273">
          <cell r="I273">
            <v>12.076448996086873</v>
          </cell>
          <cell r="K273">
            <v>1.0166248769318984</v>
          </cell>
          <cell r="T273">
            <v>34.808220875109512</v>
          </cell>
        </row>
        <row r="274">
          <cell r="I274">
            <v>12.099212832527423</v>
          </cell>
          <cell r="K274">
            <v>1.0173773530169188</v>
          </cell>
          <cell r="T274">
            <v>34.983900833942378</v>
          </cell>
        </row>
        <row r="275">
          <cell r="I275">
            <v>12.121978148908402</v>
          </cell>
          <cell r="K275">
            <v>1.0181195371806306</v>
          </cell>
          <cell r="T275">
            <v>35.158456500793754</v>
          </cell>
        </row>
        <row r="276">
          <cell r="I276">
            <v>12.144741671843036</v>
          </cell>
          <cell r="K276">
            <v>1.018851262835645</v>
          </cell>
          <cell r="T276">
            <v>35.331837745441064</v>
          </cell>
        </row>
        <row r="277">
          <cell r="I277">
            <v>12.167500069639472</v>
          </cell>
          <cell r="K277">
            <v>1.01957237182362</v>
          </cell>
          <cell r="T277">
            <v>35.503995314044545</v>
          </cell>
        </row>
        <row r="278">
          <cell r="I278">
            <v>12.190249946048064</v>
          </cell>
          <cell r="K278">
            <v>1.020282714447148</v>
          </cell>
          <cell r="T278">
            <v>35.67488085200516</v>
          </cell>
        </row>
        <row r="279">
          <cell r="I279">
            <v>12.212987834048798</v>
          </cell>
          <cell r="K279">
            <v>1.0209821495023679</v>
          </cell>
          <cell r="T279">
            <v>35.84444692712988</v>
          </cell>
        </row>
        <row r="280">
          <cell r="I280">
            <v>12.235710189687937</v>
          </cell>
          <cell r="K280">
            <v>1.0216705443120255</v>
          </cell>
          <cell r="T280">
            <v>36.012647053054536</v>
          </cell>
        </row>
        <row r="281">
          <cell r="I281">
            <v>12.25841338597343</v>
          </cell>
          <cell r="K281">
            <v>1.0223477747586711</v>
          </cell>
          <cell r="T281">
            <v>36.179435712867594</v>
          </cell>
        </row>
        <row r="282">
          <cell r="I282">
            <v>12.281093706839203</v>
          </cell>
          <cell r="K282">
            <v>1.0230137253176346</v>
          </cell>
          <cell r="T282">
            <v>36.344768382870527</v>
          </cell>
        </row>
        <row r="283">
          <cell r="I283">
            <v>12.303747341188917</v>
          </cell>
          <cell r="K283">
            <v>1.0236682890893776</v>
          </cell>
          <cell r="T283">
            <v>36.508601556402283</v>
          </cell>
        </row>
        <row r="284">
          <cell r="I284">
            <v>12.326370377030226</v>
          </cell>
          <cell r="K284">
            <v>1.0243113678307814</v>
          </cell>
          <cell r="T284">
            <v>36.670892767648695</v>
          </cell>
        </row>
        <row r="285">
          <cell r="I285">
            <v>12.348958795711455</v>
          </cell>
          <cell r="K285">
            <v>1.0249428719848979</v>
          </cell>
          <cell r="T285">
            <v>36.831600615350567</v>
          </cell>
        </row>
        <row r="286">
          <cell r="I286">
            <v>12.371508466272868</v>
          </cell>
          <cell r="K286">
            <v>1.025562720708646</v>
          </cell>
          <cell r="T286">
            <v>36.990684786317473</v>
          </cell>
        </row>
        <row r="287">
          <cell r="I287">
            <v>12.394015139925731</v>
          </cell>
          <cell r="K287">
            <v>1.0261708418979132</v>
          </cell>
          <cell r="T287">
            <v>37.148106078648368</v>
          </cell>
        </row>
        <row r="288">
          <cell r="I288">
            <v>12.416474444672822</v>
          </cell>
          <cell r="K288">
            <v>1.0267671722094867</v>
          </cell>
          <cell r="T288">
            <v>37.303826424554515</v>
          </cell>
        </row>
        <row r="289">
          <cell r="I289">
            <v>12.438881880084809</v>
          </cell>
          <cell r="K289">
            <v>1.0273516570792156</v>
          </cell>
          <cell r="T289">
            <v>37.457808912674437</v>
          </cell>
        </row>
        <row r="290">
          <cell r="I290">
            <v>12.461232812247786</v>
          </cell>
          <cell r="K290">
            <v>1.0279242507357855</v>
          </cell>
          <cell r="T290">
            <v>37.610017809767371</v>
          </cell>
        </row>
        <row r="291">
          <cell r="I291">
            <v>12.483522468897803</v>
          </cell>
          <cell r="K291">
            <v>1.0284849162094551</v>
          </cell>
          <cell r="T291">
            <v>37.760418581666087</v>
          </cell>
        </row>
        <row r="292">
          <cell r="I292">
            <v>12.505745934759188</v>
          </cell>
          <cell r="K292">
            <v>1.0290336253351089</v>
          </cell>
          <cell r="T292">
            <v>37.908977913368176</v>
          </cell>
        </row>
        <row r="293">
          <cell r="I293">
            <v>12.527898147104127</v>
          </cell>
          <cell r="K293">
            <v>1.0295703587489491</v>
          </cell>
          <cell r="T293">
            <v>38.055663728141198</v>
          </cell>
        </row>
        <row r="294">
          <cell r="I294">
            <v>12.549973891551732</v>
          </cell>
          <cell r="K294">
            <v>1.0300951058781556</v>
          </cell>
          <cell r="T294">
            <v>38.200445205516317</v>
          </cell>
        </row>
        <row r="295">
          <cell r="I295">
            <v>12.571967798125707</v>
          </cell>
          <cell r="K295">
            <v>1.0306078649228301</v>
          </cell>
          <cell r="T295">
            <v>38.34329279804254</v>
          </cell>
        </row>
        <row r="296">
          <cell r="I296">
            <v>12.593874337590313</v>
          </cell>
          <cell r="K296">
            <v>1.0311086428295455</v>
          </cell>
          <cell r="T296">
            <v>38.484178246675384</v>
          </cell>
        </row>
        <row r="297">
          <cell r="I297">
            <v>12.615687818085217</v>
          </cell>
          <cell r="K297">
            <v>1.0315974552558274</v>
          </cell>
          <cell r="T297">
            <v>38.623074594672374</v>
          </cell>
        </row>
        <row r="298">
          <cell r="I298">
            <v>12.637402382080378</v>
          </cell>
          <cell r="K298">
            <v>1.0320743265248982</v>
          </cell>
          <cell r="T298">
            <v>38.759956199870359</v>
          </cell>
        </row>
        <row r="299">
          <cell r="I299">
            <v>12.65901200367289</v>
          </cell>
          <cell r="K299">
            <v>1.032539289570032</v>
          </cell>
          <cell r="T299">
            <v>38.894798745221976</v>
          </cell>
        </row>
        <row r="300">
          <cell r="I300">
            <v>12.680510486248172</v>
          </cell>
          <cell r="K300">
            <v>1.0329923858678827</v>
          </cell>
          <cell r="T300">
            <v>39.027579247470733</v>
          </cell>
        </row>
        <row r="301">
          <cell r="I301">
            <v>12.701891460528639</v>
          </cell>
          <cell r="K301">
            <v>1.0334336653601741</v>
          </cell>
          <cell r="T301">
            <v>39.158276063849144</v>
          </cell>
        </row>
        <row r="302">
          <cell r="I302">
            <v>12.723148383033188</v>
          </cell>
          <cell r="K302">
            <v>1.03386318636316</v>
          </cell>
          <cell r="T302">
            <v>39.286868896688745</v>
          </cell>
        </row>
        <row r="303">
          <cell r="I303">
            <v>12.744274534971474</v>
          </cell>
          <cell r="K303">
            <v>1.0342810154643007</v>
          </cell>
          <cell r="T303">
            <v>39.413338795836367</v>
          </cell>
        </row>
        <row r="304">
          <cell r="I304">
            <v>12.765263021597068</v>
          </cell>
          <cell r="K304">
            <v>1.034687227405628</v>
          </cell>
          <cell r="T304">
            <v>39.537668158777905</v>
          </cell>
        </row>
        <row r="305">
          <cell r="I305">
            <v>12.786106772043812</v>
          </cell>
          <cell r="K305">
            <v>1.0350819049533166</v>
          </cell>
          <cell r="T305">
            <v>39.659840728377716</v>
          </cell>
        </row>
        <row r="306">
          <cell r="I306">
            <v>12.806798539669806</v>
          </cell>
          <cell r="K306">
            <v>1.0354651387530205</v>
          </cell>
          <cell r="T306">
            <v>39.779841588149978</v>
          </cell>
        </row>
        <row r="307">
          <cell r="I307">
            <v>12.82733090293323</v>
          </cell>
          <cell r="K307">
            <v>1.0358370271705748</v>
          </cell>
          <cell r="T307">
            <v>39.897657154987527</v>
          </cell>
        </row>
        <row r="308">
          <cell r="I308">
            <v>12.847696266824101</v>
          </cell>
          <cell r="K308">
            <v>1.0361976761177196</v>
          </cell>
          <cell r="T308">
            <v>40.013275169282224</v>
          </cell>
        </row>
        <row r="309">
          <cell r="I309">
            <v>12.867886864875677</v>
          </cell>
          <cell r="K309">
            <v>1.0365471988625521</v>
          </cell>
          <cell r="T309">
            <v>40.126684682382106</v>
          </cell>
        </row>
        <row r="310">
          <cell r="I310">
            <v>12.887894761778501</v>
          </cell>
          <cell r="K310">
            <v>1.0368857158244706</v>
          </cell>
          <cell r="T310">
            <v>40.237876041340378</v>
          </cell>
        </row>
        <row r="311">
          <cell r="I311">
            <v>12.907711856619468</v>
          </cell>
          <cell r="K311">
            <v>1.0372133543534348</v>
          </cell>
          <cell r="T311">
            <v>40.346840870923295</v>
          </cell>
        </row>
        <row r="312">
          <cell r="I312">
            <v>12.927329886767305</v>
          </cell>
          <cell r="K312">
            <v>1.0375302484934286</v>
          </cell>
          <cell r="T312">
            <v>40.453572052854859</v>
          </cell>
        </row>
        <row r="313">
          <cell r="I313">
            <v>12.946740432424651</v>
          </cell>
          <cell r="K313">
            <v>1.0378365387300734</v>
          </cell>
          <cell r="T313">
            <v>40.558063702289274</v>
          </cell>
        </row>
        <row r="314">
          <cell r="I314">
            <v>12.965934921865541</v>
          </cell>
          <cell r="K314">
            <v>1.0381323717224153</v>
          </cell>
          <cell r="T314">
            <v>40.660311141513574</v>
          </cell>
        </row>
        <row r="315">
          <cell r="I315">
            <v>12.984904637375484</v>
          </cell>
          <cell r="K315">
            <v>1.0384179000189673</v>
          </cell>
          <cell r="T315">
            <v>40.76031087089649</v>
          </cell>
        </row>
        <row r="316">
          <cell r="I316">
            <v>13.003640721909486</v>
          </cell>
          <cell r="K316">
            <v>1.0386932817581682</v>
          </cell>
          <cell r="T316">
            <v>40.858060537111371</v>
          </cell>
        </row>
        <row r="317">
          <cell r="I317">
            <v>13.022134186481196</v>
          </cell>
          <cell r="K317">
            <v>1.0389586803534896</v>
          </cell>
          <cell r="T317">
            <v>40.95355889867507</v>
          </cell>
        </row>
        <row r="318">
          <cell r="I318">
            <v>13.040375918294128</v>
          </cell>
          <cell r="K318">
            <v>1.0392142641634872</v>
          </cell>
          <cell r="T318">
            <v>41.046805788856631</v>
          </cell>
        </row>
        <row r="319">
          <cell r="I319">
            <v>13.058356689623087</v>
          </cell>
          <cell r="K319">
            <v>1.0394602061471769</v>
          </cell>
          <cell r="T319">
            <v>41.137802076023092</v>
          </cell>
        </row>
        <row r="320">
          <cell r="I320">
            <v>13.076067167451267</v>
          </cell>
          <cell r="K320">
            <v>1.0396966835051891</v>
          </cell>
          <cell r="T320">
            <v>41.226549621502578</v>
          </cell>
        </row>
        <row r="321">
          <cell r="I321">
            <v>13.093497923865337</v>
          </cell>
          <cell r="K321">
            <v>1.0399238773072104</v>
          </cell>
          <cell r="T321">
            <v>41.31305123505652</v>
          </cell>
        </row>
        <row r="322">
          <cell r="I322">
            <v>13.110639447207307</v>
          </cell>
          <cell r="K322">
            <v>1.0401419721063272</v>
          </cell>
          <cell r="T322">
            <v>41.397310628066037</v>
          </cell>
        </row>
        <row r="323">
          <cell r="I323">
            <v>13.127482153978651</v>
          </cell>
          <cell r="K323">
            <v>1.0403511555409204</v>
          </cell>
          <cell r="T323">
            <v>41.479332364548611</v>
          </cell>
        </row>
        <row r="324">
          <cell r="I324">
            <v>13.144016401488095</v>
          </cell>
          <cell r="K324">
            <v>1.0405516179248628</v>
          </cell>
          <cell r="T324">
            <v>41.559121810132794</v>
          </cell>
        </row>
        <row r="325">
          <cell r="I325">
            <v>13.160232501230519</v>
          </cell>
          <cell r="K325">
            <v>1.0407435518268184</v>
          </cell>
          <cell r="T325">
            <v>41.636685079129691</v>
          </cell>
        </row>
        <row r="326">
          <cell r="I326">
            <v>13.176120732980356</v>
          </cell>
          <cell r="K326">
            <v>1.0409271516395178</v>
          </cell>
          <cell r="T326">
            <v>41.712028979849315</v>
          </cell>
        </row>
        <row r="327">
          <cell r="I327">
            <v>13.191671359578162</v>
          </cell>
          <cell r="K327">
            <v>1.0411026131399503</v>
          </cell>
          <cell r="T327">
            <v>41.785160958320809</v>
          </cell>
        </row>
        <row r="328">
          <cell r="I328">
            <v>13.206874642384781</v>
          </cell>
          <cell r="K328">
            <v>1.0412701330414673</v>
          </cell>
          <cell r="T328">
            <v>41.856089040582916</v>
          </cell>
        </row>
        <row r="329">
          <cell r="I329">
            <v>13.221720857372709</v>
          </cell>
          <cell r="K329">
            <v>1.0414299085388574</v>
          </cell>
          <cell r="T329">
            <v>41.924821773720296</v>
          </cell>
        </row>
        <row r="330">
          <cell r="I330">
            <v>13.236200311819495</v>
          </cell>
          <cell r="K330">
            <v>1.0415821368474991</v>
          </cell>
          <cell r="T330">
            <v>41.991368165827453</v>
          </cell>
        </row>
        <row r="331">
          <cell r="I331">
            <v>13.250303361563352</v>
          </cell>
          <cell r="K331">
            <v>1.0417270147377604</v>
          </cell>
          <cell r="T331">
            <v>42.055737625089591</v>
          </cell>
        </row>
        <row r="332">
          <cell r="I332">
            <v>13.264020428776165</v>
          </cell>
          <cell r="K332">
            <v>1.0418647380658455</v>
          </cell>
          <cell r="T332">
            <v>42.117939898174072</v>
          </cell>
        </row>
        <row r="333">
          <cell r="I333">
            <v>13.277342020204403</v>
          </cell>
          <cell r="K333">
            <v>1.0419955013023439</v>
          </cell>
          <cell r="T333">
            <v>42.17798500813155</v>
          </cell>
        </row>
        <row r="334">
          <cell r="I334">
            <v>13.290258745823692</v>
          </cell>
          <cell r="K334">
            <v>1.0421194970597658</v>
          </cell>
          <cell r="T334">
            <v>42.235883192008956</v>
          </cell>
        </row>
        <row r="335">
          <cell r="I335">
            <v>13.302761337848288</v>
          </cell>
          <cell r="K335">
            <v>1.0422369156203868</v>
          </cell>
          <cell r="T335">
            <v>42.291644838379867</v>
          </cell>
        </row>
        <row r="336">
          <cell r="I336">
            <v>13.314840670031995</v>
          </cell>
          <cell r="K336">
            <v>1.0423479444657391</v>
          </cell>
          <cell r="T336">
            <v>42.345280424998855</v>
          </cell>
        </row>
        <row r="337">
          <cell r="I337">
            <v>13.326487777193289</v>
          </cell>
          <cell r="K337">
            <v>1.0424527678091269</v>
          </cell>
          <cell r="T337">
            <v>42.396800456787844</v>
          </cell>
        </row>
        <row r="338">
          <cell r="I338">
            <v>13.33769387489302</v>
          </cell>
          <cell r="K338">
            <v>1.0425515661325413</v>
          </cell>
          <cell r="T338">
            <v>42.446215404362263</v>
          </cell>
        </row>
        <row r="339">
          <cell r="I339">
            <v>13.348450379189718</v>
          </cell>
          <cell r="K339">
            <v>1.0426445157293678</v>
          </cell>
          <cell r="T339">
            <v>42.493535643303574</v>
          </cell>
        </row>
        <row r="340">
          <cell r="I340">
            <v>13.358748926394169</v>
          </cell>
          <cell r="K340">
            <v>1.0427317882542817</v>
          </cell>
          <cell r="T340">
            <v>42.538771394383659</v>
          </cell>
        </row>
        <row r="341">
          <cell r="I341">
            <v>13.368581392741991</v>
          </cell>
          <cell r="K341">
            <v>1.0428135502817324</v>
          </cell>
          <cell r="T341">
            <v>42.581932664942727</v>
          </cell>
        </row>
        <row r="342">
          <cell r="I342">
            <v>13.37793991390074</v>
          </cell>
          <cell r="K342">
            <v>1.042889962874388</v>
          </cell>
          <cell r="T342">
            <v>42.623029191619999</v>
          </cell>
        </row>
        <row r="343">
          <cell r="I343">
            <v>13.386816904225913</v>
          </cell>
          <cell r="K343">
            <v>1.042961181162926</v>
          </cell>
          <cell r="T343">
            <v>42.66207038463164</v>
          </cell>
        </row>
        <row r="344">
          <cell r="I344">
            <v>13.395205075679121</v>
          </cell>
          <cell r="K344">
            <v>1.0430273539385098</v>
          </cell>
          <cell r="T344">
            <v>42.699065273785024</v>
          </cell>
        </row>
        <row r="345">
          <cell r="I345">
            <v>13.40309745632074</v>
          </cell>
          <cell r="K345">
            <v>1.0430886232592806</v>
          </cell>
          <cell r="T345">
            <v>42.734022456413641</v>
          </cell>
        </row>
        <row r="346">
          <cell r="I346">
            <v>13.410487408289292</v>
          </cell>
          <cell r="K346">
            <v>1.0431451240721528</v>
          </cell>
          <cell r="T346">
            <v>42.766950047409651</v>
          </cell>
        </row>
        <row r="347">
          <cell r="I347">
            <v>13.417368645180208</v>
          </cell>
          <cell r="K347">
            <v>1.0431969838511672</v>
          </cell>
          <cell r="T347">
            <v>42.797855631524406</v>
          </cell>
        </row>
        <row r="348">
          <cell r="I348">
            <v>13.423735248737781</v>
          </cell>
          <cell r="K348">
            <v>1.0432443222536116</v>
          </cell>
          <cell r="T348">
            <v>42.826746218100261</v>
          </cell>
        </row>
        <row r="349">
          <cell r="I349">
            <v>13.429581684775858</v>
          </cell>
          <cell r="K349">
            <v>1.043287250795065</v>
          </cell>
          <cell r="T349">
            <v>42.853628198387739</v>
          </cell>
        </row>
        <row r="350">
          <cell r="I350">
            <v>13.434902818245344</v>
          </cell>
          <cell r="K350">
            <v>1.043325872544469</v>
          </cell>
          <cell r="T350">
            <v>42.878507305594937</v>
          </cell>
        </row>
        <row r="351">
          <cell r="I351">
            <v>13.439693927369586</v>
          </cell>
          <cell r="K351">
            <v>1.0433602818402716</v>
          </cell>
          <cell r="T351">
            <v>42.901388577805832</v>
          </cell>
        </row>
        <row r="352">
          <cell r="I352">
            <v>13.443950716772623</v>
          </cell>
          <cell r="K352">
            <v>1.043390564028623</v>
          </cell>
          <cell r="T352">
            <v>42.922276323896114</v>
          </cell>
        </row>
        <row r="353">
          <cell r="I353">
            <v>13.447669329529568</v>
          </cell>
          <cell r="K353">
            <v>1.0434167952245224</v>
          </cell>
          <cell r="T353">
            <v>42.941174092563962</v>
          </cell>
        </row>
        <row r="354">
          <cell r="I354">
            <v>13.450846358073472</v>
          </cell>
          <cell r="K354">
            <v>1.0434390420967636</v>
          </cell>
          <cell r="T354">
            <v>42.958084644584673</v>
          </cell>
        </row>
        <row r="355">
          <cell r="I355">
            <v>13.453478853898625</v>
          </cell>
          <cell r="K355">
            <v>1.0434573616774252</v>
          </cell>
          <cell r="T355">
            <v>42.973009928386787</v>
          </cell>
        </row>
        <row r="356">
          <cell r="I356">
            <v>13.455564336006312</v>
          </cell>
          <cell r="K356">
            <v>1.0434718011965771</v>
          </cell>
          <cell r="T356">
            <v>42.985951059037113</v>
          </cell>
        </row>
        <row r="357">
          <cell r="I357">
            <v>13.457100798045776</v>
          </cell>
          <cell r="K357">
            <v>1.0434823979428147</v>
          </cell>
          <cell r="T357">
            <v>42.996908300711738</v>
          </cell>
        </row>
        <row r="358">
          <cell r="I358">
            <v>13.458086714110046</v>
          </cell>
          <cell r="K358">
            <v>1.0434891791500842</v>
          </cell>
          <cell r="T358">
            <v>43.005881052718408</v>
          </cell>
        </row>
        <row r="359">
          <cell r="I359">
            <v>13.458521043153825</v>
          </cell>
          <cell r="K359">
            <v>1.0434921619112543</v>
          </cell>
          <cell r="T359">
            <v>43.012867839125683</v>
          </cell>
        </row>
        <row r="360">
          <cell r="I360">
            <v>13.458403232008276</v>
          </cell>
          <cell r="K360">
            <v>1.0434913531187173</v>
          </cell>
          <cell r="T360">
            <v>43.017866302041909</v>
          </cell>
        </row>
        <row r="361">
          <cell r="I361">
            <v>13.457733216975646</v>
          </cell>
          <cell r="K361">
            <v>1.0434867494322762</v>
          </cell>
          <cell r="T361">
            <v>43.020873198576822</v>
          </cell>
        </row>
        <row r="362">
          <cell r="I362">
            <v>13.456511423994518</v>
          </cell>
          <cell r="K362">
            <v>1.0434783372744176</v>
          </cell>
          <cell r="T362">
            <v>43.021884401506568</v>
          </cell>
        </row>
        <row r="363">
          <cell r="I363">
            <v>13.454738767374977</v>
          </cell>
          <cell r="K363">
            <v>1.0434660928530486</v>
          </cell>
          <cell r="T363">
            <v>43.020894903651737</v>
          </cell>
        </row>
        <row r="364">
          <cell r="I364">
            <v>13.45241664711107</v>
          </cell>
          <cell r="K364">
            <v>1.0434499822115912</v>
          </cell>
          <cell r="T364">
            <v>43.017898825966327</v>
          </cell>
        </row>
        <row r="365">
          <cell r="I365">
            <v>13.449546944786</v>
          </cell>
          <cell r="K365">
            <v>1.0434299613063189</v>
          </cell>
          <cell r="T365">
            <v>43.012889429324311</v>
          </cell>
        </row>
        <row r="366">
          <cell r="I366">
            <v>13.446132018093639</v>
          </cell>
          <cell r="K366">
            <v>1.0434059761106758</v>
          </cell>
          <cell r="T366">
            <v>43.005859129978646</v>
          </cell>
        </row>
        <row r="367">
          <cell r="I367">
            <v>13.44217469400769</v>
          </cell>
          <cell r="K367">
            <v>1.0433779627462227</v>
          </cell>
          <cell r="T367">
            <v>42.996799518656061</v>
          </cell>
        </row>
        <row r="368">
          <cell r="I368">
            <v>13.437678260637247</v>
          </cell>
          <cell r="K368">
            <v>1.0433458476398019</v>
          </cell>
          <cell r="T368">
            <v>42.985701383239665</v>
          </cell>
        </row>
      </sheetData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60"/>
  <sheetViews>
    <sheetView tabSelected="1" zoomScale="75" zoomScaleNormal="75" workbookViewId="0">
      <selection activeCell="A8" sqref="A8"/>
    </sheetView>
  </sheetViews>
  <sheetFormatPr defaultColWidth="11.42578125" defaultRowHeight="12.75"/>
  <cols>
    <col min="1" max="1" width="8.7109375" style="7" customWidth="1"/>
    <col min="2" max="8" width="12.7109375" style="7" customWidth="1"/>
    <col min="9" max="25" width="8.7109375" style="7" customWidth="1"/>
    <col min="26" max="27" width="12.7109375" style="7" customWidth="1"/>
    <col min="28" max="16384" width="11.42578125" style="7"/>
  </cols>
  <sheetData>
    <row r="1" spans="1:28" ht="18" customHeight="1">
      <c r="A1" s="1" t="s">
        <v>0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6"/>
      <c r="Y1" s="6"/>
      <c r="Z1" s="6"/>
      <c r="AA1" s="6"/>
      <c r="AB1" s="3"/>
    </row>
    <row r="2" spans="1:28" ht="18" customHeight="1">
      <c r="A2" s="3"/>
      <c r="B2" s="8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8" t="s">
        <v>3</v>
      </c>
      <c r="V2" s="3"/>
      <c r="W2" s="3"/>
      <c r="X2" s="3"/>
      <c r="Y2" s="3"/>
      <c r="Z2" s="3"/>
      <c r="AA2" s="3"/>
      <c r="AB2" s="3"/>
    </row>
    <row r="3" spans="1:28" ht="18" customHeight="1">
      <c r="A3" s="3"/>
      <c r="B3" s="8" t="s">
        <v>4</v>
      </c>
      <c r="C3" s="3"/>
      <c r="D3" s="3"/>
      <c r="E3" s="3"/>
      <c r="F3" s="3"/>
      <c r="G3" s="4" t="s">
        <v>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8" t="s">
        <v>6</v>
      </c>
      <c r="V3" s="9"/>
      <c r="W3" s="6"/>
      <c r="X3" s="6"/>
      <c r="Y3" s="6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8" customHeight="1" thickTop="1" thickBot="1">
      <c r="A5" s="10" t="s">
        <v>7</v>
      </c>
      <c r="B5" s="11"/>
      <c r="C5" s="12" t="s">
        <v>8</v>
      </c>
      <c r="D5" s="13"/>
      <c r="E5" s="14"/>
      <c r="F5" s="13"/>
      <c r="G5" s="13"/>
      <c r="H5" s="15"/>
      <c r="I5" s="16" t="s">
        <v>9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2"/>
      <c r="Y5" s="17"/>
      <c r="Z5" s="14"/>
      <c r="AA5" s="18"/>
      <c r="AB5" s="3"/>
    </row>
    <row r="6" spans="1:28" ht="18" customHeight="1">
      <c r="A6" s="19"/>
      <c r="B6" s="20" t="s">
        <v>10</v>
      </c>
      <c r="C6" s="21" t="s">
        <v>11</v>
      </c>
      <c r="D6" s="22" t="s">
        <v>12</v>
      </c>
      <c r="E6" s="21" t="s">
        <v>12</v>
      </c>
      <c r="F6" s="23" t="s">
        <v>13</v>
      </c>
      <c r="G6" s="23" t="s">
        <v>14</v>
      </c>
      <c r="H6" s="23" t="s">
        <v>15</v>
      </c>
      <c r="I6" s="24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6"/>
      <c r="V6" s="27"/>
      <c r="W6" s="28"/>
      <c r="X6" s="29"/>
      <c r="Y6" s="30"/>
      <c r="Z6" s="31" t="s">
        <v>16</v>
      </c>
      <c r="AA6" s="32" t="s">
        <v>17</v>
      </c>
      <c r="AB6" s="3"/>
    </row>
    <row r="7" spans="1:28" ht="18" customHeight="1" thickBot="1">
      <c r="A7" s="33"/>
      <c r="B7" s="34" t="s">
        <v>18</v>
      </c>
      <c r="C7" s="35" t="s">
        <v>19</v>
      </c>
      <c r="D7" s="22" t="s">
        <v>20</v>
      </c>
      <c r="E7" s="23" t="s">
        <v>20</v>
      </c>
      <c r="F7" s="23" t="s">
        <v>21</v>
      </c>
      <c r="G7" s="23" t="s">
        <v>22</v>
      </c>
      <c r="H7" s="23" t="s">
        <v>23</v>
      </c>
      <c r="I7" s="36" t="s">
        <v>24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7"/>
      <c r="W7" s="38"/>
      <c r="X7" s="39" t="s">
        <v>25</v>
      </c>
      <c r="Y7" s="40"/>
      <c r="Z7" s="41" t="s">
        <v>26</v>
      </c>
      <c r="AA7" s="42" t="s">
        <v>27</v>
      </c>
      <c r="AB7" s="3"/>
    </row>
    <row r="8" spans="1:28" ht="18" customHeight="1" thickBot="1">
      <c r="A8" s="43"/>
      <c r="B8" s="44" t="s">
        <v>28</v>
      </c>
      <c r="C8" s="39" t="s">
        <v>29</v>
      </c>
      <c r="D8" s="45" t="s">
        <v>30</v>
      </c>
      <c r="E8" s="46" t="s">
        <v>31</v>
      </c>
      <c r="F8" s="46" t="s">
        <v>31</v>
      </c>
      <c r="G8" s="45" t="s">
        <v>31</v>
      </c>
      <c r="H8" s="23" t="s">
        <v>32</v>
      </c>
      <c r="I8" s="47" t="s">
        <v>33</v>
      </c>
      <c r="J8" s="48" t="s">
        <v>34</v>
      </c>
      <c r="K8" s="48" t="s">
        <v>35</v>
      </c>
      <c r="L8" s="48" t="s">
        <v>36</v>
      </c>
      <c r="M8" s="48" t="s">
        <v>37</v>
      </c>
      <c r="N8" s="48" t="s">
        <v>38</v>
      </c>
      <c r="O8" s="49" t="s">
        <v>39</v>
      </c>
      <c r="P8" s="48" t="s">
        <v>40</v>
      </c>
      <c r="Q8" s="48" t="s">
        <v>41</v>
      </c>
      <c r="R8" s="48" t="s">
        <v>42</v>
      </c>
      <c r="S8" s="48" t="s">
        <v>43</v>
      </c>
      <c r="T8" s="48" t="s">
        <v>44</v>
      </c>
      <c r="U8" s="48" t="s">
        <v>45</v>
      </c>
      <c r="V8" s="50" t="s">
        <v>46</v>
      </c>
      <c r="W8" s="31" t="s">
        <v>47</v>
      </c>
      <c r="X8" s="51" t="s">
        <v>48</v>
      </c>
      <c r="Y8" s="52" t="s">
        <v>49</v>
      </c>
      <c r="Z8" s="53" t="s">
        <v>49</v>
      </c>
      <c r="AA8" s="54" t="s">
        <v>49</v>
      </c>
      <c r="AB8" s="3"/>
    </row>
    <row r="9" spans="1:28" ht="18" customHeight="1">
      <c r="A9" s="55">
        <v>1</v>
      </c>
      <c r="B9" s="56">
        <v>17.399999999999999</v>
      </c>
      <c r="C9" s="57">
        <f>'[1]cálculos teóricos'!K3</f>
        <v>1.0433095476903587</v>
      </c>
      <c r="D9" s="58">
        <f>IF(B9&gt;0,B9*C9*14.25*1.022,-999)</f>
        <v>264.37975160152052</v>
      </c>
      <c r="E9" s="59">
        <f>IF(B9&gt;0,D9*4.1868/100,-999)</f>
        <v>11.06905144005246</v>
      </c>
      <c r="F9" s="60">
        <f>IF(B9&gt;0,(7.86+1.25*D9)*4.1868/100,-999)</f>
        <v>14.165396780065578</v>
      </c>
      <c r="G9" s="61">
        <f>'[1]cálculos teóricos'!T3</f>
        <v>42.972554729067994</v>
      </c>
      <c r="H9" s="62">
        <f>IF(B9&gt;0,100*F9/G9,-999)</f>
        <v>32.963822768683698</v>
      </c>
      <c r="I9" s="63"/>
      <c r="J9" s="63"/>
      <c r="K9" s="63"/>
      <c r="L9" s="63"/>
      <c r="M9" s="63"/>
      <c r="N9" s="63"/>
      <c r="O9" s="64">
        <v>0.6</v>
      </c>
      <c r="P9" s="65">
        <v>0.6</v>
      </c>
      <c r="Q9" s="66">
        <v>0.6</v>
      </c>
      <c r="R9" s="66">
        <v>0.1</v>
      </c>
      <c r="S9" s="66"/>
      <c r="T9" s="66"/>
      <c r="U9" s="66"/>
      <c r="V9" s="64"/>
      <c r="W9" s="67">
        <f>SUM(I9:O9)</f>
        <v>0.6</v>
      </c>
      <c r="X9" s="68">
        <f>SUM(P9:V9)</f>
        <v>1.3</v>
      </c>
      <c r="Y9" s="69">
        <f>W9+X9</f>
        <v>1.9</v>
      </c>
      <c r="Z9" s="70">
        <f>'[1]cálculos teóricos'!I3</f>
        <v>13.432646455605028</v>
      </c>
      <c r="AA9" s="71">
        <f>100*Y9/Z9</f>
        <v>14.144643844230627</v>
      </c>
      <c r="AB9" s="3"/>
    </row>
    <row r="10" spans="1:28" ht="18" customHeight="1">
      <c r="A10" s="72">
        <v>2</v>
      </c>
      <c r="B10" s="56">
        <v>16.399999999999999</v>
      </c>
      <c r="C10" s="73">
        <f>'[1]cálculos teóricos'!K4</f>
        <v>1.0432689705391567</v>
      </c>
      <c r="D10" s="58">
        <f>IF(B10&gt;0,B10*C10*14.25*1.022,-999)</f>
        <v>249.17582150013089</v>
      </c>
      <c r="E10" s="59">
        <f>IF(B10&gt;0,D10*4.1868/100,-999)</f>
        <v>10.432493294567481</v>
      </c>
      <c r="F10" s="60">
        <f>IF(B10&gt;0,(7.86+1.25*D10)*4.1868/100,-999)</f>
        <v>13.369699098209351</v>
      </c>
      <c r="G10" s="61">
        <f>'[1]cálculos teóricos'!T4</f>
        <v>42.957348831388643</v>
      </c>
      <c r="H10" s="74">
        <f>IF(B10&gt;0,100*F10/G10,-999)</f>
        <v>31.123194195914163</v>
      </c>
      <c r="I10" s="56"/>
      <c r="J10" s="75"/>
      <c r="K10" s="75"/>
      <c r="L10" s="75"/>
      <c r="M10" s="75"/>
      <c r="N10" s="75"/>
      <c r="O10" s="76">
        <v>0.1</v>
      </c>
      <c r="P10" s="65"/>
      <c r="Q10" s="66"/>
      <c r="R10" s="66">
        <v>0.4</v>
      </c>
      <c r="S10" s="66"/>
      <c r="T10" s="66"/>
      <c r="U10" s="66"/>
      <c r="V10" s="77"/>
      <c r="W10" s="67">
        <f t="shared" ref="W10:W39" si="0">SUM(I10:O10)</f>
        <v>0.1</v>
      </c>
      <c r="X10" s="68">
        <f t="shared" ref="X10:X39" si="1">SUM(P10:V10)</f>
        <v>0.4</v>
      </c>
      <c r="Y10" s="69">
        <f t="shared" ref="Y10:Y39" si="2">W10+X10</f>
        <v>0.5</v>
      </c>
      <c r="Z10" s="70">
        <f>'[1]cálculos teóricos'!I4</f>
        <v>13.427083464038553</v>
      </c>
      <c r="AA10" s="71">
        <f t="shared" ref="AA10:AA39" si="3">100*Y10/Z10</f>
        <v>3.7238168760858485</v>
      </c>
      <c r="AB10" s="3"/>
    </row>
    <row r="11" spans="1:28" ht="18" customHeight="1">
      <c r="A11" s="72">
        <v>3</v>
      </c>
      <c r="B11" s="56">
        <v>32.1</v>
      </c>
      <c r="C11" s="73">
        <f>'[1]cálculos teóricos'!K5</f>
        <v>1.0432240147113081</v>
      </c>
      <c r="D11" s="58">
        <f t="shared" ref="D11:D39" si="4">IF(B11&gt;0,B11*C11*14.25*1.022,-999)</f>
        <v>487.69507331776515</v>
      </c>
      <c r="E11" s="59">
        <f t="shared" ref="E11:E39" si="5">IF(B11&gt;0,D11*4.1868/100,-999)</f>
        <v>20.41881732966819</v>
      </c>
      <c r="F11" s="60">
        <f t="shared" ref="F11:F39" si="6">IF(B11&gt;0,(7.86+1.25*D11)*4.1868/100,-999)</f>
        <v>25.852604142085237</v>
      </c>
      <c r="G11" s="61">
        <f>'[1]cálculos teóricos'!T5</f>
        <v>42.94007223550922</v>
      </c>
      <c r="H11" s="74">
        <f t="shared" ref="H11:H39" si="7">IF(B11&gt;0,100*F11/G11,-999)</f>
        <v>60.206242784814116</v>
      </c>
      <c r="I11" s="56"/>
      <c r="J11" s="75">
        <v>0.5</v>
      </c>
      <c r="K11" s="75">
        <v>1</v>
      </c>
      <c r="L11" s="75">
        <v>1</v>
      </c>
      <c r="M11" s="75">
        <v>1</v>
      </c>
      <c r="N11" s="75">
        <v>1</v>
      </c>
      <c r="O11" s="76">
        <v>1</v>
      </c>
      <c r="P11" s="65">
        <v>1</v>
      </c>
      <c r="Q11" s="66">
        <v>0.3</v>
      </c>
      <c r="R11" s="66">
        <v>0.8</v>
      </c>
      <c r="S11" s="66">
        <v>0.7</v>
      </c>
      <c r="T11" s="66">
        <v>0.6</v>
      </c>
      <c r="U11" s="66"/>
      <c r="V11" s="77"/>
      <c r="W11" s="67">
        <f t="shared" si="0"/>
        <v>5.5</v>
      </c>
      <c r="X11" s="68">
        <f t="shared" si="1"/>
        <v>3.4</v>
      </c>
      <c r="Y11" s="69">
        <f t="shared" si="2"/>
        <v>8.9</v>
      </c>
      <c r="Z11" s="70">
        <f>'[1]cálculos teóricos'!I5</f>
        <v>13.420993894192648</v>
      </c>
      <c r="AA11" s="71">
        <f t="shared" si="3"/>
        <v>66.314015714224325</v>
      </c>
      <c r="AB11" s="3"/>
    </row>
    <row r="12" spans="1:28" ht="18" customHeight="1">
      <c r="A12" s="72">
        <v>4</v>
      </c>
      <c r="B12" s="56">
        <v>27.4</v>
      </c>
      <c r="C12" s="73">
        <f>'[1]cálculos teóricos'!K6</f>
        <v>1.0431745699304664</v>
      </c>
      <c r="D12" s="58">
        <f t="shared" si="4"/>
        <v>416.26827606759628</v>
      </c>
      <c r="E12" s="59">
        <f t="shared" si="5"/>
        <v>17.428320182398121</v>
      </c>
      <c r="F12" s="60">
        <f t="shared" si="6"/>
        <v>22.114482707997649</v>
      </c>
      <c r="G12" s="61">
        <f>'[1]cálculos teóricos'!T6</f>
        <v>42.920712814194886</v>
      </c>
      <c r="H12" s="74">
        <f t="shared" si="7"/>
        <v>51.524034103841515</v>
      </c>
      <c r="I12" s="56"/>
      <c r="J12" s="75">
        <v>1</v>
      </c>
      <c r="K12" s="75">
        <v>0.8</v>
      </c>
      <c r="L12" s="75">
        <v>0.9</v>
      </c>
      <c r="M12" s="75">
        <v>1</v>
      </c>
      <c r="N12" s="75">
        <v>0.8</v>
      </c>
      <c r="O12" s="76">
        <v>1</v>
      </c>
      <c r="P12" s="78">
        <v>0.6</v>
      </c>
      <c r="Q12" s="75">
        <v>0.2</v>
      </c>
      <c r="R12" s="75">
        <v>0.5</v>
      </c>
      <c r="S12" s="75">
        <v>0.9</v>
      </c>
      <c r="T12" s="75">
        <v>0.1</v>
      </c>
      <c r="U12" s="66"/>
      <c r="V12" s="77"/>
      <c r="W12" s="67">
        <f t="shared" si="0"/>
        <v>5.5</v>
      </c>
      <c r="X12" s="68">
        <f t="shared" si="1"/>
        <v>2.3000000000000003</v>
      </c>
      <c r="Y12" s="69">
        <f t="shared" si="2"/>
        <v>7.8000000000000007</v>
      </c>
      <c r="Z12" s="70">
        <f>'[1]cálculos teóricos'!I6</f>
        <v>13.414382772748056</v>
      </c>
      <c r="AA12" s="71">
        <f t="shared" si="3"/>
        <v>58.14654413951915</v>
      </c>
      <c r="AB12" s="3"/>
    </row>
    <row r="13" spans="1:28" ht="18" customHeight="1">
      <c r="A13" s="72">
        <v>5</v>
      </c>
      <c r="B13" s="56">
        <v>28</v>
      </c>
      <c r="C13" s="73">
        <f>'[1]cálculos teóricos'!K7</f>
        <v>1.0431205173832472</v>
      </c>
      <c r="D13" s="58">
        <f t="shared" si="4"/>
        <v>425.36159833750577</v>
      </c>
      <c r="E13" s="59">
        <f t="shared" si="5"/>
        <v>17.809039399194692</v>
      </c>
      <c r="F13" s="60">
        <f t="shared" si="6"/>
        <v>22.590381728993364</v>
      </c>
      <c r="G13" s="61">
        <f>'[1]cálculos teóricos'!T7</f>
        <v>42.899257802114548</v>
      </c>
      <c r="H13" s="74">
        <f t="shared" si="7"/>
        <v>52.659143505927652</v>
      </c>
      <c r="I13" s="56">
        <v>0.1</v>
      </c>
      <c r="J13" s="75">
        <v>0.8</v>
      </c>
      <c r="K13" s="75">
        <v>1</v>
      </c>
      <c r="L13" s="75">
        <v>1</v>
      </c>
      <c r="M13" s="75">
        <v>0.3</v>
      </c>
      <c r="N13" s="75">
        <v>0.7</v>
      </c>
      <c r="O13" s="76">
        <v>0.9</v>
      </c>
      <c r="P13" s="65">
        <v>0.6</v>
      </c>
      <c r="Q13" s="65">
        <v>1</v>
      </c>
      <c r="R13" s="66">
        <v>1</v>
      </c>
      <c r="S13" s="66">
        <v>0.5</v>
      </c>
      <c r="T13" s="66">
        <v>0.1</v>
      </c>
      <c r="U13" s="66"/>
      <c r="V13" s="77"/>
      <c r="W13" s="67">
        <f t="shared" si="0"/>
        <v>4.8</v>
      </c>
      <c r="X13" s="68">
        <f t="shared" si="1"/>
        <v>3.2</v>
      </c>
      <c r="Y13" s="69">
        <f t="shared" si="2"/>
        <v>8</v>
      </c>
      <c r="Z13" s="70">
        <f>'[1]cálculos teóricos'!I7</f>
        <v>13.40725552892793</v>
      </c>
      <c r="AA13" s="71">
        <f t="shared" si="3"/>
        <v>59.669184217000563</v>
      </c>
      <c r="AB13" s="3"/>
    </row>
    <row r="14" spans="1:28" ht="18" customHeight="1">
      <c r="A14" s="72">
        <v>6</v>
      </c>
      <c r="B14" s="56">
        <v>27.6</v>
      </c>
      <c r="C14" s="73">
        <f>'[1]cálculos teóricos'!K8</f>
        <v>1.0430617300197544</v>
      </c>
      <c r="D14" s="58">
        <f t="shared" si="4"/>
        <v>419.26137434193839</v>
      </c>
      <c r="E14" s="59">
        <f t="shared" si="5"/>
        <v>17.553635220948276</v>
      </c>
      <c r="F14" s="60">
        <f t="shared" si="6"/>
        <v>22.271126506185347</v>
      </c>
      <c r="G14" s="61">
        <f>'[1]cálculos teóricos'!T8</f>
        <v>42.875693838404729</v>
      </c>
      <c r="H14" s="74">
        <f t="shared" si="7"/>
        <v>51.943477789825515</v>
      </c>
      <c r="I14" s="56"/>
      <c r="J14" s="75">
        <v>0.6</v>
      </c>
      <c r="K14" s="75">
        <v>0.5</v>
      </c>
      <c r="L14" s="75">
        <v>1</v>
      </c>
      <c r="M14" s="75">
        <v>0.9</v>
      </c>
      <c r="N14" s="75">
        <v>0.8</v>
      </c>
      <c r="O14" s="76">
        <v>0.8</v>
      </c>
      <c r="P14" s="65">
        <v>1</v>
      </c>
      <c r="Q14" s="65">
        <v>1</v>
      </c>
      <c r="R14" s="66">
        <v>0.5</v>
      </c>
      <c r="S14" s="66">
        <v>0.3</v>
      </c>
      <c r="T14" s="66"/>
      <c r="U14" s="66"/>
      <c r="V14" s="77"/>
      <c r="W14" s="67">
        <f t="shared" si="0"/>
        <v>4.5999999999999996</v>
      </c>
      <c r="X14" s="68">
        <f t="shared" si="1"/>
        <v>2.8</v>
      </c>
      <c r="Y14" s="69">
        <f t="shared" si="2"/>
        <v>7.3999999999999995</v>
      </c>
      <c r="Z14" s="70">
        <f>'[1]cálculos teóricos'!I8</f>
        <v>13.399617979654318</v>
      </c>
      <c r="AA14" s="71">
        <f t="shared" si="3"/>
        <v>55.225455018463926</v>
      </c>
      <c r="AB14" s="3"/>
    </row>
    <row r="15" spans="1:28" ht="18" customHeight="1">
      <c r="A15" s="72">
        <v>7</v>
      </c>
      <c r="B15" s="56">
        <v>30.8</v>
      </c>
      <c r="C15" s="73">
        <f>'[1]cálculos teóricos'!K9</f>
        <v>1.0429980728749551</v>
      </c>
      <c r="D15" s="58">
        <f t="shared" si="4"/>
        <v>467.84283497688381</v>
      </c>
      <c r="E15" s="59">
        <f t="shared" si="5"/>
        <v>19.587643814812171</v>
      </c>
      <c r="F15" s="60">
        <f t="shared" si="6"/>
        <v>24.813637248515214</v>
      </c>
      <c r="G15" s="61">
        <f>'[1]cálculos teóricos'!T9</f>
        <v>42.850007012169783</v>
      </c>
      <c r="H15" s="74">
        <f t="shared" si="7"/>
        <v>57.90812879322965</v>
      </c>
      <c r="I15" s="56"/>
      <c r="J15" s="56">
        <v>0.5</v>
      </c>
      <c r="K15" s="75">
        <v>1</v>
      </c>
      <c r="L15" s="75">
        <v>1</v>
      </c>
      <c r="M15" s="75">
        <v>0.9</v>
      </c>
      <c r="N15" s="75">
        <v>1</v>
      </c>
      <c r="O15" s="76">
        <v>1</v>
      </c>
      <c r="P15" s="78">
        <v>0.9</v>
      </c>
      <c r="Q15" s="75">
        <v>1</v>
      </c>
      <c r="R15" s="75">
        <v>0.7</v>
      </c>
      <c r="S15" s="75">
        <v>0.3</v>
      </c>
      <c r="T15" s="66"/>
      <c r="U15" s="66"/>
      <c r="V15" s="77"/>
      <c r="W15" s="67">
        <f t="shared" si="0"/>
        <v>5.4</v>
      </c>
      <c r="X15" s="68">
        <f t="shared" si="1"/>
        <v>2.8999999999999995</v>
      </c>
      <c r="Y15" s="69">
        <f t="shared" si="2"/>
        <v>8.3000000000000007</v>
      </c>
      <c r="Z15" s="70">
        <f>'[1]cálculos teóricos'!I9</f>
        <v>13.391476313835456</v>
      </c>
      <c r="AA15" s="71">
        <f t="shared" si="3"/>
        <v>61.979723560611639</v>
      </c>
      <c r="AB15" s="3"/>
    </row>
    <row r="16" spans="1:28" ht="18" customHeight="1">
      <c r="A16" s="79">
        <v>8</v>
      </c>
      <c r="B16" s="75">
        <v>15.6</v>
      </c>
      <c r="C16" s="73">
        <f>'[1]cálculos teóricos'!K10</f>
        <v>1.0429294034098502</v>
      </c>
      <c r="D16" s="58">
        <f t="shared" si="4"/>
        <v>236.94375691832593</v>
      </c>
      <c r="E16" s="59">
        <f t="shared" si="5"/>
        <v>9.9203612146564701</v>
      </c>
      <c r="F16" s="60">
        <f t="shared" si="6"/>
        <v>12.729533998320587</v>
      </c>
      <c r="G16" s="61">
        <f>'[1]cálculos teóricos'!T10</f>
        <v>42.822182910782871</v>
      </c>
      <c r="H16" s="74">
        <f t="shared" si="7"/>
        <v>29.726494851609299</v>
      </c>
      <c r="I16" s="78"/>
      <c r="J16" s="56">
        <v>0.4</v>
      </c>
      <c r="K16" s="75">
        <v>0.1</v>
      </c>
      <c r="L16" s="75"/>
      <c r="M16" s="75"/>
      <c r="N16" s="75"/>
      <c r="O16" s="76">
        <v>0.8</v>
      </c>
      <c r="P16" s="78">
        <v>0.1</v>
      </c>
      <c r="Q16" s="65">
        <v>0.8</v>
      </c>
      <c r="R16" s="66">
        <v>0.3</v>
      </c>
      <c r="S16" s="66"/>
      <c r="T16" s="66"/>
      <c r="U16" s="66"/>
      <c r="V16" s="77"/>
      <c r="W16" s="67">
        <f t="shared" si="0"/>
        <v>1.3</v>
      </c>
      <c r="X16" s="68">
        <f t="shared" si="1"/>
        <v>1.2</v>
      </c>
      <c r="Y16" s="69">
        <f t="shared" si="2"/>
        <v>2.5</v>
      </c>
      <c r="Z16" s="70">
        <f>'[1]cálculos teóricos'!I10</f>
        <v>13.382837075865469</v>
      </c>
      <c r="AA16" s="71">
        <f t="shared" si="3"/>
        <v>18.680642869877609</v>
      </c>
      <c r="AB16" s="3"/>
    </row>
    <row r="17" spans="1:28" ht="18" customHeight="1">
      <c r="A17" s="79">
        <v>9</v>
      </c>
      <c r="B17" s="75">
        <v>18.5</v>
      </c>
      <c r="C17" s="73">
        <f>'[1]cálculos teóricos'!K11</f>
        <v>1.0428555718713279</v>
      </c>
      <c r="D17" s="58">
        <f t="shared" si="4"/>
        <v>280.97110173753958</v>
      </c>
      <c r="E17" s="59">
        <f t="shared" si="5"/>
        <v>11.763698087547306</v>
      </c>
      <c r="F17" s="60">
        <f t="shared" si="6"/>
        <v>15.033705089434134</v>
      </c>
      <c r="G17" s="61">
        <f>'[1]cálculos teóricos'!T11</f>
        <v>42.792206670842504</v>
      </c>
      <c r="H17" s="74">
        <f t="shared" si="7"/>
        <v>35.131876243432217</v>
      </c>
      <c r="I17" s="78"/>
      <c r="J17" s="80"/>
      <c r="K17" s="80"/>
      <c r="L17" s="80"/>
      <c r="M17" s="80"/>
      <c r="N17" s="80">
        <v>0.6</v>
      </c>
      <c r="O17" s="77">
        <v>0.6</v>
      </c>
      <c r="P17" s="81">
        <v>0.9</v>
      </c>
      <c r="Q17" s="80">
        <v>0.1</v>
      </c>
      <c r="R17" s="80"/>
      <c r="S17" s="80"/>
      <c r="T17" s="80"/>
      <c r="U17" s="66"/>
      <c r="V17" s="77"/>
      <c r="W17" s="67">
        <f t="shared" si="0"/>
        <v>1.2</v>
      </c>
      <c r="X17" s="68">
        <f t="shared" si="1"/>
        <v>1</v>
      </c>
      <c r="Y17" s="69">
        <f t="shared" si="2"/>
        <v>2.2000000000000002</v>
      </c>
      <c r="Z17" s="70">
        <f>'[1]cálculos teóricos'!I11</f>
        <v>13.373707148420571</v>
      </c>
      <c r="AA17" s="71">
        <f t="shared" si="3"/>
        <v>16.450188235651769</v>
      </c>
      <c r="AB17" s="3"/>
    </row>
    <row r="18" spans="1:28" ht="18" customHeight="1">
      <c r="A18" s="82">
        <v>10</v>
      </c>
      <c r="B18" s="75">
        <v>17.7</v>
      </c>
      <c r="C18" s="73">
        <f>'[1]cálculos teóricos'!K12</f>
        <v>1.0427764216695341</v>
      </c>
      <c r="D18" s="58">
        <f t="shared" si="4"/>
        <v>268.80059718062137</v>
      </c>
      <c r="E18" s="59">
        <f t="shared" si="5"/>
        <v>11.254143402758254</v>
      </c>
      <c r="F18" s="60">
        <f t="shared" si="6"/>
        <v>14.39676173344782</v>
      </c>
      <c r="G18" s="61">
        <f>'[1]cálculos teóricos'!T12</f>
        <v>42.760063031628945</v>
      </c>
      <c r="H18" s="74">
        <f t="shared" si="7"/>
        <v>33.668710270138661</v>
      </c>
      <c r="I18" s="78"/>
      <c r="J18" s="80"/>
      <c r="K18" s="80">
        <v>0.3</v>
      </c>
      <c r="L18" s="80">
        <v>1</v>
      </c>
      <c r="M18" s="80">
        <v>0.9</v>
      </c>
      <c r="N18" s="80">
        <v>0.8</v>
      </c>
      <c r="O18" s="77">
        <v>0.8</v>
      </c>
      <c r="P18" s="81">
        <v>0.1</v>
      </c>
      <c r="Q18" s="80"/>
      <c r="R18" s="80"/>
      <c r="S18" s="80"/>
      <c r="T18" s="66"/>
      <c r="U18" s="66"/>
      <c r="V18" s="77"/>
      <c r="W18" s="67">
        <f t="shared" si="0"/>
        <v>3.8</v>
      </c>
      <c r="X18" s="68">
        <f t="shared" si="1"/>
        <v>0.1</v>
      </c>
      <c r="Y18" s="69">
        <f t="shared" si="2"/>
        <v>3.9</v>
      </c>
      <c r="Z18" s="70">
        <f>'[1]cálculos teóricos'!I12</f>
        <v>13.364093734637674</v>
      </c>
      <c r="AA18" s="71">
        <f t="shared" si="3"/>
        <v>29.18267469115246</v>
      </c>
      <c r="AB18" s="3"/>
    </row>
    <row r="19" spans="1:28" ht="18" customHeight="1">
      <c r="A19" s="83">
        <v>11</v>
      </c>
      <c r="B19" s="75">
        <v>23.4</v>
      </c>
      <c r="C19" s="73">
        <f>'[1]cálculos teóricos'!K13</f>
        <v>1.0426917897715424</v>
      </c>
      <c r="D19" s="58">
        <f t="shared" si="4"/>
        <v>355.33465999990585</v>
      </c>
      <c r="E19" s="59">
        <f t="shared" si="5"/>
        <v>14.877151544876059</v>
      </c>
      <c r="F19" s="60">
        <f t="shared" si="6"/>
        <v>18.925521911095071</v>
      </c>
      <c r="G19" s="61">
        <f>'[1]cálculos teóricos'!T13</f>
        <v>42.72573639089709</v>
      </c>
      <c r="H19" s="74">
        <f t="shared" si="7"/>
        <v>44.295367405597808</v>
      </c>
      <c r="I19" s="78"/>
      <c r="J19" s="80"/>
      <c r="K19" s="80">
        <v>0.3</v>
      </c>
      <c r="L19" s="80">
        <v>0.4</v>
      </c>
      <c r="M19" s="80">
        <v>0.6</v>
      </c>
      <c r="N19" s="80">
        <v>0.1</v>
      </c>
      <c r="O19" s="76">
        <v>0.1</v>
      </c>
      <c r="P19" s="65">
        <v>0.6</v>
      </c>
      <c r="Q19" s="66">
        <v>0.9</v>
      </c>
      <c r="R19" s="66">
        <v>0.5</v>
      </c>
      <c r="S19" s="66"/>
      <c r="T19" s="66"/>
      <c r="U19" s="66"/>
      <c r="V19" s="77"/>
      <c r="W19" s="67">
        <f t="shared" si="0"/>
        <v>1.5</v>
      </c>
      <c r="X19" s="68">
        <f t="shared" si="1"/>
        <v>2</v>
      </c>
      <c r="Y19" s="69">
        <f t="shared" si="2"/>
        <v>3.5</v>
      </c>
      <c r="Z19" s="70">
        <f>'[1]cálculos teóricos'!I13</f>
        <v>13.354004339762858</v>
      </c>
      <c r="AA19" s="71">
        <f t="shared" si="3"/>
        <v>26.209366950543867</v>
      </c>
      <c r="AB19" s="3"/>
    </row>
    <row r="20" spans="1:28" ht="18" customHeight="1">
      <c r="A20" s="84">
        <v>12</v>
      </c>
      <c r="B20" s="75">
        <v>19.100000000000001</v>
      </c>
      <c r="C20" s="73">
        <f>'[1]cálculos teóricos'!K14</f>
        <v>1.0426015071100707</v>
      </c>
      <c r="D20" s="58">
        <f t="shared" si="4"/>
        <v>290.01300663203261</v>
      </c>
      <c r="E20" s="59">
        <f t="shared" si="5"/>
        <v>12.14226456166994</v>
      </c>
      <c r="F20" s="60">
        <f t="shared" si="6"/>
        <v>15.506913182087425</v>
      </c>
      <c r="G20" s="61">
        <f>'[1]cálculos teóricos'!T14</f>
        <v>42.689210862833292</v>
      </c>
      <c r="H20" s="74">
        <f t="shared" si="7"/>
        <v>36.325134310665561</v>
      </c>
      <c r="I20" s="78">
        <v>0.1</v>
      </c>
      <c r="J20" s="80">
        <v>0.8</v>
      </c>
      <c r="K20" s="80">
        <v>1</v>
      </c>
      <c r="L20" s="80">
        <v>1</v>
      </c>
      <c r="M20" s="80">
        <v>0.8</v>
      </c>
      <c r="N20" s="80">
        <v>0.9</v>
      </c>
      <c r="O20" s="77">
        <v>0.7</v>
      </c>
      <c r="P20" s="65"/>
      <c r="Q20" s="66"/>
      <c r="R20" s="66"/>
      <c r="S20" s="66"/>
      <c r="T20" s="66"/>
      <c r="U20" s="66"/>
      <c r="V20" s="77"/>
      <c r="W20" s="67">
        <f t="shared" si="0"/>
        <v>5.3000000000000007</v>
      </c>
      <c r="X20" s="68">
        <f t="shared" si="1"/>
        <v>0</v>
      </c>
      <c r="Y20" s="69">
        <f t="shared" si="2"/>
        <v>5.3000000000000007</v>
      </c>
      <c r="Z20" s="70">
        <f>'[1]cálculos teóricos'!I14</f>
        <v>13.343446752357368</v>
      </c>
      <c r="AA20" s="71">
        <f t="shared" si="3"/>
        <v>39.71987222164811</v>
      </c>
      <c r="AB20" s="3"/>
    </row>
    <row r="21" spans="1:28" ht="18" customHeight="1">
      <c r="A21" s="84">
        <v>13</v>
      </c>
      <c r="B21" s="75">
        <v>23.7</v>
      </c>
      <c r="C21" s="73">
        <f>'[1]cálculos teóricos'!K15</f>
        <v>1.0425053990059436</v>
      </c>
      <c r="D21" s="58">
        <f t="shared" si="4"/>
        <v>359.8258988686265</v>
      </c>
      <c r="E21" s="59">
        <f t="shared" si="5"/>
        <v>15.065190733831653</v>
      </c>
      <c r="F21" s="60">
        <f t="shared" si="6"/>
        <v>19.160570897289571</v>
      </c>
      <c r="G21" s="61">
        <f>'[1]cálculos teóricos'!T15</f>
        <v>42.6504703379955</v>
      </c>
      <c r="H21" s="74">
        <f t="shared" si="7"/>
        <v>44.924641499721581</v>
      </c>
      <c r="I21" s="78"/>
      <c r="J21" s="80"/>
      <c r="K21" s="80"/>
      <c r="L21" s="80">
        <v>0.2</v>
      </c>
      <c r="M21" s="80">
        <v>0.7</v>
      </c>
      <c r="N21" s="80">
        <v>0.1</v>
      </c>
      <c r="O21" s="77">
        <v>0.6</v>
      </c>
      <c r="P21" s="65">
        <v>0.5</v>
      </c>
      <c r="Q21" s="66">
        <v>0.7</v>
      </c>
      <c r="R21" s="66">
        <v>0.4</v>
      </c>
      <c r="S21" s="66">
        <v>0.2</v>
      </c>
      <c r="T21" s="66"/>
      <c r="U21" s="66"/>
      <c r="V21" s="77"/>
      <c r="W21" s="67">
        <f t="shared" si="0"/>
        <v>1.5999999999999999</v>
      </c>
      <c r="X21" s="68">
        <f t="shared" si="1"/>
        <v>1.8</v>
      </c>
      <c r="Y21" s="69">
        <f t="shared" si="2"/>
        <v>3.4</v>
      </c>
      <c r="Z21" s="70">
        <f>'[1]cálculos teóricos'!I15</f>
        <v>13.332429025149247</v>
      </c>
      <c r="AA21" s="71">
        <f t="shared" si="3"/>
        <v>25.501729606709375</v>
      </c>
      <c r="AB21" s="3"/>
    </row>
    <row r="22" spans="1:28" ht="18" customHeight="1">
      <c r="A22" s="84">
        <v>14</v>
      </c>
      <c r="B22" s="75">
        <v>20.8</v>
      </c>
      <c r="C22" s="73">
        <f>'[1]cálculos teóricos'!K16</f>
        <v>1.0424032856029817</v>
      </c>
      <c r="D22" s="58">
        <f t="shared" si="4"/>
        <v>315.76563719748373</v>
      </c>
      <c r="E22" s="59">
        <f t="shared" si="5"/>
        <v>13.220475698184249</v>
      </c>
      <c r="F22" s="60">
        <f t="shared" si="6"/>
        <v>16.85467710273031</v>
      </c>
      <c r="G22" s="61">
        <f>'[1]cálculos teóricos'!T16</f>
        <v>42.609498545049341</v>
      </c>
      <c r="H22" s="74">
        <f t="shared" si="7"/>
        <v>39.55614986858042</v>
      </c>
      <c r="I22" s="78"/>
      <c r="J22" s="80">
        <v>0.2</v>
      </c>
      <c r="K22" s="80">
        <v>0.7</v>
      </c>
      <c r="L22" s="80">
        <v>0.3</v>
      </c>
      <c r="M22" s="80">
        <v>0.8</v>
      </c>
      <c r="N22" s="80">
        <v>0.7</v>
      </c>
      <c r="O22" s="77">
        <v>0.5</v>
      </c>
      <c r="P22" s="65">
        <v>0.7</v>
      </c>
      <c r="Q22" s="66">
        <v>0.5</v>
      </c>
      <c r="R22" s="66"/>
      <c r="S22" s="66"/>
      <c r="T22" s="66"/>
      <c r="U22" s="66"/>
      <c r="V22" s="77"/>
      <c r="W22" s="67">
        <f t="shared" si="0"/>
        <v>3.2</v>
      </c>
      <c r="X22" s="68">
        <f t="shared" si="1"/>
        <v>1.2</v>
      </c>
      <c r="Y22" s="69">
        <f t="shared" si="2"/>
        <v>4.4000000000000004</v>
      </c>
      <c r="Z22" s="70">
        <f>'[1]cálculos teóricos'!I16</f>
        <v>13.32095945561748</v>
      </c>
      <c r="AA22" s="71">
        <f t="shared" si="3"/>
        <v>33.030653795320355</v>
      </c>
      <c r="AB22" s="3"/>
    </row>
    <row r="23" spans="1:28" ht="18" customHeight="1">
      <c r="A23" s="84">
        <v>15</v>
      </c>
      <c r="B23" s="75">
        <v>14</v>
      </c>
      <c r="C23" s="73">
        <f>'[1]cálculos teóricos'!K17</f>
        <v>1.0422949823139649</v>
      </c>
      <c r="D23" s="58">
        <f t="shared" si="4"/>
        <v>212.51248164901199</v>
      </c>
      <c r="E23" s="59">
        <f t="shared" si="5"/>
        <v>8.8974725816808338</v>
      </c>
      <c r="F23" s="60">
        <f t="shared" si="6"/>
        <v>11.450923207101043</v>
      </c>
      <c r="G23" s="61">
        <f>'[1]cálculos teóricos'!T17</f>
        <v>42.566279114105868</v>
      </c>
      <c r="H23" s="74">
        <f t="shared" si="7"/>
        <v>26.901395765424954</v>
      </c>
      <c r="I23" s="78"/>
      <c r="J23" s="80">
        <v>0.1</v>
      </c>
      <c r="K23" s="80">
        <v>0.3</v>
      </c>
      <c r="L23" s="80">
        <v>0.4</v>
      </c>
      <c r="M23" s="80">
        <v>0.5</v>
      </c>
      <c r="N23" s="80">
        <v>0.1</v>
      </c>
      <c r="O23" s="77">
        <v>0.1</v>
      </c>
      <c r="P23" s="65"/>
      <c r="Q23" s="66"/>
      <c r="R23" s="66"/>
      <c r="S23" s="66"/>
      <c r="T23" s="66"/>
      <c r="U23" s="66"/>
      <c r="V23" s="77"/>
      <c r="W23" s="67">
        <f t="shared" si="0"/>
        <v>1.5000000000000002</v>
      </c>
      <c r="X23" s="68">
        <f t="shared" si="1"/>
        <v>0</v>
      </c>
      <c r="Y23" s="69">
        <f t="shared" si="2"/>
        <v>1.5000000000000002</v>
      </c>
      <c r="Z23" s="70">
        <f>'[1]cálculos teóricos'!I17</f>
        <v>13.309046566394962</v>
      </c>
      <c r="AA23" s="71">
        <f t="shared" si="3"/>
        <v>11.270529353976912</v>
      </c>
      <c r="AB23" s="3"/>
    </row>
    <row r="24" spans="1:28" ht="18" customHeight="1">
      <c r="A24" s="84">
        <v>16</v>
      </c>
      <c r="B24" s="75">
        <v>29</v>
      </c>
      <c r="C24" s="73">
        <f>'[1]cálculos teóricos'!K18</f>
        <v>1.0421803002763004</v>
      </c>
      <c r="D24" s="58">
        <f t="shared" si="4"/>
        <v>440.15599128914312</v>
      </c>
      <c r="E24" s="59">
        <f t="shared" si="5"/>
        <v>18.428451043293844</v>
      </c>
      <c r="F24" s="60">
        <f t="shared" si="6"/>
        <v>23.364646284117303</v>
      </c>
      <c r="G24" s="61">
        <f>'[1]cálculos teóricos'!T18</f>
        <v>42.520795641460737</v>
      </c>
      <c r="H24" s="74">
        <f t="shared" si="7"/>
        <v>54.948751385393045</v>
      </c>
      <c r="I24" s="78"/>
      <c r="J24" s="80"/>
      <c r="K24" s="80">
        <v>0.5</v>
      </c>
      <c r="L24" s="80">
        <v>1</v>
      </c>
      <c r="M24" s="80">
        <v>0.9</v>
      </c>
      <c r="N24" s="80">
        <v>0.5</v>
      </c>
      <c r="O24" s="77">
        <v>0.8</v>
      </c>
      <c r="P24" s="65">
        <v>0.3</v>
      </c>
      <c r="Q24" s="66">
        <v>1</v>
      </c>
      <c r="R24" s="66">
        <v>1</v>
      </c>
      <c r="S24" s="66">
        <v>0.3</v>
      </c>
      <c r="T24" s="66"/>
      <c r="U24" s="66"/>
      <c r="V24" s="77"/>
      <c r="W24" s="67">
        <f t="shared" si="0"/>
        <v>3.7</v>
      </c>
      <c r="X24" s="68">
        <f t="shared" si="1"/>
        <v>2.5999999999999996</v>
      </c>
      <c r="Y24" s="69">
        <f t="shared" si="2"/>
        <v>6.3</v>
      </c>
      <c r="Z24" s="70">
        <f>'[1]cálculos teóricos'!I18</f>
        <v>13.296699085574138</v>
      </c>
      <c r="AA24" s="71">
        <f t="shared" si="3"/>
        <v>47.380180294784587</v>
      </c>
      <c r="AB24" s="3"/>
    </row>
    <row r="25" spans="1:28" ht="18" customHeight="1">
      <c r="A25" s="84">
        <v>17</v>
      </c>
      <c r="B25" s="75">
        <v>29.4</v>
      </c>
      <c r="C25" s="73">
        <f>'[1]cálculos teóricos'!K19</f>
        <v>1.0420590468160129</v>
      </c>
      <c r="D25" s="58">
        <f t="shared" si="4"/>
        <v>446.17519169216712</v>
      </c>
      <c r="E25" s="59">
        <f t="shared" si="5"/>
        <v>18.680462925767653</v>
      </c>
      <c r="F25" s="60">
        <f t="shared" si="6"/>
        <v>23.679661137209564</v>
      </c>
      <c r="G25" s="61">
        <f>'[1]cálculos teóricos'!T19</f>
        <v>42.473031755529334</v>
      </c>
      <c r="H25" s="74">
        <f t="shared" si="7"/>
        <v>55.752227139111248</v>
      </c>
      <c r="I25" s="78">
        <v>0.1</v>
      </c>
      <c r="J25" s="80">
        <v>0.2</v>
      </c>
      <c r="K25" s="80">
        <v>0.3</v>
      </c>
      <c r="L25" s="80">
        <v>0.4</v>
      </c>
      <c r="M25" s="80">
        <v>0.8</v>
      </c>
      <c r="N25" s="80">
        <v>0.8</v>
      </c>
      <c r="O25" s="77">
        <v>1</v>
      </c>
      <c r="P25" s="65">
        <v>0.4</v>
      </c>
      <c r="Q25" s="66">
        <v>0.6</v>
      </c>
      <c r="R25" s="66">
        <v>0.8</v>
      </c>
      <c r="S25" s="66">
        <v>0.9</v>
      </c>
      <c r="T25" s="66">
        <v>0.5</v>
      </c>
      <c r="U25" s="66"/>
      <c r="V25" s="77"/>
      <c r="W25" s="67">
        <f t="shared" si="0"/>
        <v>3.6</v>
      </c>
      <c r="X25" s="68">
        <f t="shared" si="1"/>
        <v>3.2</v>
      </c>
      <c r="Y25" s="69">
        <f t="shared" si="2"/>
        <v>6.8000000000000007</v>
      </c>
      <c r="Z25" s="70">
        <f>'[1]cálculos teóricos'!I19</f>
        <v>13.283925926997437</v>
      </c>
      <c r="AA25" s="71">
        <f t="shared" si="3"/>
        <v>51.18968622205351</v>
      </c>
      <c r="AB25" s="3"/>
    </row>
    <row r="26" spans="1:28" ht="18" customHeight="1">
      <c r="A26" s="84">
        <v>18</v>
      </c>
      <c r="B26" s="75">
        <v>28.8</v>
      </c>
      <c r="C26" s="73">
        <f>'[1]cálculos teóricos'!K20</f>
        <v>1.0419310259186705</v>
      </c>
      <c r="D26" s="58">
        <f t="shared" si="4"/>
        <v>437.01587988383693</v>
      </c>
      <c r="E26" s="59">
        <f t="shared" si="5"/>
        <v>18.296980858976482</v>
      </c>
      <c r="F26" s="60">
        <f t="shared" si="6"/>
        <v>23.200308553720603</v>
      </c>
      <c r="G26" s="61">
        <f>'[1]cálculos teóricos'!T20</f>
        <v>42.422971183768496</v>
      </c>
      <c r="H26" s="74">
        <f t="shared" si="7"/>
        <v>54.688080316725433</v>
      </c>
      <c r="I26" s="78"/>
      <c r="J26" s="80"/>
      <c r="K26" s="80">
        <v>0.3</v>
      </c>
      <c r="L26" s="80">
        <v>1</v>
      </c>
      <c r="M26" s="80">
        <v>1</v>
      </c>
      <c r="N26" s="80">
        <v>0.7</v>
      </c>
      <c r="O26" s="77">
        <v>1</v>
      </c>
      <c r="P26" s="81">
        <v>0.5</v>
      </c>
      <c r="Q26" s="66">
        <v>0.6</v>
      </c>
      <c r="R26" s="66">
        <v>1</v>
      </c>
      <c r="S26" s="66">
        <v>0.5</v>
      </c>
      <c r="T26" s="66">
        <v>0.1</v>
      </c>
      <c r="U26" s="66"/>
      <c r="V26" s="77"/>
      <c r="W26" s="67">
        <f t="shared" si="0"/>
        <v>4</v>
      </c>
      <c r="X26" s="68">
        <f t="shared" si="1"/>
        <v>2.7</v>
      </c>
      <c r="Y26" s="69">
        <f t="shared" si="2"/>
        <v>6.7</v>
      </c>
      <c r="Z26" s="70">
        <f>'[1]cálculos teóricos'!I20</f>
        <v>13.270736170611478</v>
      </c>
      <c r="AA26" s="71">
        <f t="shared" si="3"/>
        <v>50.487025842902298</v>
      </c>
      <c r="AB26" s="3"/>
    </row>
    <row r="27" spans="1:28" ht="18" customHeight="1">
      <c r="A27" s="84">
        <v>19</v>
      </c>
      <c r="B27" s="75">
        <v>18.600000000000001</v>
      </c>
      <c r="C27" s="73">
        <f>'[1]cálculos teóricos'!K21</f>
        <v>1.0417960387058549</v>
      </c>
      <c r="D27" s="58">
        <f t="shared" si="4"/>
        <v>282.20285694028456</v>
      </c>
      <c r="E27" s="59">
        <f t="shared" si="5"/>
        <v>11.815269214375833</v>
      </c>
      <c r="F27" s="60">
        <f t="shared" si="6"/>
        <v>15.098168997969792</v>
      </c>
      <c r="G27" s="61">
        <f>'[1]cálculos teóricos'!T21</f>
        <v>42.370597820371522</v>
      </c>
      <c r="H27" s="74">
        <f t="shared" si="7"/>
        <v>35.633599181153599</v>
      </c>
      <c r="I27" s="78"/>
      <c r="J27" s="80"/>
      <c r="K27" s="80"/>
      <c r="L27" s="80"/>
      <c r="M27" s="80">
        <v>0.1</v>
      </c>
      <c r="N27" s="80">
        <v>0.7</v>
      </c>
      <c r="O27" s="77">
        <v>0.5</v>
      </c>
      <c r="P27" s="65">
        <v>1</v>
      </c>
      <c r="Q27" s="66">
        <v>0.9</v>
      </c>
      <c r="R27" s="66"/>
      <c r="S27" s="66"/>
      <c r="T27" s="66"/>
      <c r="U27" s="66"/>
      <c r="V27" s="77"/>
      <c r="W27" s="67">
        <f t="shared" si="0"/>
        <v>1.2999999999999998</v>
      </c>
      <c r="X27" s="68">
        <f t="shared" si="1"/>
        <v>1.9</v>
      </c>
      <c r="Y27" s="69">
        <f t="shared" si="2"/>
        <v>3.1999999999999997</v>
      </c>
      <c r="Z27" s="70">
        <f>'[1]cálculos teóricos'!I21</f>
        <v>13.257139042960983</v>
      </c>
      <c r="AA27" s="71">
        <f t="shared" si="3"/>
        <v>24.137937979153001</v>
      </c>
      <c r="AB27" s="3"/>
    </row>
    <row r="28" spans="1:28" ht="18" customHeight="1">
      <c r="A28" s="84">
        <v>20</v>
      </c>
      <c r="B28" s="85">
        <v>-99</v>
      </c>
      <c r="C28" s="73">
        <f>'[1]cálculos teóricos'!K22</f>
        <v>1.0416538839157914</v>
      </c>
      <c r="D28" s="58">
        <f t="shared" si="4"/>
        <v>-999</v>
      </c>
      <c r="E28" s="59">
        <f t="shared" si="5"/>
        <v>-999</v>
      </c>
      <c r="F28" s="60">
        <f t="shared" si="6"/>
        <v>-999</v>
      </c>
      <c r="G28" s="61">
        <f>'[1]cálculos teóricos'!T22</f>
        <v>42.315895794520593</v>
      </c>
      <c r="H28" s="74">
        <f t="shared" si="7"/>
        <v>-999</v>
      </c>
      <c r="I28" s="78"/>
      <c r="J28" s="80">
        <v>0.2</v>
      </c>
      <c r="K28" s="80">
        <v>1</v>
      </c>
      <c r="L28" s="80">
        <v>1</v>
      </c>
      <c r="M28" s="80">
        <v>1</v>
      </c>
      <c r="N28" s="80">
        <v>1</v>
      </c>
      <c r="O28" s="76">
        <v>0.8</v>
      </c>
      <c r="P28" s="65">
        <v>1</v>
      </c>
      <c r="Q28" s="66">
        <v>0.6</v>
      </c>
      <c r="R28" s="66">
        <v>0.3</v>
      </c>
      <c r="S28" s="66"/>
      <c r="T28" s="66"/>
      <c r="U28" s="66"/>
      <c r="V28" s="77"/>
      <c r="W28" s="67">
        <f t="shared" si="0"/>
        <v>5</v>
      </c>
      <c r="X28" s="68">
        <f t="shared" si="1"/>
        <v>1.9000000000000001</v>
      </c>
      <c r="Y28" s="69">
        <f t="shared" si="2"/>
        <v>6.9</v>
      </c>
      <c r="Z28" s="70">
        <f>'[1]cálculos teóricos'!I22</f>
        <v>13.243143897894775</v>
      </c>
      <c r="AA28" s="71">
        <f t="shared" si="3"/>
        <v>52.102431667278594</v>
      </c>
      <c r="AB28" s="3"/>
    </row>
    <row r="29" spans="1:28" ht="18" customHeight="1">
      <c r="A29" s="83">
        <v>21</v>
      </c>
      <c r="B29" s="75">
        <v>25.2</v>
      </c>
      <c r="C29" s="73">
        <f>'[1]cálculos teóricos'!K23</f>
        <v>1.0415043583867623</v>
      </c>
      <c r="D29" s="58">
        <f t="shared" si="4"/>
        <v>382.23230782881342</v>
      </c>
      <c r="E29" s="59">
        <f t="shared" si="5"/>
        <v>16.00330226417676</v>
      </c>
      <c r="F29" s="60">
        <f t="shared" si="6"/>
        <v>20.333210310220949</v>
      </c>
      <c r="G29" s="61">
        <f>'[1]cálculos teóricos'!T23</f>
        <v>42.258849538979433</v>
      </c>
      <c r="H29" s="74">
        <f t="shared" si="7"/>
        <v>48.115863380203137</v>
      </c>
      <c r="I29" s="78"/>
      <c r="J29" s="80">
        <v>0.8</v>
      </c>
      <c r="K29" s="80">
        <v>0.7</v>
      </c>
      <c r="L29" s="80">
        <v>1</v>
      </c>
      <c r="M29" s="80">
        <v>1</v>
      </c>
      <c r="N29" s="80">
        <v>1</v>
      </c>
      <c r="O29" s="77">
        <v>0.9</v>
      </c>
      <c r="P29" s="65">
        <v>0.8</v>
      </c>
      <c r="Q29" s="66">
        <v>0.7</v>
      </c>
      <c r="R29" s="66"/>
      <c r="S29" s="66"/>
      <c r="T29" s="66"/>
      <c r="U29" s="66"/>
      <c r="V29" s="77"/>
      <c r="W29" s="67">
        <f t="shared" si="0"/>
        <v>5.4</v>
      </c>
      <c r="X29" s="68">
        <f t="shared" si="1"/>
        <v>1.5</v>
      </c>
      <c r="Y29" s="69">
        <f t="shared" si="2"/>
        <v>6.9</v>
      </c>
      <c r="Z29" s="70">
        <f>'[1]cálculos teóricos'!I23</f>
        <v>13.228760197552258</v>
      </c>
      <c r="AA29" s="71">
        <f t="shared" si="3"/>
        <v>52.159082914487477</v>
      </c>
      <c r="AB29" s="3"/>
    </row>
    <row r="30" spans="1:28" ht="18" customHeight="1">
      <c r="A30" s="84">
        <v>22</v>
      </c>
      <c r="B30" s="75">
        <v>24</v>
      </c>
      <c r="C30" s="73">
        <f>'[1]cálculos teóricos'!K24</f>
        <v>1.0413472575419567</v>
      </c>
      <c r="D30" s="58">
        <f t="shared" si="4"/>
        <v>363.97585884509488</v>
      </c>
      <c r="E30" s="59">
        <f t="shared" si="5"/>
        <v>15.238941258126431</v>
      </c>
      <c r="F30" s="60">
        <f t="shared" si="6"/>
        <v>19.377759052658043</v>
      </c>
      <c r="G30" s="61">
        <f>'[1]cálculos teóricos'!T24</f>
        <v>42.199443858808038</v>
      </c>
      <c r="H30" s="74">
        <f t="shared" si="7"/>
        <v>45.919465473271728</v>
      </c>
      <c r="I30" s="78"/>
      <c r="J30" s="80">
        <v>0.2</v>
      </c>
      <c r="K30" s="80">
        <v>0.6</v>
      </c>
      <c r="L30" s="80">
        <v>0.7</v>
      </c>
      <c r="M30" s="80">
        <v>0.6</v>
      </c>
      <c r="N30" s="80">
        <v>0.7</v>
      </c>
      <c r="O30" s="77">
        <v>1</v>
      </c>
      <c r="P30" s="65">
        <v>1</v>
      </c>
      <c r="Q30" s="66">
        <v>0.8</v>
      </c>
      <c r="R30" s="66">
        <v>0.1</v>
      </c>
      <c r="S30" s="66"/>
      <c r="T30" s="66"/>
      <c r="U30" s="66"/>
      <c r="V30" s="77"/>
      <c r="W30" s="67">
        <f t="shared" si="0"/>
        <v>3.8</v>
      </c>
      <c r="X30" s="68">
        <f t="shared" si="1"/>
        <v>1.9000000000000001</v>
      </c>
      <c r="Y30" s="69">
        <f t="shared" si="2"/>
        <v>5.7</v>
      </c>
      <c r="Z30" s="70">
        <f>'[1]cálculos teóricos'!I24</f>
        <v>13.213997493694729</v>
      </c>
      <c r="AA30" s="71">
        <f t="shared" si="3"/>
        <v>43.136075988510264</v>
      </c>
      <c r="AB30" s="3"/>
    </row>
    <row r="31" spans="1:28" ht="18" customHeight="1">
      <c r="A31" s="84">
        <v>23</v>
      </c>
      <c r="B31" s="75">
        <v>21.6</v>
      </c>
      <c r="C31" s="73">
        <f>'[1]cálculos teóricos'!K25</f>
        <v>1.041182375874407</v>
      </c>
      <c r="D31" s="58">
        <f t="shared" si="4"/>
        <v>327.52640587061364</v>
      </c>
      <c r="E31" s="59">
        <f t="shared" si="5"/>
        <v>13.712875560990851</v>
      </c>
      <c r="F31" s="60">
        <f t="shared" si="6"/>
        <v>17.470176931238566</v>
      </c>
      <c r="G31" s="61">
        <f>'[1]cálculos teóricos'!T25</f>
        <v>42.137663999981427</v>
      </c>
      <c r="H31" s="74">
        <f t="shared" si="7"/>
        <v>41.459766092506378</v>
      </c>
      <c r="I31" s="78"/>
      <c r="J31" s="80"/>
      <c r="K31" s="80">
        <v>0.6</v>
      </c>
      <c r="L31" s="80">
        <v>0.8</v>
      </c>
      <c r="M31" s="80">
        <v>1</v>
      </c>
      <c r="N31" s="80">
        <v>1</v>
      </c>
      <c r="O31" s="77">
        <v>0.7</v>
      </c>
      <c r="P31" s="65">
        <v>0.7</v>
      </c>
      <c r="Q31" s="66"/>
      <c r="R31" s="66"/>
      <c r="S31" s="66"/>
      <c r="T31" s="66"/>
      <c r="U31" s="66"/>
      <c r="V31" s="77"/>
      <c r="W31" s="67">
        <f t="shared" si="0"/>
        <v>4.0999999999999996</v>
      </c>
      <c r="X31" s="68">
        <f t="shared" si="1"/>
        <v>0.7</v>
      </c>
      <c r="Y31" s="69">
        <f t="shared" si="2"/>
        <v>4.8</v>
      </c>
      <c r="Z31" s="70">
        <f>'[1]cálculos teóricos'!I25</f>
        <v>13.198865409441321</v>
      </c>
      <c r="AA31" s="71">
        <f t="shared" si="3"/>
        <v>36.36676222614178</v>
      </c>
      <c r="AB31" s="3"/>
    </row>
    <row r="32" spans="1:28" ht="18" customHeight="1">
      <c r="A32" s="84">
        <v>24</v>
      </c>
      <c r="B32" s="75">
        <v>21.5</v>
      </c>
      <c r="C32" s="73">
        <f>'[1]cálculos teóricos'!K26</f>
        <v>1.0410095074307182</v>
      </c>
      <c r="D32" s="58">
        <f t="shared" si="4"/>
        <v>325.95595217154624</v>
      </c>
      <c r="E32" s="59">
        <f t="shared" si="5"/>
        <v>13.647123805518298</v>
      </c>
      <c r="F32" s="60">
        <f t="shared" si="6"/>
        <v>17.387987236897871</v>
      </c>
      <c r="G32" s="61">
        <f>'[1]cálculos teóricos'!T26</f>
        <v>42.073495717695977</v>
      </c>
      <c r="H32" s="74">
        <f t="shared" si="7"/>
        <v>41.327650437148101</v>
      </c>
      <c r="I32" s="78"/>
      <c r="J32" s="80"/>
      <c r="K32" s="80">
        <v>0.6</v>
      </c>
      <c r="L32" s="80">
        <v>0.9</v>
      </c>
      <c r="M32" s="80">
        <v>0.9</v>
      </c>
      <c r="N32" s="80">
        <v>0.6</v>
      </c>
      <c r="O32" s="77">
        <v>0.2</v>
      </c>
      <c r="P32" s="65">
        <v>0.6</v>
      </c>
      <c r="Q32" s="66">
        <v>0.1</v>
      </c>
      <c r="R32" s="66"/>
      <c r="S32" s="66"/>
      <c r="T32" s="66"/>
      <c r="U32" s="66"/>
      <c r="V32" s="77"/>
      <c r="W32" s="67">
        <f t="shared" si="0"/>
        <v>3.2</v>
      </c>
      <c r="X32" s="68">
        <f t="shared" si="1"/>
        <v>0.7</v>
      </c>
      <c r="Y32" s="69">
        <f t="shared" si="2"/>
        <v>3.9000000000000004</v>
      </c>
      <c r="Z32" s="70">
        <f>'[1]cálculos teóricos'!I26</f>
        <v>13.183373621464895</v>
      </c>
      <c r="AA32" s="71">
        <f t="shared" si="3"/>
        <v>29.582716169479575</v>
      </c>
      <c r="AB32" s="3"/>
    </row>
    <row r="33" spans="1:28" ht="18" customHeight="1">
      <c r="A33" s="84">
        <v>25</v>
      </c>
      <c r="B33" s="75">
        <v>28.7</v>
      </c>
      <c r="C33" s="73">
        <f>'[1]cálculos teóricos'!K27</f>
        <v>1.0408284462923059</v>
      </c>
      <c r="D33" s="58">
        <f t="shared" si="4"/>
        <v>435.03761572648847</v>
      </c>
      <c r="E33" s="59">
        <f t="shared" si="5"/>
        <v>18.214154895236618</v>
      </c>
      <c r="F33" s="60">
        <f t="shared" si="6"/>
        <v>23.096776099045773</v>
      </c>
      <c r="G33" s="61">
        <f>'[1]cálculos teóricos'!T27</f>
        <v>42.006925344148755</v>
      </c>
      <c r="H33" s="74">
        <f t="shared" si="7"/>
        <v>54.983257902885242</v>
      </c>
      <c r="I33" s="78"/>
      <c r="J33" s="80"/>
      <c r="K33" s="80">
        <v>0.6</v>
      </c>
      <c r="L33" s="80">
        <v>1</v>
      </c>
      <c r="M33" s="80">
        <v>1</v>
      </c>
      <c r="N33" s="80">
        <v>1</v>
      </c>
      <c r="O33" s="77">
        <v>1</v>
      </c>
      <c r="P33" s="65">
        <v>1</v>
      </c>
      <c r="Q33" s="66">
        <v>0.8</v>
      </c>
      <c r="R33" s="66">
        <v>0.3</v>
      </c>
      <c r="S33" s="66"/>
      <c r="T33" s="66"/>
      <c r="U33" s="66"/>
      <c r="V33" s="77"/>
      <c r="W33" s="67">
        <f t="shared" si="0"/>
        <v>4.5999999999999996</v>
      </c>
      <c r="X33" s="68">
        <f t="shared" si="1"/>
        <v>2.1</v>
      </c>
      <c r="Y33" s="69">
        <f t="shared" si="2"/>
        <v>6.6999999999999993</v>
      </c>
      <c r="Z33" s="70">
        <f>'[1]cálculos teóricos'!I27</f>
        <v>13.16753184269853</v>
      </c>
      <c r="AA33" s="71">
        <f t="shared" si="3"/>
        <v>50.882732466792447</v>
      </c>
      <c r="AB33" s="3"/>
    </row>
    <row r="34" spans="1:28" ht="18" customHeight="1">
      <c r="A34" s="83">
        <v>26</v>
      </c>
      <c r="B34" s="75">
        <v>20.2</v>
      </c>
      <c r="C34" s="73">
        <f>'[1]cálculos teóricos'!K28</f>
        <v>1.0406389870529105</v>
      </c>
      <c r="D34" s="58">
        <f t="shared" si="4"/>
        <v>306.13798693649022</v>
      </c>
      <c r="E34" s="59">
        <f t="shared" si="5"/>
        <v>12.817385237056971</v>
      </c>
      <c r="F34" s="60">
        <f t="shared" si="6"/>
        <v>16.350814026321217</v>
      </c>
      <c r="G34" s="61">
        <f>'[1]cálculos teóricos'!T28</f>
        <v>41.937939855578989</v>
      </c>
      <c r="H34" s="74">
        <f t="shared" si="7"/>
        <v>38.988119308264196</v>
      </c>
      <c r="I34" s="78"/>
      <c r="J34" s="80">
        <v>0.1</v>
      </c>
      <c r="K34" s="80">
        <v>0.1</v>
      </c>
      <c r="L34" s="80">
        <v>0.1</v>
      </c>
      <c r="M34" s="80"/>
      <c r="N34" s="80"/>
      <c r="O34" s="77">
        <v>0.3</v>
      </c>
      <c r="P34" s="65">
        <v>0.9</v>
      </c>
      <c r="Q34" s="66">
        <v>0.3</v>
      </c>
      <c r="R34" s="66"/>
      <c r="S34" s="66"/>
      <c r="T34" s="66"/>
      <c r="U34" s="66"/>
      <c r="V34" s="77"/>
      <c r="W34" s="67">
        <f t="shared" si="0"/>
        <v>0.60000000000000009</v>
      </c>
      <c r="X34" s="68">
        <f t="shared" si="1"/>
        <v>1.2</v>
      </c>
      <c r="Y34" s="69">
        <f t="shared" si="2"/>
        <v>1.8</v>
      </c>
      <c r="Z34" s="70">
        <f>'[1]cálculos teóricos'!I28</f>
        <v>13.151349805598334</v>
      </c>
      <c r="AA34" s="71">
        <f t="shared" si="3"/>
        <v>13.686808020525518</v>
      </c>
      <c r="AB34" s="3"/>
    </row>
    <row r="35" spans="1:28" ht="18" customHeight="1">
      <c r="A35" s="83">
        <v>27</v>
      </c>
      <c r="B35" s="75">
        <v>33.4</v>
      </c>
      <c r="C35" s="73">
        <f>'[1]cálculos teóricos'!K29</f>
        <v>1.040440925291195</v>
      </c>
      <c r="D35" s="58">
        <f t="shared" si="4"/>
        <v>506.09221127697589</v>
      </c>
      <c r="E35" s="59">
        <f t="shared" si="5"/>
        <v>21.189068701744429</v>
      </c>
      <c r="F35" s="60">
        <f t="shared" si="6"/>
        <v>26.815418357180533</v>
      </c>
      <c r="G35" s="61">
        <f>'[1]cálculos teóricos'!T29</f>
        <v>41.866526938364217</v>
      </c>
      <c r="H35" s="74">
        <f t="shared" si="7"/>
        <v>64.049779903305847</v>
      </c>
      <c r="I35" s="78"/>
      <c r="J35" s="80">
        <v>0.8</v>
      </c>
      <c r="K35" s="80">
        <v>1</v>
      </c>
      <c r="L35" s="80">
        <v>1</v>
      </c>
      <c r="M35" s="80">
        <v>1</v>
      </c>
      <c r="N35" s="80">
        <v>1</v>
      </c>
      <c r="O35" s="77">
        <v>1</v>
      </c>
      <c r="P35" s="65">
        <v>1</v>
      </c>
      <c r="Q35" s="66">
        <v>1</v>
      </c>
      <c r="R35" s="66">
        <v>1</v>
      </c>
      <c r="S35" s="66">
        <v>0.8</v>
      </c>
      <c r="T35" s="66">
        <v>1</v>
      </c>
      <c r="U35" s="66"/>
      <c r="V35" s="77"/>
      <c r="W35" s="67">
        <f t="shared" si="0"/>
        <v>5.8</v>
      </c>
      <c r="X35" s="68">
        <f t="shared" si="1"/>
        <v>4.8</v>
      </c>
      <c r="Y35" s="69">
        <f t="shared" si="2"/>
        <v>10.6</v>
      </c>
      <c r="Z35" s="70">
        <f>'[1]cálculos teóricos'!I29</f>
        <v>13.134837246003574</v>
      </c>
      <c r="AA35" s="71">
        <f t="shared" si="3"/>
        <v>80.701418688877723</v>
      </c>
      <c r="AB35" s="3"/>
    </row>
    <row r="36" spans="1:28" ht="18" customHeight="1">
      <c r="A36" s="84">
        <v>28</v>
      </c>
      <c r="B36" s="75">
        <v>35.6</v>
      </c>
      <c r="C36" s="73">
        <f>'[1]cálculos teóricos'!K30</f>
        <v>1.0402340580372698</v>
      </c>
      <c r="D36" s="58">
        <f t="shared" si="4"/>
        <v>539.32037387043772</v>
      </c>
      <c r="E36" s="59">
        <f t="shared" si="5"/>
        <v>22.580265413207485</v>
      </c>
      <c r="F36" s="60">
        <f t="shared" si="6"/>
        <v>28.55441424650936</v>
      </c>
      <c r="G36" s="61">
        <f>'[1]cálculos teóricos'!T30</f>
        <v>41.792675053969653</v>
      </c>
      <c r="H36" s="74">
        <f t="shared" si="7"/>
        <v>68.323968756810018</v>
      </c>
      <c r="I36" s="78"/>
      <c r="J36" s="80"/>
      <c r="K36" s="80">
        <v>0.6</v>
      </c>
      <c r="L36" s="80">
        <v>0.8</v>
      </c>
      <c r="M36" s="80">
        <v>0.8</v>
      </c>
      <c r="N36" s="80">
        <v>1</v>
      </c>
      <c r="O36" s="77">
        <v>1</v>
      </c>
      <c r="P36" s="65">
        <v>1</v>
      </c>
      <c r="Q36" s="66">
        <v>1</v>
      </c>
      <c r="R36" s="66">
        <v>1</v>
      </c>
      <c r="S36" s="66">
        <v>1</v>
      </c>
      <c r="T36" s="66">
        <v>0.6</v>
      </c>
      <c r="U36" s="66"/>
      <c r="V36" s="77"/>
      <c r="W36" s="67">
        <f t="shared" si="0"/>
        <v>4.2</v>
      </c>
      <c r="X36" s="68">
        <f t="shared" si="1"/>
        <v>4.5999999999999996</v>
      </c>
      <c r="Y36" s="69">
        <f t="shared" si="2"/>
        <v>8.8000000000000007</v>
      </c>
      <c r="Z36" s="70">
        <f>'[1]cálculos teóricos'!I30</f>
        <v>13.118003887630318</v>
      </c>
      <c r="AA36" s="71">
        <f t="shared" si="3"/>
        <v>67.083376978550845</v>
      </c>
      <c r="AB36" s="3"/>
    </row>
    <row r="37" spans="1:28" ht="18" customHeight="1">
      <c r="A37" s="84">
        <v>29</v>
      </c>
      <c r="B37" s="75">
        <v>35.5</v>
      </c>
      <c r="C37" s="73">
        <f>'[1]cálculos teóricos'!K31</f>
        <v>1.0400181842320544</v>
      </c>
      <c r="D37" s="58">
        <f t="shared" si="4"/>
        <v>537.69382132525504</v>
      </c>
      <c r="E37" s="59">
        <f t="shared" si="5"/>
        <v>22.512164911245776</v>
      </c>
      <c r="F37" s="60">
        <f t="shared" si="6"/>
        <v>28.469288619057224</v>
      </c>
      <c r="G37" s="61">
        <f>'[1]cálculos teóricos'!T31</f>
        <v>41.716373502555001</v>
      </c>
      <c r="H37" s="74">
        <f t="shared" si="7"/>
        <v>68.244878997723916</v>
      </c>
      <c r="I37" s="78"/>
      <c r="J37" s="80"/>
      <c r="K37" s="80"/>
      <c r="L37" s="80">
        <v>0.4</v>
      </c>
      <c r="M37" s="80">
        <v>0.8</v>
      </c>
      <c r="N37" s="80">
        <v>0.9</v>
      </c>
      <c r="O37" s="77">
        <v>0.7</v>
      </c>
      <c r="P37" s="65">
        <v>1</v>
      </c>
      <c r="Q37" s="66">
        <v>1</v>
      </c>
      <c r="R37" s="66">
        <v>1</v>
      </c>
      <c r="S37" s="66">
        <v>1</v>
      </c>
      <c r="T37" s="66">
        <v>0.8</v>
      </c>
      <c r="U37" s="66"/>
      <c r="V37" s="77"/>
      <c r="W37" s="67">
        <f t="shared" si="0"/>
        <v>2.8</v>
      </c>
      <c r="X37" s="68">
        <f t="shared" si="1"/>
        <v>4.8</v>
      </c>
      <c r="Y37" s="69">
        <f t="shared" si="2"/>
        <v>7.6</v>
      </c>
      <c r="Z37" s="70">
        <f>'[1]cálculos teóricos'!I31</f>
        <v>13.100859427229913</v>
      </c>
      <c r="AA37" s="71">
        <f t="shared" si="3"/>
        <v>58.011461325991554</v>
      </c>
      <c r="AB37" s="3"/>
    </row>
    <row r="38" spans="1:28" ht="18" customHeight="1">
      <c r="A38" s="79">
        <v>30</v>
      </c>
      <c r="B38" s="75">
        <v>34.6</v>
      </c>
      <c r="C38" s="73">
        <f>'[1]cálculos teóricos'!K32</f>
        <v>1.0397931051784299</v>
      </c>
      <c r="D38" s="58">
        <f t="shared" si="4"/>
        <v>523.94873029940584</v>
      </c>
      <c r="E38" s="59">
        <f t="shared" si="5"/>
        <v>21.936685440175523</v>
      </c>
      <c r="F38" s="60">
        <f t="shared" si="6"/>
        <v>27.749939280219404</v>
      </c>
      <c r="G38" s="61">
        <f>'[1]cálculos teóricos'!T32</f>
        <v>41.637612485050042</v>
      </c>
      <c r="H38" s="74">
        <f t="shared" si="7"/>
        <v>66.646326780102967</v>
      </c>
      <c r="I38" s="78"/>
      <c r="J38" s="80">
        <v>0.4</v>
      </c>
      <c r="K38" s="80">
        <v>1</v>
      </c>
      <c r="L38" s="80">
        <v>1</v>
      </c>
      <c r="M38" s="80">
        <v>1</v>
      </c>
      <c r="N38" s="80">
        <v>1</v>
      </c>
      <c r="O38" s="77">
        <v>1</v>
      </c>
      <c r="P38" s="65">
        <v>1</v>
      </c>
      <c r="Q38" s="66">
        <v>1</v>
      </c>
      <c r="R38" s="66">
        <v>0.9</v>
      </c>
      <c r="S38" s="66">
        <v>0.9</v>
      </c>
      <c r="T38" s="66">
        <v>0.2</v>
      </c>
      <c r="U38" s="66"/>
      <c r="V38" s="77"/>
      <c r="W38" s="67">
        <f t="shared" si="0"/>
        <v>5.4</v>
      </c>
      <c r="X38" s="68">
        <f t="shared" si="1"/>
        <v>4</v>
      </c>
      <c r="Y38" s="69">
        <f t="shared" si="2"/>
        <v>9.4</v>
      </c>
      <c r="Z38" s="70">
        <f>'[1]cálculos teóricos'!I32</f>
        <v>13.083413520438963</v>
      </c>
      <c r="AA38" s="71">
        <f t="shared" si="3"/>
        <v>71.846693413116398</v>
      </c>
      <c r="AB38" s="3"/>
    </row>
    <row r="39" spans="1:28" ht="18" customHeight="1" thickBot="1">
      <c r="A39" s="86">
        <v>31</v>
      </c>
      <c r="B39" s="87">
        <v>30</v>
      </c>
      <c r="C39" s="88">
        <f>'[1]cálculos teóricos'!K33</f>
        <v>1.0395586249831952</v>
      </c>
      <c r="D39" s="89">
        <f t="shared" si="4"/>
        <v>454.1883610482829</v>
      </c>
      <c r="E39" s="90">
        <f t="shared" si="5"/>
        <v>19.015958300369508</v>
      </c>
      <c r="F39" s="91">
        <f t="shared" si="6"/>
        <v>24.099030355461881</v>
      </c>
      <c r="G39" s="92">
        <f>'[1]cálculos teóricos'!T33</f>
        <v>41.556383163518021</v>
      </c>
      <c r="H39" s="93">
        <f t="shared" si="7"/>
        <v>57.991164102602191</v>
      </c>
      <c r="I39" s="94"/>
      <c r="J39" s="87">
        <v>0.4</v>
      </c>
      <c r="K39" s="87">
        <v>1</v>
      </c>
      <c r="L39" s="87">
        <v>1</v>
      </c>
      <c r="M39" s="87">
        <v>1</v>
      </c>
      <c r="N39" s="87">
        <v>0.6</v>
      </c>
      <c r="O39" s="95">
        <v>0.9</v>
      </c>
      <c r="P39" s="96"/>
      <c r="Q39" s="97">
        <v>0.6</v>
      </c>
      <c r="R39" s="97">
        <v>0.1</v>
      </c>
      <c r="S39" s="97"/>
      <c r="T39" s="97"/>
      <c r="U39" s="97"/>
      <c r="V39" s="77"/>
      <c r="W39" s="98">
        <f t="shared" si="0"/>
        <v>4.9000000000000004</v>
      </c>
      <c r="X39" s="89">
        <f t="shared" si="1"/>
        <v>0.7</v>
      </c>
      <c r="Y39" s="99">
        <f t="shared" si="2"/>
        <v>5.6000000000000005</v>
      </c>
      <c r="Z39" s="100">
        <f>'[1]cálculos teóricos'!I33</f>
        <v>13.065675768342954</v>
      </c>
      <c r="AA39" s="101">
        <f t="shared" si="3"/>
        <v>42.860393134569698</v>
      </c>
      <c r="AB39" s="3"/>
    </row>
    <row r="40" spans="1:28" s="107" customFormat="1" ht="15.75" thickTop="1">
      <c r="A40" s="102"/>
      <c r="B40" s="102"/>
      <c r="C40" s="102"/>
      <c r="D40" s="102"/>
      <c r="E40" s="102"/>
      <c r="F40" s="102"/>
      <c r="G40" s="102"/>
      <c r="H40" s="102"/>
      <c r="I40" s="5">
        <f>SUM(I9:I39)</f>
        <v>0.30000000000000004</v>
      </c>
      <c r="J40" s="5">
        <f t="shared" ref="J40:V40" si="8">SUM(J9:J39)</f>
        <v>8</v>
      </c>
      <c r="K40" s="5">
        <f t="shared" si="8"/>
        <v>15.899999999999997</v>
      </c>
      <c r="L40" s="5">
        <f t="shared" si="8"/>
        <v>20.3</v>
      </c>
      <c r="M40" s="5">
        <f t="shared" si="8"/>
        <v>21.3</v>
      </c>
      <c r="N40" s="5">
        <f t="shared" si="8"/>
        <v>20.099999999999994</v>
      </c>
      <c r="O40" s="5">
        <f t="shared" si="8"/>
        <v>22.4</v>
      </c>
      <c r="P40" s="5">
        <f t="shared" si="8"/>
        <v>19.799999999999997</v>
      </c>
      <c r="Q40" s="5">
        <f t="shared" si="8"/>
        <v>18.100000000000001</v>
      </c>
      <c r="R40" s="5">
        <f t="shared" si="8"/>
        <v>12.700000000000001</v>
      </c>
      <c r="S40" s="5">
        <f t="shared" si="8"/>
        <v>8.2999999999999989</v>
      </c>
      <c r="T40" s="5">
        <f t="shared" si="8"/>
        <v>4</v>
      </c>
      <c r="U40" s="5">
        <f t="shared" si="8"/>
        <v>0</v>
      </c>
      <c r="V40" s="103">
        <f t="shared" si="8"/>
        <v>0</v>
      </c>
      <c r="W40" s="104">
        <f>SUM(I40:O40)</f>
        <v>108.29999999999998</v>
      </c>
      <c r="X40" s="105">
        <f>SUM(P40:V40)</f>
        <v>62.9</v>
      </c>
      <c r="Y40" s="105">
        <f>W40+X40</f>
        <v>171.2</v>
      </c>
      <c r="Z40" s="106"/>
      <c r="AA40" s="106"/>
      <c r="AB40" s="102"/>
    </row>
    <row r="41" spans="1:28" s="107" customFormat="1" ht="15">
      <c r="A41" s="102"/>
      <c r="B41" s="102" t="s">
        <v>50</v>
      </c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</row>
    <row r="42" spans="1:28" s="107" customFormat="1" ht="1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</row>
    <row r="43" spans="1:28" s="107" customFormat="1" ht="15">
      <c r="A43" s="102"/>
      <c r="B43" s="102" t="s">
        <v>51</v>
      </c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</row>
    <row r="44" spans="1:28" s="107" customFormat="1" ht="15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</row>
    <row r="45" spans="1:28" s="107" customFormat="1" ht="15">
      <c r="A45" s="102"/>
      <c r="B45" s="102" t="s">
        <v>52</v>
      </c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</row>
    <row r="46" spans="1:28" s="107" customFormat="1" ht="1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</row>
    <row r="47" spans="1:28" s="107" customFormat="1" ht="15">
      <c r="A47" s="102"/>
      <c r="B47" s="102" t="s">
        <v>53</v>
      </c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</row>
    <row r="48" spans="1:28" s="107" customFormat="1" ht="15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</row>
    <row r="49" spans="1:28" s="107" customFormat="1" ht="15">
      <c r="A49" s="102"/>
      <c r="B49" s="102" t="s">
        <v>54</v>
      </c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2" t="s">
        <v>55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2" t="s">
        <v>56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7" t="s">
        <v>57</v>
      </c>
    </row>
    <row r="58" spans="1:28" ht="15.75">
      <c r="A58" s="108"/>
      <c r="B58" s="108"/>
      <c r="C58" s="108"/>
      <c r="D58" s="108"/>
      <c r="E58" s="108"/>
      <c r="F58" s="108"/>
      <c r="G58" s="108"/>
      <c r="H58" s="108"/>
      <c r="I58" s="108"/>
      <c r="J58" s="107"/>
      <c r="K58" s="107"/>
    </row>
    <row r="59" spans="1:28" ht="15.75">
      <c r="A59" s="108"/>
      <c r="B59" s="108"/>
      <c r="C59" s="108"/>
      <c r="D59" s="108"/>
      <c r="E59" s="108"/>
      <c r="F59" s="108"/>
      <c r="G59" s="108"/>
      <c r="H59" s="108"/>
      <c r="I59" s="108"/>
      <c r="J59" s="107"/>
      <c r="K59" s="107"/>
    </row>
    <row r="60" spans="1:28" ht="15.75">
      <c r="A60" s="108"/>
      <c r="B60" s="108"/>
      <c r="C60" s="108"/>
      <c r="D60" s="108"/>
      <c r="E60" s="108"/>
      <c r="F60" s="108"/>
      <c r="G60" s="108"/>
      <c r="H60" s="108"/>
      <c r="I60" s="108"/>
      <c r="J60" s="107"/>
      <c r="K60" s="107"/>
    </row>
  </sheetData>
  <sheetProtection selectLockedCells="1" selectUnlockedCells="1"/>
  <mergeCells count="2">
    <mergeCell ref="I5:W5"/>
    <mergeCell ref="I7:U7"/>
  </mergeCells>
  <pageMargins left="0" right="0" top="0.39374999999999999" bottom="0.98402777777777772" header="0.51180555555555551" footer="0.51180555555555551"/>
  <pageSetup paperSize="39" scale="50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54"/>
  <sheetViews>
    <sheetView zoomScale="75" zoomScaleNormal="75" workbookViewId="0">
      <selection activeCell="A8" sqref="A8"/>
    </sheetView>
  </sheetViews>
  <sheetFormatPr defaultColWidth="11.42578125" defaultRowHeight="12.75"/>
  <cols>
    <col min="1" max="1" width="8.7109375" style="7" customWidth="1"/>
    <col min="2" max="8" width="12.7109375" style="7" customWidth="1"/>
    <col min="9" max="25" width="8.7109375" style="7" customWidth="1"/>
    <col min="26" max="27" width="12.7109375" style="7" customWidth="1"/>
    <col min="28" max="16384" width="11.42578125" style="7"/>
  </cols>
  <sheetData>
    <row r="1" spans="1:28" ht="18" customHeight="1">
      <c r="A1" s="1" t="s">
        <v>58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6"/>
      <c r="Y1" s="6"/>
      <c r="Z1" s="6"/>
      <c r="AA1" s="6"/>
      <c r="AB1" s="3"/>
    </row>
    <row r="2" spans="1:28" ht="18" customHeight="1">
      <c r="A2" s="3"/>
      <c r="B2" s="8" t="s">
        <v>59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8" t="s">
        <v>60</v>
      </c>
      <c r="W2" s="3"/>
      <c r="X2" s="3"/>
      <c r="Y2" s="3"/>
      <c r="Z2" s="3"/>
      <c r="AA2" s="3"/>
      <c r="AB2" s="3"/>
    </row>
    <row r="3" spans="1:28" ht="18" customHeight="1">
      <c r="A3" s="3"/>
      <c r="B3" s="8" t="s">
        <v>61</v>
      </c>
      <c r="C3" s="3"/>
      <c r="D3" s="109"/>
      <c r="E3" s="3"/>
      <c r="F3" s="3"/>
      <c r="G3" s="4" t="s">
        <v>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8" t="s">
        <v>62</v>
      </c>
      <c r="W3" s="3"/>
      <c r="X3" s="6"/>
      <c r="Y3" s="6"/>
      <c r="Z3" s="6"/>
      <c r="AA3" s="6"/>
      <c r="AB3" s="3"/>
    </row>
    <row r="4" spans="1:28" ht="18" customHeight="1" thickBot="1">
      <c r="A4" s="3"/>
      <c r="B4" s="3"/>
      <c r="C4" s="110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8" customHeight="1" thickTop="1" thickBot="1">
      <c r="A5" s="10" t="s">
        <v>7</v>
      </c>
      <c r="B5" s="11"/>
      <c r="C5" s="12" t="s">
        <v>8</v>
      </c>
      <c r="D5" s="13"/>
      <c r="E5" s="14"/>
      <c r="F5" s="13"/>
      <c r="G5" s="13"/>
      <c r="H5" s="15"/>
      <c r="I5" s="16" t="s">
        <v>9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2"/>
      <c r="Y5" s="17"/>
      <c r="Z5" s="14"/>
      <c r="AA5" s="18"/>
      <c r="AB5" s="3"/>
    </row>
    <row r="6" spans="1:28" ht="18" customHeight="1">
      <c r="A6" s="19"/>
      <c r="B6" s="20" t="s">
        <v>10</v>
      </c>
      <c r="C6" s="21" t="s">
        <v>11</v>
      </c>
      <c r="D6" s="22" t="s">
        <v>12</v>
      </c>
      <c r="E6" s="21" t="s">
        <v>12</v>
      </c>
      <c r="F6" s="23" t="s">
        <v>13</v>
      </c>
      <c r="G6" s="23" t="s">
        <v>14</v>
      </c>
      <c r="H6" s="23" t="s">
        <v>15</v>
      </c>
      <c r="I6" s="24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6"/>
      <c r="V6" s="27"/>
      <c r="W6" s="28"/>
      <c r="X6" s="29"/>
      <c r="Y6" s="30"/>
      <c r="Z6" s="31" t="s">
        <v>16</v>
      </c>
      <c r="AA6" s="32" t="s">
        <v>17</v>
      </c>
      <c r="AB6" s="3"/>
    </row>
    <row r="7" spans="1:28" ht="18" customHeight="1" thickBot="1">
      <c r="A7" s="33"/>
      <c r="B7" s="34" t="s">
        <v>18</v>
      </c>
      <c r="C7" s="35" t="s">
        <v>19</v>
      </c>
      <c r="D7" s="22" t="s">
        <v>20</v>
      </c>
      <c r="E7" s="23" t="s">
        <v>20</v>
      </c>
      <c r="F7" s="23" t="s">
        <v>21</v>
      </c>
      <c r="G7" s="23" t="s">
        <v>22</v>
      </c>
      <c r="H7" s="23" t="s">
        <v>23</v>
      </c>
      <c r="I7" s="36" t="s">
        <v>24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7"/>
      <c r="W7" s="38"/>
      <c r="X7" s="39" t="s">
        <v>25</v>
      </c>
      <c r="Y7" s="40"/>
      <c r="Z7" s="41" t="s">
        <v>26</v>
      </c>
      <c r="AA7" s="42" t="s">
        <v>27</v>
      </c>
      <c r="AB7" s="3"/>
    </row>
    <row r="8" spans="1:28" ht="18" customHeight="1" thickBot="1">
      <c r="A8" s="43"/>
      <c r="B8" s="34" t="s">
        <v>28</v>
      </c>
      <c r="C8" s="39" t="s">
        <v>29</v>
      </c>
      <c r="D8" s="45" t="s">
        <v>30</v>
      </c>
      <c r="E8" s="46" t="s">
        <v>31</v>
      </c>
      <c r="F8" s="46" t="s">
        <v>31</v>
      </c>
      <c r="G8" s="45" t="s">
        <v>31</v>
      </c>
      <c r="H8" s="23" t="s">
        <v>32</v>
      </c>
      <c r="I8" s="47" t="s">
        <v>33</v>
      </c>
      <c r="J8" s="48" t="s">
        <v>34</v>
      </c>
      <c r="K8" s="48" t="s">
        <v>35</v>
      </c>
      <c r="L8" s="48" t="s">
        <v>36</v>
      </c>
      <c r="M8" s="48" t="s">
        <v>37</v>
      </c>
      <c r="N8" s="48" t="s">
        <v>38</v>
      </c>
      <c r="O8" s="49" t="s">
        <v>39</v>
      </c>
      <c r="P8" s="48" t="s">
        <v>40</v>
      </c>
      <c r="Q8" s="48" t="s">
        <v>41</v>
      </c>
      <c r="R8" s="48" t="s">
        <v>42</v>
      </c>
      <c r="S8" s="48" t="s">
        <v>43</v>
      </c>
      <c r="T8" s="48" t="s">
        <v>44</v>
      </c>
      <c r="U8" s="48" t="s">
        <v>45</v>
      </c>
      <c r="V8" s="50" t="s">
        <v>46</v>
      </c>
      <c r="W8" s="53" t="s">
        <v>47</v>
      </c>
      <c r="X8" s="111" t="s">
        <v>48</v>
      </c>
      <c r="Y8" s="52" t="s">
        <v>49</v>
      </c>
      <c r="Z8" s="53" t="s">
        <v>49</v>
      </c>
      <c r="AA8" s="54" t="s">
        <v>49</v>
      </c>
      <c r="AB8" s="3"/>
    </row>
    <row r="9" spans="1:28" ht="18" customHeight="1">
      <c r="A9" s="112">
        <v>1</v>
      </c>
      <c r="B9" s="113">
        <v>20.7</v>
      </c>
      <c r="C9" s="57">
        <f>'[1]cálculos teóricos'!K34</f>
        <v>1.0393145509889044</v>
      </c>
      <c r="D9" s="58">
        <f>IF(B9&gt;0,B9*C9*14.25*1.022,-999)</f>
        <v>313.31638949086698</v>
      </c>
      <c r="E9" s="59">
        <f>IF(B9&gt;0,D9*4.1868/100,-999)</f>
        <v>13.117930595203617</v>
      </c>
      <c r="F9" s="60">
        <f>IF(B9&gt;0,(7.86+1.25*D9)*4.1868/100,-999)</f>
        <v>16.726495724004522</v>
      </c>
      <c r="G9" s="61">
        <f>'[1]cálculos teóricos'!T34</f>
        <v>41.472677719635314</v>
      </c>
      <c r="H9" s="62">
        <f>IF(B9&gt;0,100*F9/G9,-999)</f>
        <v>40.331361859678843</v>
      </c>
      <c r="I9" s="114"/>
      <c r="J9" s="114"/>
      <c r="K9" s="114"/>
      <c r="L9" s="114">
        <v>0.9</v>
      </c>
      <c r="M9" s="114">
        <v>0.5</v>
      </c>
      <c r="N9" s="114">
        <v>0.7</v>
      </c>
      <c r="O9" s="115">
        <v>0.4</v>
      </c>
      <c r="P9" s="116"/>
      <c r="Q9" s="114"/>
      <c r="R9" s="114">
        <v>0.4</v>
      </c>
      <c r="S9" s="114">
        <v>0.1</v>
      </c>
      <c r="T9" s="114"/>
      <c r="U9" s="114"/>
      <c r="V9" s="115"/>
      <c r="W9" s="117">
        <f t="shared" ref="W9:W39" si="0">SUM(I9:O9)</f>
        <v>2.4999999999999996</v>
      </c>
      <c r="X9" s="118">
        <f>SUM(P9:V9)</f>
        <v>0.5</v>
      </c>
      <c r="Y9" s="119">
        <f>W9+X9</f>
        <v>2.9999999999999996</v>
      </c>
      <c r="Z9" s="70">
        <f>'[1]cálculos teóricos'!I34</f>
        <v>13.047655704771071</v>
      </c>
      <c r="AA9" s="71">
        <f t="shared" ref="AA9:AA36" si="1">100*Y9/Z9</f>
        <v>22.992636132351382</v>
      </c>
      <c r="AB9" s="3"/>
    </row>
    <row r="10" spans="1:28" ht="18" customHeight="1">
      <c r="A10" s="112">
        <v>2</v>
      </c>
      <c r="B10" s="56">
        <v>22.2</v>
      </c>
      <c r="C10" s="120">
        <f>'[1]cálculos teóricos'!K35</f>
        <v>1.03906069419472</v>
      </c>
      <c r="D10" s="58">
        <f>IF(B10&gt;0,B10*C10*14.25*1.022,-999)</f>
        <v>335.9384013218866</v>
      </c>
      <c r="E10" s="59">
        <f>IF(B10&gt;0,D10*4.1868/100,-999)</f>
        <v>14.065068986544748</v>
      </c>
      <c r="F10" s="60">
        <f>IF(B10&gt;0,(7.86+1.25*D10)*4.1868/100,-999)</f>
        <v>17.910418713180935</v>
      </c>
      <c r="G10" s="61">
        <f>'[1]cálculos teóricos'!T35</f>
        <v>41.386489411124131</v>
      </c>
      <c r="H10" s="74">
        <f>IF(B10&gt;0,100*F10/G10,-999)</f>
        <v>43.276003758769775</v>
      </c>
      <c r="I10" s="114"/>
      <c r="J10" s="114">
        <v>0.6</v>
      </c>
      <c r="K10" s="114">
        <v>1</v>
      </c>
      <c r="L10" s="114">
        <v>1</v>
      </c>
      <c r="M10" s="114">
        <v>1</v>
      </c>
      <c r="N10" s="114">
        <v>1</v>
      </c>
      <c r="O10" s="121">
        <v>1</v>
      </c>
      <c r="P10" s="116">
        <v>0.3</v>
      </c>
      <c r="Q10" s="114"/>
      <c r="R10" s="114"/>
      <c r="S10" s="114"/>
      <c r="T10" s="114"/>
      <c r="U10" s="114"/>
      <c r="V10" s="121"/>
      <c r="W10" s="117">
        <f t="shared" si="0"/>
        <v>5.6</v>
      </c>
      <c r="X10" s="118">
        <f t="shared" ref="X10:X39" si="2">SUM(P10:V10)</f>
        <v>0.3</v>
      </c>
      <c r="Y10" s="69">
        <f t="shared" ref="Y10:Y39" si="3">W10+X10</f>
        <v>5.8999999999999995</v>
      </c>
      <c r="Z10" s="70">
        <f>'[1]cálculos teóricos'!I35</f>
        <v>13.029362784335678</v>
      </c>
      <c r="AA10" s="71">
        <f t="shared" si="1"/>
        <v>45.28233726896584</v>
      </c>
      <c r="AB10" s="3"/>
    </row>
    <row r="11" spans="1:28" ht="18" customHeight="1">
      <c r="A11" s="72">
        <v>3</v>
      </c>
      <c r="B11" s="56">
        <v>27.9</v>
      </c>
      <c r="C11" s="120">
        <f>'[1]cálculos teóricos'!K36</f>
        <v>1.038796869665491</v>
      </c>
      <c r="D11" s="58">
        <f t="shared" ref="D11:D36" si="4">IF(B11&gt;0,B11*C11*14.25*1.022,-999)</f>
        <v>422.08565809731721</v>
      </c>
      <c r="E11" s="59">
        <f t="shared" ref="E11:E36" si="5">IF(B11&gt;0,D11*4.1868/100,-999)</f>
        <v>17.671882333218477</v>
      </c>
      <c r="F11" s="60">
        <f t="shared" ref="F11:F36" si="6">IF(B11&gt;0,(7.86+1.25*D11)*4.1868/100,-999)</f>
        <v>22.418935396523093</v>
      </c>
      <c r="G11" s="61">
        <f>'[1]cálculos teóricos'!T36</f>
        <v>41.297812625986587</v>
      </c>
      <c r="H11" s="74">
        <f t="shared" ref="H11:H36" si="7">IF(B11&gt;0,100*F11/G11,-999)</f>
        <v>54.286011706140606</v>
      </c>
      <c r="I11" s="114"/>
      <c r="J11" s="114">
        <v>0.7</v>
      </c>
      <c r="K11" s="114">
        <v>1</v>
      </c>
      <c r="L11" s="114">
        <v>1</v>
      </c>
      <c r="M11" s="114">
        <v>1</v>
      </c>
      <c r="N11" s="114">
        <v>1</v>
      </c>
      <c r="O11" s="121">
        <v>1</v>
      </c>
      <c r="P11" s="116">
        <v>1</v>
      </c>
      <c r="Q11" s="114">
        <v>0.8</v>
      </c>
      <c r="R11" s="114">
        <v>0.2</v>
      </c>
      <c r="S11" s="114"/>
      <c r="T11" s="114"/>
      <c r="U11" s="114"/>
      <c r="V11" s="121"/>
      <c r="W11" s="117">
        <f t="shared" si="0"/>
        <v>5.7</v>
      </c>
      <c r="X11" s="118">
        <f t="shared" si="2"/>
        <v>2</v>
      </c>
      <c r="Y11" s="69">
        <f t="shared" si="3"/>
        <v>7.7</v>
      </c>
      <c r="Z11" s="70">
        <f>'[1]cálculos teóricos'!I36</f>
        <v>13.010806371225611</v>
      </c>
      <c r="AA11" s="71">
        <f t="shared" si="1"/>
        <v>59.181573995514498</v>
      </c>
      <c r="AB11" s="3"/>
    </row>
    <row r="12" spans="1:28" ht="18" customHeight="1">
      <c r="A12" s="72">
        <v>4</v>
      </c>
      <c r="B12" s="56">
        <v>30.9</v>
      </c>
      <c r="C12" s="120">
        <f>'[1]cálculos teóricos'!K37</f>
        <v>1.0385228969283236</v>
      </c>
      <c r="D12" s="58">
        <f t="shared" si="4"/>
        <v>467.34792167094326</v>
      </c>
      <c r="E12" s="59">
        <f t="shared" si="5"/>
        <v>19.566922784519051</v>
      </c>
      <c r="F12" s="60">
        <f t="shared" si="6"/>
        <v>24.787735960648817</v>
      </c>
      <c r="G12" s="61">
        <f>'[1]cálculos teóricos'!T37</f>
        <v>41.206642934398403</v>
      </c>
      <c r="H12" s="74">
        <f t="shared" si="7"/>
        <v>60.154708550539446</v>
      </c>
      <c r="I12" s="114"/>
      <c r="J12" s="114">
        <v>0.7</v>
      </c>
      <c r="K12" s="114">
        <v>1</v>
      </c>
      <c r="L12" s="114">
        <v>1</v>
      </c>
      <c r="M12" s="114">
        <v>0.9</v>
      </c>
      <c r="N12" s="114">
        <v>1</v>
      </c>
      <c r="O12" s="121">
        <v>1</v>
      </c>
      <c r="P12" s="116">
        <v>0.5</v>
      </c>
      <c r="Q12" s="114">
        <v>0.5</v>
      </c>
      <c r="R12" s="114">
        <v>1</v>
      </c>
      <c r="S12" s="114">
        <v>0.5</v>
      </c>
      <c r="T12" s="114">
        <v>0.5</v>
      </c>
      <c r="U12" s="114"/>
      <c r="V12" s="121"/>
      <c r="W12" s="117">
        <f t="shared" si="0"/>
        <v>5.6</v>
      </c>
      <c r="X12" s="118">
        <f t="shared" si="2"/>
        <v>3</v>
      </c>
      <c r="Y12" s="69">
        <f t="shared" si="3"/>
        <v>8.6</v>
      </c>
      <c r="Z12" s="70">
        <f>'[1]cálculos teóricos'!I37</f>
        <v>12.991995728758745</v>
      </c>
      <c r="AA12" s="71">
        <f t="shared" si="1"/>
        <v>66.194603042881724</v>
      </c>
      <c r="AB12" s="3"/>
    </row>
    <row r="13" spans="1:28" ht="18" customHeight="1">
      <c r="A13" s="72">
        <v>5</v>
      </c>
      <c r="B13" s="56">
        <v>18.8</v>
      </c>
      <c r="C13" s="120">
        <f>'[1]cálculos teóricos'!K38</f>
        <v>1.0382386003559865</v>
      </c>
      <c r="D13" s="58">
        <f t="shared" si="4"/>
        <v>284.26329169814687</v>
      </c>
      <c r="E13" s="59">
        <f t="shared" si="5"/>
        <v>11.901535496818012</v>
      </c>
      <c r="F13" s="60">
        <f t="shared" si="6"/>
        <v>15.206001851022517</v>
      </c>
      <c r="G13" s="61">
        <f>'[1]cálculos teóricos'!T38</f>
        <v>41.112977138132415</v>
      </c>
      <c r="H13" s="74">
        <f t="shared" si="7"/>
        <v>36.985893286037182</v>
      </c>
      <c r="I13" s="114"/>
      <c r="J13" s="114">
        <v>0.2</v>
      </c>
      <c r="K13" s="114">
        <v>0.3</v>
      </c>
      <c r="L13" s="114">
        <v>0.3</v>
      </c>
      <c r="M13" s="114"/>
      <c r="N13" s="114">
        <v>0.2</v>
      </c>
      <c r="O13" s="121">
        <v>0.2</v>
      </c>
      <c r="P13" s="116">
        <v>0.2</v>
      </c>
      <c r="Q13" s="114">
        <v>1</v>
      </c>
      <c r="R13" s="114">
        <v>0.1</v>
      </c>
      <c r="S13" s="114">
        <v>0.1</v>
      </c>
      <c r="T13" s="114"/>
      <c r="U13" s="114"/>
      <c r="V13" s="121"/>
      <c r="W13" s="117">
        <f t="shared" si="0"/>
        <v>1.2</v>
      </c>
      <c r="X13" s="118">
        <f t="shared" si="2"/>
        <v>1.4000000000000001</v>
      </c>
      <c r="Y13" s="69">
        <f t="shared" si="3"/>
        <v>2.6</v>
      </c>
      <c r="Z13" s="70">
        <f>'[1]cálculos teóricos'!I38</f>
        <v>12.972940009695547</v>
      </c>
      <c r="AA13" s="71">
        <f t="shared" si="1"/>
        <v>20.041717591053732</v>
      </c>
      <c r="AB13" s="3"/>
    </row>
    <row r="14" spans="1:28" ht="18" customHeight="1">
      <c r="A14" s="72">
        <v>6</v>
      </c>
      <c r="B14" s="56">
        <v>31.1</v>
      </c>
      <c r="C14" s="120">
        <f>'[1]cálculos teóricos'!K39</f>
        <v>1.0379438095365645</v>
      </c>
      <c r="D14" s="58">
        <f t="shared" si="4"/>
        <v>470.11054424277711</v>
      </c>
      <c r="E14" s="59">
        <f t="shared" si="5"/>
        <v>19.682588266356589</v>
      </c>
      <c r="F14" s="60">
        <f t="shared" si="6"/>
        <v>24.93231781294574</v>
      </c>
      <c r="G14" s="61">
        <f>'[1]cálculos teóricos'!T39</f>
        <v>41.016813317393655</v>
      </c>
      <c r="H14" s="74">
        <f t="shared" si="7"/>
        <v>60.785604235063531</v>
      </c>
      <c r="I14" s="114"/>
      <c r="J14" s="114">
        <v>0.8</v>
      </c>
      <c r="K14" s="114">
        <v>1</v>
      </c>
      <c r="L14" s="114">
        <v>1</v>
      </c>
      <c r="M14" s="114">
        <v>0.8</v>
      </c>
      <c r="N14" s="114">
        <v>0.8</v>
      </c>
      <c r="O14" s="121">
        <v>0.5</v>
      </c>
      <c r="P14" s="116">
        <v>0.9</v>
      </c>
      <c r="Q14" s="116">
        <v>1</v>
      </c>
      <c r="R14" s="114">
        <v>0.9</v>
      </c>
      <c r="S14" s="114">
        <v>0.8</v>
      </c>
      <c r="T14" s="114">
        <v>0.6</v>
      </c>
      <c r="U14" s="114"/>
      <c r="V14" s="121"/>
      <c r="W14" s="117">
        <f t="shared" si="0"/>
        <v>4.8999999999999995</v>
      </c>
      <c r="X14" s="118">
        <f t="shared" si="2"/>
        <v>4.1999999999999993</v>
      </c>
      <c r="Y14" s="69">
        <f t="shared" si="3"/>
        <v>9.0999999999999979</v>
      </c>
      <c r="Z14" s="70">
        <f>'[1]cálculos teóricos'!I39</f>
        <v>12.953648247311923</v>
      </c>
      <c r="AA14" s="71">
        <f t="shared" si="1"/>
        <v>70.250479449975685</v>
      </c>
      <c r="AB14" s="3"/>
    </row>
    <row r="15" spans="1:28" ht="18" customHeight="1">
      <c r="A15" s="72">
        <v>7</v>
      </c>
      <c r="B15" s="75">
        <v>30</v>
      </c>
      <c r="C15" s="120">
        <f>'[1]cálculos teóricos'!K40</f>
        <v>1.037638359628839</v>
      </c>
      <c r="D15" s="58">
        <f t="shared" si="4"/>
        <v>453.34938751363791</v>
      </c>
      <c r="E15" s="59">
        <f t="shared" si="5"/>
        <v>18.980832156420991</v>
      </c>
      <c r="F15" s="60">
        <f t="shared" si="6"/>
        <v>24.055122675526242</v>
      </c>
      <c r="G15" s="61">
        <f>'[1]cálculos teóricos'!T40</f>
        <v>40.9181508749611</v>
      </c>
      <c r="H15" s="74">
        <f t="shared" si="7"/>
        <v>58.788391364591718</v>
      </c>
      <c r="I15" s="114"/>
      <c r="J15" s="114"/>
      <c r="K15" s="114">
        <v>0.3</v>
      </c>
      <c r="L15" s="114">
        <v>1</v>
      </c>
      <c r="M15" s="114">
        <v>0.7</v>
      </c>
      <c r="N15" s="114">
        <v>0.8</v>
      </c>
      <c r="O15" s="121">
        <v>1</v>
      </c>
      <c r="P15" s="116">
        <v>0.8</v>
      </c>
      <c r="Q15" s="116">
        <v>1</v>
      </c>
      <c r="R15" s="114">
        <v>1</v>
      </c>
      <c r="S15" s="114">
        <v>0.9</v>
      </c>
      <c r="T15" s="114">
        <v>0.2</v>
      </c>
      <c r="U15" s="114"/>
      <c r="V15" s="121"/>
      <c r="W15" s="117">
        <f t="shared" si="0"/>
        <v>3.8</v>
      </c>
      <c r="X15" s="118">
        <f t="shared" si="2"/>
        <v>3.9</v>
      </c>
      <c r="Y15" s="69">
        <f t="shared" si="3"/>
        <v>7.6999999999999993</v>
      </c>
      <c r="Z15" s="70">
        <f>'[1]cálculos teóricos'!I40</f>
        <v>12.934129347226488</v>
      </c>
      <c r="AA15" s="71">
        <f t="shared" si="1"/>
        <v>59.532418404731182</v>
      </c>
      <c r="AB15" s="3"/>
    </row>
    <row r="16" spans="1:28" ht="18" customHeight="1">
      <c r="A16" s="79">
        <v>8</v>
      </c>
      <c r="B16" s="75">
        <v>30.1</v>
      </c>
      <c r="C16" s="120">
        <f>'[1]cálculos teóricos'!K41</f>
        <v>1.0373220917029544</v>
      </c>
      <c r="D16" s="58">
        <f t="shared" si="4"/>
        <v>454.72191250373095</v>
      </c>
      <c r="E16" s="59">
        <f t="shared" si="5"/>
        <v>19.038297032706208</v>
      </c>
      <c r="F16" s="60">
        <f t="shared" si="6"/>
        <v>24.126953770882761</v>
      </c>
      <c r="G16" s="61">
        <f>'[1]cálculos teóricos'!T41</f>
        <v>40.816990577542512</v>
      </c>
      <c r="H16" s="74">
        <f t="shared" si="7"/>
        <v>59.110075067997293</v>
      </c>
      <c r="I16" s="114"/>
      <c r="J16" s="114">
        <v>0.2</v>
      </c>
      <c r="K16" s="114">
        <v>1</v>
      </c>
      <c r="L16" s="114">
        <v>1</v>
      </c>
      <c r="M16" s="114">
        <v>1</v>
      </c>
      <c r="N16" s="114">
        <v>1</v>
      </c>
      <c r="O16" s="121">
        <v>1</v>
      </c>
      <c r="P16" s="116">
        <v>1</v>
      </c>
      <c r="Q16" s="114">
        <v>0.9</v>
      </c>
      <c r="R16" s="114">
        <v>1</v>
      </c>
      <c r="S16" s="114">
        <v>0.6</v>
      </c>
      <c r="T16" s="114">
        <v>0.1</v>
      </c>
      <c r="U16" s="114"/>
      <c r="V16" s="121"/>
      <c r="W16" s="117">
        <f t="shared" si="0"/>
        <v>5.2</v>
      </c>
      <c r="X16" s="118">
        <f t="shared" si="2"/>
        <v>3.6</v>
      </c>
      <c r="Y16" s="69">
        <f t="shared" si="3"/>
        <v>8.8000000000000007</v>
      </c>
      <c r="Z16" s="70">
        <f>'[1]cálculos teóricos'!I41</f>
        <v>12.914392079974427</v>
      </c>
      <c r="AA16" s="71">
        <f t="shared" si="1"/>
        <v>68.141031691655343</v>
      </c>
      <c r="AB16" s="3"/>
    </row>
    <row r="17" spans="1:28" ht="18" customHeight="1">
      <c r="A17" s="79">
        <v>9</v>
      </c>
      <c r="B17" s="75">
        <v>29</v>
      </c>
      <c r="C17" s="120">
        <f>'[1]cálculos teóricos'!K42</f>
        <v>1.0369948530659916</v>
      </c>
      <c r="D17" s="58">
        <f t="shared" si="4"/>
        <v>437.96596173617053</v>
      </c>
      <c r="E17" s="59">
        <f t="shared" si="5"/>
        <v>18.336758885969985</v>
      </c>
      <c r="F17" s="60">
        <f t="shared" si="6"/>
        <v>23.250031087462485</v>
      </c>
      <c r="G17" s="61">
        <f>'[1]cálculos teóricos'!T42</f>
        <v>40.713334594263301</v>
      </c>
      <c r="H17" s="74">
        <f t="shared" si="7"/>
        <v>57.106673573081686</v>
      </c>
      <c r="I17" s="114">
        <v>0.1</v>
      </c>
      <c r="J17" s="114">
        <v>1</v>
      </c>
      <c r="K17" s="114">
        <v>1</v>
      </c>
      <c r="L17" s="114">
        <v>1</v>
      </c>
      <c r="M17" s="114">
        <v>1</v>
      </c>
      <c r="N17" s="114">
        <v>0.4</v>
      </c>
      <c r="O17" s="121">
        <v>0.5</v>
      </c>
      <c r="P17" s="116">
        <v>0.6</v>
      </c>
      <c r="Q17" s="114">
        <v>0.6</v>
      </c>
      <c r="R17" s="114">
        <v>0.8</v>
      </c>
      <c r="S17" s="114">
        <v>0.8</v>
      </c>
      <c r="T17" s="114"/>
      <c r="U17" s="114"/>
      <c r="V17" s="121"/>
      <c r="W17" s="117">
        <f t="shared" si="0"/>
        <v>5</v>
      </c>
      <c r="X17" s="118">
        <f t="shared" si="2"/>
        <v>2.8</v>
      </c>
      <c r="Y17" s="69">
        <f t="shared" si="3"/>
        <v>7.8</v>
      </c>
      <c r="Z17" s="70">
        <f>'[1]cálculos teóricos'!I42</f>
        <v>12.894445074317558</v>
      </c>
      <c r="AA17" s="71">
        <f t="shared" si="1"/>
        <v>60.491164645275106</v>
      </c>
      <c r="AB17" s="3"/>
    </row>
    <row r="18" spans="1:28" ht="18" customHeight="1">
      <c r="A18" s="79">
        <v>10</v>
      </c>
      <c r="B18" s="75">
        <v>28.2</v>
      </c>
      <c r="C18" s="120">
        <f>'[1]cálculos teóricos'!K43</f>
        <v>1.0366564975721508</v>
      </c>
      <c r="D18" s="58">
        <f t="shared" si="4"/>
        <v>425.74518264745495</v>
      </c>
      <c r="E18" s="59">
        <f t="shared" si="5"/>
        <v>17.825099307083644</v>
      </c>
      <c r="F18" s="60">
        <f t="shared" si="6"/>
        <v>22.610456613854552</v>
      </c>
      <c r="G18" s="61">
        <f>'[1]cálculos teóricos'!T43</f>
        <v>40.607186532222627</v>
      </c>
      <c r="H18" s="74">
        <f t="shared" si="7"/>
        <v>55.680923857930161</v>
      </c>
      <c r="I18" s="114"/>
      <c r="J18" s="114">
        <v>0.5</v>
      </c>
      <c r="K18" s="114">
        <v>1</v>
      </c>
      <c r="L18" s="114">
        <v>1</v>
      </c>
      <c r="M18" s="114">
        <v>1</v>
      </c>
      <c r="N18" s="114">
        <v>0.9</v>
      </c>
      <c r="O18" s="121">
        <v>0.5</v>
      </c>
      <c r="P18" s="116">
        <v>0.8</v>
      </c>
      <c r="Q18" s="114">
        <v>1</v>
      </c>
      <c r="R18" s="114">
        <v>1</v>
      </c>
      <c r="S18" s="114">
        <v>0.8</v>
      </c>
      <c r="T18" s="114"/>
      <c r="U18" s="114"/>
      <c r="V18" s="121"/>
      <c r="W18" s="117">
        <f t="shared" si="0"/>
        <v>4.9000000000000004</v>
      </c>
      <c r="X18" s="118">
        <f t="shared" si="2"/>
        <v>3.5999999999999996</v>
      </c>
      <c r="Y18" s="69">
        <f t="shared" si="3"/>
        <v>8.5</v>
      </c>
      <c r="Z18" s="70">
        <f>'[1]cálculos teóricos'!I43</f>
        <v>12.874296811277606</v>
      </c>
      <c r="AA18" s="71">
        <f t="shared" si="1"/>
        <v>66.023023428776185</v>
      </c>
      <c r="AB18" s="3"/>
    </row>
    <row r="19" spans="1:28" ht="18" customHeight="1">
      <c r="A19" s="79">
        <v>11</v>
      </c>
      <c r="B19" s="85">
        <v>-99</v>
      </c>
      <c r="C19" s="120">
        <f>'[1]cálculos teóricos'!K44</f>
        <v>1.0363068859173084</v>
      </c>
      <c r="D19" s="58">
        <f t="shared" si="4"/>
        <v>-999</v>
      </c>
      <c r="E19" s="59">
        <f t="shared" si="5"/>
        <v>-999</v>
      </c>
      <c r="F19" s="60">
        <f t="shared" si="6"/>
        <v>-999</v>
      </c>
      <c r="G19" s="61">
        <f>'[1]cálculos teóricos'!T44</f>
        <v>40.49855146906372</v>
      </c>
      <c r="H19" s="74">
        <f t="shared" si="7"/>
        <v>-999</v>
      </c>
      <c r="I19" s="114"/>
      <c r="J19" s="114"/>
      <c r="K19" s="114"/>
      <c r="L19" s="114">
        <v>0.5</v>
      </c>
      <c r="M19" s="114">
        <v>1</v>
      </c>
      <c r="N19" s="114">
        <v>0.5</v>
      </c>
      <c r="O19" s="121"/>
      <c r="P19" s="116"/>
      <c r="Q19" s="114"/>
      <c r="R19" s="114"/>
      <c r="S19" s="114"/>
      <c r="T19" s="114"/>
      <c r="U19" s="114"/>
      <c r="V19" s="121"/>
      <c r="W19" s="117">
        <f t="shared" si="0"/>
        <v>2</v>
      </c>
      <c r="X19" s="118">
        <f t="shared" si="2"/>
        <v>0</v>
      </c>
      <c r="Y19" s="69">
        <f t="shared" si="3"/>
        <v>2</v>
      </c>
      <c r="Z19" s="70">
        <f>'[1]cálculos teóricos'!I44</f>
        <v>12.853955618877693</v>
      </c>
      <c r="AA19" s="71">
        <f t="shared" si="1"/>
        <v>15.559412676536255</v>
      </c>
      <c r="AB19" s="3"/>
    </row>
    <row r="20" spans="1:28" ht="18" customHeight="1">
      <c r="A20" s="79">
        <v>12</v>
      </c>
      <c r="B20" s="75">
        <v>17.8</v>
      </c>
      <c r="C20" s="120">
        <f>'[1]cálculos teóricos'!K45</f>
        <v>1.0359458859177855</v>
      </c>
      <c r="D20" s="58">
        <f t="shared" si="4"/>
        <v>268.54856279023335</v>
      </c>
      <c r="E20" s="59">
        <f t="shared" si="5"/>
        <v>11.24359122690149</v>
      </c>
      <c r="F20" s="60">
        <f t="shared" si="6"/>
        <v>14.383571513626862</v>
      </c>
      <c r="G20" s="61">
        <f>'[1]cálculos teóricos'!T45</f>
        <v>40.387435982518646</v>
      </c>
      <c r="H20" s="74">
        <f t="shared" si="7"/>
        <v>35.613975395349847</v>
      </c>
      <c r="I20" s="114"/>
      <c r="J20" s="114"/>
      <c r="K20" s="114"/>
      <c r="L20" s="114"/>
      <c r="M20" s="114"/>
      <c r="N20" s="114">
        <v>0.7</v>
      </c>
      <c r="O20" s="121">
        <v>0.3</v>
      </c>
      <c r="P20" s="116"/>
      <c r="Q20" s="114"/>
      <c r="R20" s="114"/>
      <c r="S20" s="114">
        <v>0.4</v>
      </c>
      <c r="T20" s="114"/>
      <c r="U20" s="114"/>
      <c r="V20" s="121"/>
      <c r="W20" s="117">
        <f t="shared" si="0"/>
        <v>1</v>
      </c>
      <c r="X20" s="118">
        <f t="shared" si="2"/>
        <v>0.4</v>
      </c>
      <c r="Y20" s="69">
        <f t="shared" si="3"/>
        <v>1.4</v>
      </c>
      <c r="Z20" s="70">
        <f>'[1]cálculos teóricos'!I45</f>
        <v>12.833429667575025</v>
      </c>
      <c r="AA20" s="71">
        <f t="shared" si="1"/>
        <v>10.909009019913386</v>
      </c>
      <c r="AB20" s="3"/>
    </row>
    <row r="21" spans="1:28" ht="18" customHeight="1">
      <c r="A21" s="79">
        <v>13</v>
      </c>
      <c r="B21" s="75">
        <v>12.2</v>
      </c>
      <c r="C21" s="120">
        <f>'[1]cálculos teóricos'!K46</f>
        <v>1.0355733727732386</v>
      </c>
      <c r="D21" s="58">
        <f t="shared" si="4"/>
        <v>183.99518833547333</v>
      </c>
      <c r="E21" s="59">
        <f t="shared" si="5"/>
        <v>7.7035105452295962</v>
      </c>
      <c r="F21" s="60">
        <f t="shared" si="6"/>
        <v>9.9584706615369978</v>
      </c>
      <c r="G21" s="61">
        <f>'[1]cálculos teóricos'!T46</f>
        <v>40.273848176901005</v>
      </c>
      <c r="H21" s="74">
        <f t="shared" si="7"/>
        <v>24.726891301260505</v>
      </c>
      <c r="I21" s="114"/>
      <c r="J21" s="114"/>
      <c r="K21" s="114"/>
      <c r="L21" s="114"/>
      <c r="M21" s="114"/>
      <c r="N21" s="114"/>
      <c r="O21" s="121">
        <v>0.2</v>
      </c>
      <c r="P21" s="116">
        <v>0.2</v>
      </c>
      <c r="Q21" s="114"/>
      <c r="R21" s="114"/>
      <c r="S21" s="114"/>
      <c r="T21" s="114"/>
      <c r="U21" s="114"/>
      <c r="V21" s="121"/>
      <c r="W21" s="117">
        <f t="shared" si="0"/>
        <v>0.2</v>
      </c>
      <c r="X21" s="118">
        <f t="shared" si="2"/>
        <v>0.2</v>
      </c>
      <c r="Y21" s="69">
        <f t="shared" si="3"/>
        <v>0.4</v>
      </c>
      <c r="Z21" s="70">
        <f>'[1]cálculos teóricos'!I46</f>
        <v>12.812726966366139</v>
      </c>
      <c r="AA21" s="71">
        <f t="shared" si="1"/>
        <v>3.1218959168490374</v>
      </c>
      <c r="AB21" s="3"/>
    </row>
    <row r="22" spans="1:28" ht="18" customHeight="1">
      <c r="A22" s="79">
        <v>14</v>
      </c>
      <c r="B22" s="75">
        <v>30</v>
      </c>
      <c r="C22" s="120">
        <f>'[1]cálculos teóricos'!K47</f>
        <v>1.0351892293136391</v>
      </c>
      <c r="D22" s="58">
        <f t="shared" si="4"/>
        <v>452.27935023327547</v>
      </c>
      <c r="E22" s="59">
        <f t="shared" si="5"/>
        <v>18.936031835566776</v>
      </c>
      <c r="F22" s="60">
        <f t="shared" si="6"/>
        <v>23.999122274458468</v>
      </c>
      <c r="G22" s="61">
        <f>'[1]cálculos teóricos'!T47</f>
        <v>40.157797706533401</v>
      </c>
      <c r="H22" s="74">
        <f t="shared" si="7"/>
        <v>59.762047833997563</v>
      </c>
      <c r="I22" s="114"/>
      <c r="J22" s="114">
        <v>0.9</v>
      </c>
      <c r="K22" s="114">
        <v>1</v>
      </c>
      <c r="L22" s="114">
        <v>1</v>
      </c>
      <c r="M22" s="114">
        <v>1</v>
      </c>
      <c r="N22" s="114">
        <v>1</v>
      </c>
      <c r="O22" s="121">
        <v>1</v>
      </c>
      <c r="P22" s="116">
        <v>1</v>
      </c>
      <c r="Q22" s="114">
        <v>1</v>
      </c>
      <c r="R22" s="114">
        <v>0.1</v>
      </c>
      <c r="S22" s="114"/>
      <c r="T22" s="114"/>
      <c r="U22" s="114"/>
      <c r="V22" s="121"/>
      <c r="W22" s="117">
        <f t="shared" si="0"/>
        <v>5.9</v>
      </c>
      <c r="X22" s="118">
        <f t="shared" si="2"/>
        <v>2.1</v>
      </c>
      <c r="Y22" s="69">
        <f t="shared" si="3"/>
        <v>8</v>
      </c>
      <c r="Z22" s="70">
        <f>'[1]cálculos teóricos'!I47</f>
        <v>12.791855359544524</v>
      </c>
      <c r="AA22" s="71">
        <f t="shared" si="1"/>
        <v>62.539794073194194</v>
      </c>
      <c r="AB22" s="3"/>
    </row>
    <row r="23" spans="1:28" ht="18" customHeight="1">
      <c r="A23" s="79">
        <v>15</v>
      </c>
      <c r="B23" s="75">
        <v>34.200000000000003</v>
      </c>
      <c r="C23" s="120">
        <f>'[1]cálculos teóricos'!K48</f>
        <v>1.0347933462303829</v>
      </c>
      <c r="D23" s="58">
        <f t="shared" si="4"/>
        <v>515.40128110565547</v>
      </c>
      <c r="E23" s="59">
        <f t="shared" si="5"/>
        <v>21.57882083733158</v>
      </c>
      <c r="F23" s="60">
        <f t="shared" si="6"/>
        <v>27.302608526664482</v>
      </c>
      <c r="G23" s="61">
        <f>'[1]cálculos teóricos'!T48</f>
        <v>40.03929579610913</v>
      </c>
      <c r="H23" s="74">
        <f t="shared" si="7"/>
        <v>68.189532267741953</v>
      </c>
      <c r="I23" s="114"/>
      <c r="J23" s="114"/>
      <c r="K23" s="114">
        <v>0.8</v>
      </c>
      <c r="L23" s="114">
        <v>1</v>
      </c>
      <c r="M23" s="114">
        <v>1</v>
      </c>
      <c r="N23" s="114">
        <v>1</v>
      </c>
      <c r="O23" s="121">
        <v>1</v>
      </c>
      <c r="P23" s="116">
        <v>1</v>
      </c>
      <c r="Q23" s="114">
        <v>1</v>
      </c>
      <c r="R23" s="114">
        <v>1</v>
      </c>
      <c r="S23" s="114">
        <v>0.8</v>
      </c>
      <c r="T23" s="114"/>
      <c r="U23" s="114"/>
      <c r="V23" s="121"/>
      <c r="W23" s="117">
        <f t="shared" si="0"/>
        <v>4.8</v>
      </c>
      <c r="X23" s="118">
        <f t="shared" si="2"/>
        <v>3.8</v>
      </c>
      <c r="Y23" s="69">
        <f t="shared" si="3"/>
        <v>8.6</v>
      </c>
      <c r="Z23" s="70">
        <f>'[1]cálculos teóricos'!I48</f>
        <v>12.770822524089397</v>
      </c>
      <c r="AA23" s="71">
        <f t="shared" si="1"/>
        <v>67.341003163875769</v>
      </c>
      <c r="AB23" s="3"/>
    </row>
    <row r="24" spans="1:28" ht="18" customHeight="1">
      <c r="A24" s="79">
        <v>16</v>
      </c>
      <c r="B24" s="75">
        <v>30.9</v>
      </c>
      <c r="C24" s="120">
        <f>'[1]cálculos teóricos'!K49</f>
        <v>1.0343856222916303</v>
      </c>
      <c r="D24" s="58">
        <f t="shared" si="4"/>
        <v>465.48609781654449</v>
      </c>
      <c r="E24" s="59">
        <f t="shared" si="5"/>
        <v>19.488971943383081</v>
      </c>
      <c r="F24" s="60">
        <f t="shared" si="6"/>
        <v>24.690297409228855</v>
      </c>
      <c r="G24" s="61">
        <f>'[1]cálculos teóricos'!T49</f>
        <v>39.918355258000474</v>
      </c>
      <c r="H24" s="74">
        <f t="shared" si="7"/>
        <v>61.851990768783999</v>
      </c>
      <c r="I24" s="114"/>
      <c r="J24" s="114">
        <v>0.9</v>
      </c>
      <c r="K24" s="114">
        <v>1</v>
      </c>
      <c r="L24" s="114">
        <v>1</v>
      </c>
      <c r="M24" s="114">
        <v>1</v>
      </c>
      <c r="N24" s="114">
        <v>1</v>
      </c>
      <c r="O24" s="121">
        <v>1</v>
      </c>
      <c r="P24" s="116">
        <v>1</v>
      </c>
      <c r="Q24" s="114">
        <v>1</v>
      </c>
      <c r="R24" s="114">
        <v>1</v>
      </c>
      <c r="S24" s="114">
        <v>0.2</v>
      </c>
      <c r="T24" s="114">
        <v>0.3</v>
      </c>
      <c r="U24" s="114"/>
      <c r="V24" s="121"/>
      <c r="W24" s="117">
        <f t="shared" si="0"/>
        <v>5.9</v>
      </c>
      <c r="X24" s="118">
        <f t="shared" si="2"/>
        <v>3.5</v>
      </c>
      <c r="Y24" s="69">
        <f t="shared" si="3"/>
        <v>9.4</v>
      </c>
      <c r="Z24" s="70">
        <f>'[1]cálculos teóricos'!I49</f>
        <v>12.749635967663192</v>
      </c>
      <c r="AA24" s="71">
        <f t="shared" si="1"/>
        <v>73.727595233629813</v>
      </c>
      <c r="AB24" s="3"/>
    </row>
    <row r="25" spans="1:28" ht="18" customHeight="1">
      <c r="A25" s="79">
        <v>17</v>
      </c>
      <c r="B25" s="75">
        <v>19.399999999999999</v>
      </c>
      <c r="C25" s="120">
        <f>'[1]cálculos teóricos'!K50</f>
        <v>1.0339659645420316</v>
      </c>
      <c r="D25" s="58">
        <f t="shared" si="4"/>
        <v>292.12836849739278</v>
      </c>
      <c r="E25" s="59">
        <f t="shared" si="5"/>
        <v>12.23083053224884</v>
      </c>
      <c r="F25" s="60">
        <f t="shared" si="6"/>
        <v>15.617620645311051</v>
      </c>
      <c r="G25" s="61">
        <f>'[1]cálculos teóricos'!T50</f>
        <v>39.794990506538213</v>
      </c>
      <c r="H25" s="74">
        <f t="shared" si="7"/>
        <v>39.245192539360239</v>
      </c>
      <c r="I25" s="114"/>
      <c r="J25" s="114">
        <v>0.1</v>
      </c>
      <c r="K25" s="114">
        <v>0.2</v>
      </c>
      <c r="L25" s="114"/>
      <c r="M25" s="114"/>
      <c r="N25" s="114">
        <v>0.2</v>
      </c>
      <c r="O25" s="121">
        <v>0.8</v>
      </c>
      <c r="P25" s="116">
        <v>0.2</v>
      </c>
      <c r="Q25" s="114">
        <v>0.8</v>
      </c>
      <c r="R25" s="114">
        <v>1</v>
      </c>
      <c r="S25" s="114">
        <v>0.1</v>
      </c>
      <c r="T25" s="114"/>
      <c r="U25" s="114"/>
      <c r="V25" s="121"/>
      <c r="W25" s="117">
        <f t="shared" si="0"/>
        <v>1.3</v>
      </c>
      <c r="X25" s="118">
        <f t="shared" si="2"/>
        <v>2.1</v>
      </c>
      <c r="Y25" s="69">
        <f t="shared" si="3"/>
        <v>3.4000000000000004</v>
      </c>
      <c r="Z25" s="70">
        <f>'[1]cálculos teóricos'!I50</f>
        <v>12.728303027194645</v>
      </c>
      <c r="AA25" s="71">
        <f t="shared" si="1"/>
        <v>26.712123310827323</v>
      </c>
      <c r="AB25" s="3"/>
    </row>
    <row r="26" spans="1:28" ht="18" customHeight="1">
      <c r="A26" s="79">
        <v>18</v>
      </c>
      <c r="B26" s="75">
        <v>29.2</v>
      </c>
      <c r="C26" s="120">
        <f>'[1]cálculos teóricos'!K51</f>
        <v>1.0335342884870602</v>
      </c>
      <c r="D26" s="58">
        <f t="shared" si="4"/>
        <v>439.51479702313401</v>
      </c>
      <c r="E26" s="59">
        <f t="shared" si="5"/>
        <v>18.401605521764576</v>
      </c>
      <c r="F26" s="60">
        <f t="shared" si="6"/>
        <v>23.331089382205718</v>
      </c>
      <c r="G26" s="61">
        <f>'[1]cálculos teóricos'!T51</f>
        <v>39.669217569298148</v>
      </c>
      <c r="H26" s="74">
        <f t="shared" si="7"/>
        <v>58.81409014798097</v>
      </c>
      <c r="I26" s="114"/>
      <c r="J26" s="114">
        <v>0.5</v>
      </c>
      <c r="K26" s="114">
        <v>1</v>
      </c>
      <c r="L26" s="114">
        <v>1</v>
      </c>
      <c r="M26" s="114">
        <v>1</v>
      </c>
      <c r="N26" s="114">
        <v>1</v>
      </c>
      <c r="O26" s="121">
        <v>1</v>
      </c>
      <c r="P26" s="116">
        <v>1</v>
      </c>
      <c r="Q26" s="114">
        <v>1</v>
      </c>
      <c r="R26" s="114">
        <v>1</v>
      </c>
      <c r="S26" s="114">
        <v>0.7</v>
      </c>
      <c r="T26" s="114">
        <v>0.1</v>
      </c>
      <c r="U26" s="114">
        <v>0.2</v>
      </c>
      <c r="V26" s="121"/>
      <c r="W26" s="117">
        <f t="shared" si="0"/>
        <v>5.5</v>
      </c>
      <c r="X26" s="118">
        <f t="shared" si="2"/>
        <v>4</v>
      </c>
      <c r="Y26" s="69">
        <f t="shared" si="3"/>
        <v>9.5</v>
      </c>
      <c r="Z26" s="70">
        <f>'[1]cálculos teóricos'!I51</f>
        <v>12.706830868023706</v>
      </c>
      <c r="AA26" s="71">
        <f t="shared" si="1"/>
        <v>74.762937341886058</v>
      </c>
      <c r="AB26" s="3"/>
    </row>
    <row r="27" spans="1:28" ht="18" customHeight="1">
      <c r="A27" s="79">
        <v>19</v>
      </c>
      <c r="B27" s="75">
        <v>30.2</v>
      </c>
      <c r="C27" s="120">
        <f>'[1]cálculos teóricos'!K52</f>
        <v>1.033090518262219</v>
      </c>
      <c r="D27" s="58">
        <f t="shared" si="4"/>
        <v>454.3714956338971</v>
      </c>
      <c r="E27" s="59">
        <f t="shared" si="5"/>
        <v>19.023625779200003</v>
      </c>
      <c r="F27" s="60">
        <f t="shared" si="6"/>
        <v>24.108614704000004</v>
      </c>
      <c r="G27" s="61">
        <f>'[1]cálculos teóricos'!T52</f>
        <v>39.54105409544276</v>
      </c>
      <c r="H27" s="74">
        <f t="shared" si="7"/>
        <v>60.971097649059907</v>
      </c>
      <c r="I27" s="114"/>
      <c r="J27" s="114">
        <v>0.1</v>
      </c>
      <c r="K27" s="114">
        <v>1</v>
      </c>
      <c r="L27" s="114">
        <v>1</v>
      </c>
      <c r="M27" s="114">
        <v>1</v>
      </c>
      <c r="N27" s="114">
        <v>1</v>
      </c>
      <c r="O27" s="121">
        <v>0.9</v>
      </c>
      <c r="P27" s="116">
        <v>1</v>
      </c>
      <c r="Q27" s="114">
        <v>1</v>
      </c>
      <c r="R27" s="114">
        <v>1</v>
      </c>
      <c r="S27" s="114">
        <v>0.5</v>
      </c>
      <c r="T27" s="114">
        <v>0.3</v>
      </c>
      <c r="U27" s="114"/>
      <c r="V27" s="121"/>
      <c r="W27" s="117">
        <f t="shared" si="0"/>
        <v>5</v>
      </c>
      <c r="X27" s="118">
        <f t="shared" si="2"/>
        <v>3.8</v>
      </c>
      <c r="Y27" s="69">
        <f t="shared" si="3"/>
        <v>8.8000000000000007</v>
      </c>
      <c r="Z27" s="70">
        <f>'[1]cálculos teóricos'!I52</f>
        <v>12.685226483584112</v>
      </c>
      <c r="AA27" s="71">
        <f t="shared" si="1"/>
        <v>69.372036923329958</v>
      </c>
      <c r="AB27" s="3"/>
    </row>
    <row r="28" spans="1:28" ht="18" customHeight="1">
      <c r="A28" s="79">
        <v>20</v>
      </c>
      <c r="B28" s="75">
        <v>30.1</v>
      </c>
      <c r="C28" s="120">
        <f>'[1]cálculos teóricos'!K53</f>
        <v>1.0326345867874447</v>
      </c>
      <c r="D28" s="58">
        <f t="shared" si="4"/>
        <v>452.66709152083644</v>
      </c>
      <c r="E28" s="59">
        <f t="shared" si="5"/>
        <v>18.952265787794378</v>
      </c>
      <c r="F28" s="60">
        <f t="shared" si="6"/>
        <v>24.019414714742975</v>
      </c>
      <c r="G28" s="61">
        <f>'[1]cálculos teóricos'!T53</f>
        <v>39.410519361176185</v>
      </c>
      <c r="H28" s="74">
        <f t="shared" si="7"/>
        <v>60.946709416889369</v>
      </c>
      <c r="I28" s="114">
        <v>0.1</v>
      </c>
      <c r="J28" s="114">
        <v>1</v>
      </c>
      <c r="K28" s="114">
        <v>1</v>
      </c>
      <c r="L28" s="114">
        <v>1</v>
      </c>
      <c r="M28" s="114">
        <v>1</v>
      </c>
      <c r="N28" s="114">
        <v>0.9</v>
      </c>
      <c r="O28" s="121">
        <v>0.5</v>
      </c>
      <c r="P28" s="116">
        <v>1</v>
      </c>
      <c r="Q28" s="114">
        <v>1</v>
      </c>
      <c r="R28" s="114">
        <v>1</v>
      </c>
      <c r="S28" s="114">
        <v>1</v>
      </c>
      <c r="T28" s="114">
        <v>0.3</v>
      </c>
      <c r="U28" s="114"/>
      <c r="V28" s="121"/>
      <c r="W28" s="117">
        <f t="shared" si="0"/>
        <v>5.5</v>
      </c>
      <c r="X28" s="118">
        <f t="shared" si="2"/>
        <v>4.3</v>
      </c>
      <c r="Y28" s="69">
        <f t="shared" si="3"/>
        <v>9.8000000000000007</v>
      </c>
      <c r="Z28" s="70">
        <f>'[1]cálculos teóricos'!I53</f>
        <v>12.663496695599086</v>
      </c>
      <c r="AA28" s="71">
        <f t="shared" si="1"/>
        <v>77.387788188121618</v>
      </c>
      <c r="AB28" s="3"/>
    </row>
    <row r="29" spans="1:28" ht="18" customHeight="1">
      <c r="A29" s="79">
        <v>21</v>
      </c>
      <c r="B29" s="75">
        <v>31</v>
      </c>
      <c r="C29" s="120">
        <f>'[1]cálculos teóricos'!K54</f>
        <v>1.032166435907075</v>
      </c>
      <c r="D29" s="58">
        <f t="shared" si="4"/>
        <v>465.99063256931333</v>
      </c>
      <c r="E29" s="59">
        <f t="shared" si="5"/>
        <v>19.510095804412011</v>
      </c>
      <c r="F29" s="60">
        <f t="shared" si="6"/>
        <v>24.716702235515012</v>
      </c>
      <c r="G29" s="61">
        <f>'[1]cálculos teóricos'!T54</f>
        <v>39.277634272380226</v>
      </c>
      <c r="H29" s="74">
        <f t="shared" si="7"/>
        <v>62.928184686763672</v>
      </c>
      <c r="I29" s="114"/>
      <c r="J29" s="114">
        <v>0.9</v>
      </c>
      <c r="K29" s="114">
        <v>1</v>
      </c>
      <c r="L29" s="114">
        <v>1</v>
      </c>
      <c r="M29" s="114">
        <v>1</v>
      </c>
      <c r="N29" s="114">
        <v>1</v>
      </c>
      <c r="O29" s="121">
        <v>1</v>
      </c>
      <c r="P29" s="116">
        <v>1</v>
      </c>
      <c r="Q29" s="114">
        <v>1</v>
      </c>
      <c r="R29" s="114">
        <v>1</v>
      </c>
      <c r="S29" s="114">
        <v>0.5</v>
      </c>
      <c r="T29" s="114">
        <v>0.4</v>
      </c>
      <c r="U29" s="114"/>
      <c r="V29" s="121"/>
      <c r="W29" s="117">
        <f t="shared" si="0"/>
        <v>5.9</v>
      </c>
      <c r="X29" s="118">
        <f t="shared" si="2"/>
        <v>3.9</v>
      </c>
      <c r="Y29" s="69">
        <f t="shared" si="3"/>
        <v>9.8000000000000007</v>
      </c>
      <c r="Z29" s="70">
        <f>'[1]cálculos teóricos'!I54</f>
        <v>12.641648154765646</v>
      </c>
      <c r="AA29" s="71">
        <f t="shared" si="1"/>
        <v>77.521537382019289</v>
      </c>
      <c r="AB29" s="3"/>
    </row>
    <row r="30" spans="1:28" ht="18" customHeight="1">
      <c r="A30" s="79">
        <v>22</v>
      </c>
      <c r="B30" s="75">
        <v>30.6</v>
      </c>
      <c r="C30" s="120">
        <f>'[1]cálculos teóricos'!K55</f>
        <v>1.0316860165157933</v>
      </c>
      <c r="D30" s="58">
        <f t="shared" si="4"/>
        <v>459.76375462674935</v>
      </c>
      <c r="E30" s="59">
        <f t="shared" si="5"/>
        <v>19.24938887871274</v>
      </c>
      <c r="F30" s="60">
        <f t="shared" si="6"/>
        <v>24.390818578390927</v>
      </c>
      <c r="G30" s="61">
        <f>'[1]cálculos teóricos'!T55</f>
        <v>39.142421364509971</v>
      </c>
      <c r="H30" s="74">
        <f t="shared" si="7"/>
        <v>62.313003968900681</v>
      </c>
      <c r="I30" s="114"/>
      <c r="J30" s="114">
        <v>1</v>
      </c>
      <c r="K30" s="114">
        <v>1</v>
      </c>
      <c r="L30" s="114">
        <v>1</v>
      </c>
      <c r="M30" s="114">
        <v>1</v>
      </c>
      <c r="N30" s="114">
        <v>1</v>
      </c>
      <c r="O30" s="121">
        <v>1</v>
      </c>
      <c r="P30" s="116">
        <v>0.7</v>
      </c>
      <c r="Q30" s="114">
        <v>0.8</v>
      </c>
      <c r="R30" s="114">
        <v>1</v>
      </c>
      <c r="S30" s="114">
        <v>1</v>
      </c>
      <c r="T30" s="114">
        <v>0.3</v>
      </c>
      <c r="U30" s="114"/>
      <c r="V30" s="121"/>
      <c r="W30" s="117">
        <f t="shared" si="0"/>
        <v>6</v>
      </c>
      <c r="X30" s="118">
        <f t="shared" si="2"/>
        <v>3.8</v>
      </c>
      <c r="Y30" s="69">
        <f t="shared" si="3"/>
        <v>9.8000000000000007</v>
      </c>
      <c r="Z30" s="70">
        <f>'[1]cálculos teóricos'!I55</f>
        <v>12.619687341902916</v>
      </c>
      <c r="AA30" s="71">
        <f t="shared" si="1"/>
        <v>77.65644056378234</v>
      </c>
      <c r="AB30" s="3"/>
    </row>
    <row r="31" spans="1:28" ht="18" customHeight="1">
      <c r="A31" s="79">
        <v>23</v>
      </c>
      <c r="B31" s="75">
        <v>34.4</v>
      </c>
      <c r="C31" s="120">
        <f>'[1]cálculos teóricos'!K56</f>
        <v>1.0311932886709996</v>
      </c>
      <c r="D31" s="58">
        <f t="shared" si="4"/>
        <v>516.61175100886749</v>
      </c>
      <c r="E31" s="59">
        <f t="shared" si="5"/>
        <v>21.629500791239263</v>
      </c>
      <c r="F31" s="60">
        <f t="shared" si="6"/>
        <v>27.36595846904908</v>
      </c>
      <c r="G31" s="61">
        <f>'[1]cálculos teóricos'!T56</f>
        <v>39.004904799834748</v>
      </c>
      <c r="H31" s="74">
        <f t="shared" si="7"/>
        <v>70.16030063266561</v>
      </c>
      <c r="I31" s="114"/>
      <c r="J31" s="114">
        <v>0.7</v>
      </c>
      <c r="K31" s="114">
        <v>1</v>
      </c>
      <c r="L31" s="114">
        <v>1</v>
      </c>
      <c r="M31" s="114">
        <v>1</v>
      </c>
      <c r="N31" s="114">
        <v>1</v>
      </c>
      <c r="O31" s="121">
        <v>1</v>
      </c>
      <c r="P31" s="116">
        <v>1</v>
      </c>
      <c r="Q31" s="114">
        <v>1</v>
      </c>
      <c r="R31" s="114">
        <v>1</v>
      </c>
      <c r="S31" s="114">
        <v>1</v>
      </c>
      <c r="T31" s="114">
        <v>1</v>
      </c>
      <c r="U31" s="114">
        <v>0.1</v>
      </c>
      <c r="V31" s="121"/>
      <c r="W31" s="117">
        <f t="shared" si="0"/>
        <v>5.7</v>
      </c>
      <c r="X31" s="118">
        <f t="shared" si="2"/>
        <v>5.0999999999999996</v>
      </c>
      <c r="Y31" s="69">
        <f t="shared" si="3"/>
        <v>10.8</v>
      </c>
      <c r="Z31" s="70">
        <f>'[1]cálculos teóricos'!I56</f>
        <v>12.597620569540034</v>
      </c>
      <c r="AA31" s="71">
        <f t="shared" si="1"/>
        <v>85.730475373369103</v>
      </c>
      <c r="AB31" s="3"/>
    </row>
    <row r="32" spans="1:28" ht="18" customHeight="1">
      <c r="A32" s="79">
        <v>24</v>
      </c>
      <c r="B32" s="75">
        <v>18.399999999999999</v>
      </c>
      <c r="C32" s="120">
        <f>'[1]cálculos teóricos'!K57</f>
        <v>1.0306882216920989</v>
      </c>
      <c r="D32" s="58">
        <f t="shared" si="4"/>
        <v>276.19187366567706</v>
      </c>
      <c r="E32" s="59">
        <f t="shared" si="5"/>
        <v>11.563601366634567</v>
      </c>
      <c r="F32" s="60">
        <f t="shared" si="6"/>
        <v>14.78358418829321</v>
      </c>
      <c r="G32" s="61">
        <f>'[1]cálculos teóricos'!T57</f>
        <v>38.865110362118791</v>
      </c>
      <c r="H32" s="74">
        <f t="shared" si="7"/>
        <v>38.038189138149306</v>
      </c>
      <c r="I32" s="114"/>
      <c r="J32" s="114"/>
      <c r="K32" s="114">
        <v>0.1</v>
      </c>
      <c r="L32" s="114">
        <v>1</v>
      </c>
      <c r="M32" s="114">
        <v>1</v>
      </c>
      <c r="N32" s="114">
        <v>1</v>
      </c>
      <c r="O32" s="121">
        <v>0.9</v>
      </c>
      <c r="P32" s="116">
        <v>0.5</v>
      </c>
      <c r="Q32" s="114"/>
      <c r="R32" s="114"/>
      <c r="S32" s="114"/>
      <c r="T32" s="114"/>
      <c r="U32" s="114"/>
      <c r="V32" s="121"/>
      <c r="W32" s="117">
        <f t="shared" si="0"/>
        <v>4</v>
      </c>
      <c r="X32" s="118">
        <f t="shared" si="2"/>
        <v>0.5</v>
      </c>
      <c r="Y32" s="69">
        <f t="shared" si="3"/>
        <v>4.5</v>
      </c>
      <c r="Z32" s="70">
        <f>'[1]cálculos teóricos'!I57</f>
        <v>12.575453983919491</v>
      </c>
      <c r="AA32" s="71">
        <f t="shared" si="1"/>
        <v>35.783996392927435</v>
      </c>
      <c r="AB32" s="3"/>
    </row>
    <row r="33" spans="1:28" ht="18" customHeight="1">
      <c r="A33" s="79">
        <v>25</v>
      </c>
      <c r="B33" s="75">
        <v>14.2</v>
      </c>
      <c r="C33" s="120">
        <f>'[1]cálculos teóricos'!K58</f>
        <v>1.0301707942472205</v>
      </c>
      <c r="D33" s="58">
        <f t="shared" si="4"/>
        <v>213.0410715406754</v>
      </c>
      <c r="E33" s="59">
        <f t="shared" si="5"/>
        <v>8.9196035832649976</v>
      </c>
      <c r="F33" s="60">
        <f t="shared" si="6"/>
        <v>11.478586959081248</v>
      </c>
      <c r="G33" s="61">
        <f>'[1]cálculos teóricos'!T58</f>
        <v>38.723065448843045</v>
      </c>
      <c r="H33" s="74">
        <f t="shared" si="7"/>
        <v>29.642764140782152</v>
      </c>
      <c r="I33" s="114"/>
      <c r="J33" s="114"/>
      <c r="K33" s="114"/>
      <c r="L33" s="114"/>
      <c r="M33" s="114"/>
      <c r="N33" s="114">
        <v>0.4</v>
      </c>
      <c r="O33" s="121">
        <v>0.2</v>
      </c>
      <c r="P33" s="116">
        <v>0.4</v>
      </c>
      <c r="Q33" s="114">
        <v>0.7</v>
      </c>
      <c r="R33" s="114">
        <v>0.1</v>
      </c>
      <c r="S33" s="114"/>
      <c r="T33" s="114"/>
      <c r="U33" s="114"/>
      <c r="V33" s="121"/>
      <c r="W33" s="117">
        <f t="shared" si="0"/>
        <v>0.60000000000000009</v>
      </c>
      <c r="X33" s="118">
        <f t="shared" si="2"/>
        <v>1.2000000000000002</v>
      </c>
      <c r="Y33" s="69">
        <f t="shared" si="3"/>
        <v>1.8000000000000003</v>
      </c>
      <c r="Z33" s="70">
        <f>'[1]cálculos teóricos'!I58</f>
        <v>12.553193567392162</v>
      </c>
      <c r="AA33" s="71">
        <f t="shared" si="1"/>
        <v>14.338980677200995</v>
      </c>
      <c r="AB33" s="3"/>
    </row>
    <row r="34" spans="1:28" ht="18" customHeight="1">
      <c r="A34" s="79">
        <v>26</v>
      </c>
      <c r="B34" s="75">
        <v>11.1</v>
      </c>
      <c r="C34" s="120">
        <f>'[1]cálculos teóricos'!K59</f>
        <v>1.0296409944279203</v>
      </c>
      <c r="D34" s="58">
        <f t="shared" si="4"/>
        <v>166.44646050809629</v>
      </c>
      <c r="E34" s="59">
        <f t="shared" si="5"/>
        <v>6.9687804085529752</v>
      </c>
      <c r="F34" s="60">
        <f t="shared" si="6"/>
        <v>9.0400579906912188</v>
      </c>
      <c r="G34" s="61">
        <f>'[1]cálculos teóricos'!T59</f>
        <v>38.578799061075529</v>
      </c>
      <c r="H34" s="74">
        <f t="shared" si="7"/>
        <v>23.432709702496357</v>
      </c>
      <c r="I34" s="114"/>
      <c r="J34" s="114"/>
      <c r="K34" s="114"/>
      <c r="L34" s="114"/>
      <c r="M34" s="114"/>
      <c r="N34" s="114"/>
      <c r="O34" s="121"/>
      <c r="P34" s="116"/>
      <c r="Q34" s="114">
        <v>0.2</v>
      </c>
      <c r="R34" s="114">
        <v>0.2</v>
      </c>
      <c r="S34" s="114"/>
      <c r="T34" s="114"/>
      <c r="U34" s="114"/>
      <c r="V34" s="121"/>
      <c r="W34" s="117">
        <f t="shared" si="0"/>
        <v>0</v>
      </c>
      <c r="X34" s="118">
        <f t="shared" si="2"/>
        <v>0.4</v>
      </c>
      <c r="Y34" s="69">
        <f t="shared" si="3"/>
        <v>0.4</v>
      </c>
      <c r="Z34" s="70">
        <f>'[1]cálculos teóricos'!I59</f>
        <v>12.530845141180563</v>
      </c>
      <c r="AA34" s="71">
        <f t="shared" si="1"/>
        <v>3.1921230810319865</v>
      </c>
      <c r="AB34" s="3"/>
    </row>
    <row r="35" spans="1:28" ht="18" customHeight="1">
      <c r="A35" s="79">
        <v>27</v>
      </c>
      <c r="B35" s="75">
        <v>18.2</v>
      </c>
      <c r="C35" s="120">
        <f>'[1]cálculos teóricos'!K60</f>
        <v>1.0290988198124356</v>
      </c>
      <c r="D35" s="58">
        <f t="shared" si="4"/>
        <v>272.76850805455899</v>
      </c>
      <c r="E35" s="59">
        <f t="shared" si="5"/>
        <v>11.420271895228275</v>
      </c>
      <c r="F35" s="60">
        <f t="shared" si="6"/>
        <v>14.604422349035344</v>
      </c>
      <c r="G35" s="61">
        <f>'[1]cálculos teóricos'!T60</f>
        <v>38.432341791103383</v>
      </c>
      <c r="H35" s="74">
        <f t="shared" si="7"/>
        <v>38.000344679532617</v>
      </c>
      <c r="I35" s="114"/>
      <c r="J35" s="114"/>
      <c r="K35" s="114">
        <v>0.1</v>
      </c>
      <c r="L35" s="114">
        <v>1</v>
      </c>
      <c r="M35" s="114">
        <v>0.3</v>
      </c>
      <c r="N35" s="114">
        <v>0.4</v>
      </c>
      <c r="O35" s="121">
        <v>0.1</v>
      </c>
      <c r="P35" s="116">
        <v>0.7</v>
      </c>
      <c r="Q35" s="114">
        <v>0.4</v>
      </c>
      <c r="R35" s="114"/>
      <c r="S35" s="114"/>
      <c r="T35" s="114"/>
      <c r="U35" s="114"/>
      <c r="V35" s="121"/>
      <c r="W35" s="117">
        <f t="shared" si="0"/>
        <v>1.9000000000000004</v>
      </c>
      <c r="X35" s="118">
        <f t="shared" si="2"/>
        <v>1.1000000000000001</v>
      </c>
      <c r="Y35" s="69">
        <f t="shared" si="3"/>
        <v>3.0000000000000004</v>
      </c>
      <c r="Z35" s="70">
        <f>'[1]cálculos teóricos'!I60</f>
        <v>12.508414368487685</v>
      </c>
      <c r="AA35" s="71">
        <f t="shared" si="1"/>
        <v>23.983855280313296</v>
      </c>
      <c r="AB35" s="3"/>
    </row>
    <row r="36" spans="1:28" ht="18" customHeight="1">
      <c r="A36" s="79">
        <v>28</v>
      </c>
      <c r="B36" s="75">
        <v>21</v>
      </c>
      <c r="C36" s="120">
        <f>'[1]cálculos teóricos'!K61</f>
        <v>1.0285442775180771</v>
      </c>
      <c r="D36" s="58">
        <f t="shared" si="4"/>
        <v>314.56329629832487</v>
      </c>
      <c r="E36" s="59">
        <f t="shared" si="5"/>
        <v>13.170136089418266</v>
      </c>
      <c r="F36" s="60">
        <f t="shared" si="6"/>
        <v>16.791752591772834</v>
      </c>
      <c r="G36" s="61">
        <f>'[1]cálculos teóricos'!T61</f>
        <v>38.283725807943732</v>
      </c>
      <c r="H36" s="74">
        <f t="shared" si="7"/>
        <v>43.861333340467624</v>
      </c>
      <c r="I36" s="114"/>
      <c r="J36" s="114"/>
      <c r="K36" s="114"/>
      <c r="L36" s="114">
        <v>0.5</v>
      </c>
      <c r="M36" s="114">
        <v>1</v>
      </c>
      <c r="N36" s="114">
        <v>1</v>
      </c>
      <c r="O36" s="121">
        <v>1</v>
      </c>
      <c r="P36" s="116">
        <v>0.7</v>
      </c>
      <c r="Q36" s="114">
        <v>0.3</v>
      </c>
      <c r="R36" s="114"/>
      <c r="S36" s="114"/>
      <c r="T36" s="114"/>
      <c r="U36" s="114"/>
      <c r="V36" s="121"/>
      <c r="W36" s="117">
        <f t="shared" si="0"/>
        <v>3.5</v>
      </c>
      <c r="X36" s="118">
        <f t="shared" si="2"/>
        <v>1</v>
      </c>
      <c r="Y36" s="69">
        <f t="shared" si="3"/>
        <v>4.5</v>
      </c>
      <c r="Z36" s="70">
        <f>'[1]cálculos teóricos'!I61</f>
        <v>12.485906757928969</v>
      </c>
      <c r="AA36" s="71">
        <f t="shared" si="1"/>
        <v>36.040634350743886</v>
      </c>
      <c r="AB36" s="3"/>
    </row>
    <row r="37" spans="1:28" ht="18" customHeight="1">
      <c r="A37" s="79"/>
      <c r="B37" s="75"/>
      <c r="C37" s="120"/>
      <c r="D37" s="58"/>
      <c r="E37" s="59"/>
      <c r="F37" s="60"/>
      <c r="G37" s="61"/>
      <c r="H37" s="74"/>
      <c r="I37" s="78"/>
      <c r="J37" s="80"/>
      <c r="K37" s="80"/>
      <c r="L37" s="80"/>
      <c r="M37" s="80"/>
      <c r="N37" s="80"/>
      <c r="O37" s="76"/>
      <c r="P37" s="81"/>
      <c r="Q37" s="80"/>
      <c r="R37" s="80"/>
      <c r="S37" s="80"/>
      <c r="T37" s="80"/>
      <c r="U37" s="80"/>
      <c r="V37" s="77"/>
      <c r="W37" s="117"/>
      <c r="X37" s="118"/>
      <c r="Y37" s="69"/>
      <c r="Z37" s="70"/>
      <c r="AA37" s="71"/>
      <c r="AB37" s="3"/>
    </row>
    <row r="38" spans="1:28" ht="18" customHeight="1" thickBot="1">
      <c r="A38" s="122"/>
      <c r="B38" s="87"/>
      <c r="C38" s="88"/>
      <c r="D38" s="89"/>
      <c r="E38" s="123"/>
      <c r="F38" s="91"/>
      <c r="G38" s="92"/>
      <c r="H38" s="93"/>
      <c r="I38" s="94"/>
      <c r="J38" s="87"/>
      <c r="K38" s="87"/>
      <c r="L38" s="87"/>
      <c r="M38" s="87"/>
      <c r="N38" s="87"/>
      <c r="O38" s="95"/>
      <c r="P38" s="94"/>
      <c r="Q38" s="87"/>
      <c r="R38" s="87"/>
      <c r="S38" s="87"/>
      <c r="T38" s="87"/>
      <c r="U38" s="87"/>
      <c r="V38" s="95"/>
      <c r="W38" s="117"/>
      <c r="X38" s="118"/>
      <c r="Y38" s="99"/>
      <c r="Z38" s="124"/>
      <c r="AA38" s="125"/>
      <c r="AB38" s="3"/>
    </row>
    <row r="39" spans="1:28" s="107" customFormat="1" ht="15.75" thickTop="1">
      <c r="A39" s="102"/>
      <c r="B39" s="102"/>
      <c r="C39" s="102"/>
      <c r="D39" s="102"/>
      <c r="E39" s="102"/>
      <c r="F39" s="102"/>
      <c r="G39" s="102"/>
      <c r="H39" s="102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17">
        <f t="shared" si="0"/>
        <v>0</v>
      </c>
      <c r="X39" s="118">
        <f t="shared" si="2"/>
        <v>0</v>
      </c>
      <c r="Y39" s="127">
        <f t="shared" si="3"/>
        <v>0</v>
      </c>
      <c r="Z39" s="128"/>
      <c r="AA39" s="128"/>
      <c r="AB39" s="102"/>
    </row>
    <row r="40" spans="1:28" s="107" customFormat="1" ht="15">
      <c r="A40" s="102"/>
      <c r="B40" s="102" t="s">
        <v>50</v>
      </c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</row>
    <row r="41" spans="1:28" s="107" customFormat="1" ht="15">
      <c r="A41" s="102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</row>
    <row r="42" spans="1:28" s="107" customFormat="1" ht="15">
      <c r="A42" s="102"/>
      <c r="B42" s="102" t="s">
        <v>51</v>
      </c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</row>
    <row r="43" spans="1:28" s="107" customFormat="1" ht="1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</row>
    <row r="44" spans="1:28" s="107" customFormat="1" ht="15">
      <c r="A44" s="102"/>
      <c r="B44" s="102" t="s">
        <v>52</v>
      </c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</row>
    <row r="45" spans="1:28" s="107" customFormat="1" ht="15">
      <c r="A45" s="102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</row>
    <row r="46" spans="1:28" s="107" customFormat="1" ht="15">
      <c r="A46" s="102"/>
      <c r="B46" s="102" t="s">
        <v>53</v>
      </c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</row>
    <row r="47" spans="1:28" s="107" customFormat="1" ht="15">
      <c r="A47" s="102"/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</row>
    <row r="48" spans="1:28" s="107" customFormat="1" ht="15">
      <c r="A48" s="102"/>
      <c r="B48" s="102" t="s">
        <v>54</v>
      </c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</row>
    <row r="49" spans="1:28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ht="15">
      <c r="A50" s="3"/>
      <c r="B50" s="102" t="s">
        <v>55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5">
      <c r="A52" s="3"/>
      <c r="B52" s="102" t="s">
        <v>56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15">
      <c r="B54" s="107" t="s">
        <v>57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55"/>
  <sheetViews>
    <sheetView topLeftCell="A4" zoomScale="75" zoomScaleNormal="75" workbookViewId="0">
      <selection activeCell="A8" sqref="A8"/>
    </sheetView>
  </sheetViews>
  <sheetFormatPr defaultColWidth="11.42578125" defaultRowHeight="12.75"/>
  <cols>
    <col min="1" max="1" width="8.7109375" style="7" customWidth="1"/>
    <col min="2" max="8" width="12.7109375" style="7" customWidth="1"/>
    <col min="9" max="25" width="8.7109375" style="7" customWidth="1"/>
    <col min="26" max="27" width="12.7109375" style="7" customWidth="1"/>
    <col min="28" max="16384" width="11.42578125" style="7"/>
  </cols>
  <sheetData>
    <row r="1" spans="1:28" ht="18" customHeight="1">
      <c r="A1" s="1" t="s">
        <v>63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6"/>
      <c r="Y1" s="6"/>
      <c r="Z1" s="6"/>
      <c r="AA1" s="6"/>
      <c r="AB1" s="3"/>
    </row>
    <row r="2" spans="1:28" ht="18" customHeight="1">
      <c r="A2" s="3"/>
      <c r="B2" s="8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8" t="s">
        <v>64</v>
      </c>
      <c r="W2" s="3"/>
      <c r="X2" s="3"/>
      <c r="Y2" s="3"/>
      <c r="Z2" s="3"/>
      <c r="AA2" s="3"/>
      <c r="AB2" s="3"/>
    </row>
    <row r="3" spans="1:28" ht="18" customHeight="1">
      <c r="A3" s="3"/>
      <c r="B3" s="8" t="s">
        <v>65</v>
      </c>
      <c r="C3" s="3"/>
      <c r="D3" s="109"/>
      <c r="E3" s="3"/>
      <c r="F3" s="3"/>
      <c r="G3" s="4" t="s">
        <v>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8" t="s">
        <v>66</v>
      </c>
      <c r="W3" s="3"/>
      <c r="X3" s="6"/>
      <c r="Y3" s="6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8" customHeight="1" thickTop="1" thickBot="1">
      <c r="A5" s="10" t="s">
        <v>7</v>
      </c>
      <c r="B5" s="11"/>
      <c r="C5" s="12" t="s">
        <v>8</v>
      </c>
      <c r="D5" s="13"/>
      <c r="E5" s="14"/>
      <c r="F5" s="13"/>
      <c r="G5" s="13"/>
      <c r="H5" s="15"/>
      <c r="I5" s="16" t="s">
        <v>9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2"/>
      <c r="Y5" s="17"/>
      <c r="Z5" s="14"/>
      <c r="AA5" s="18"/>
      <c r="AB5" s="3"/>
    </row>
    <row r="6" spans="1:28" ht="18" customHeight="1">
      <c r="A6" s="19"/>
      <c r="B6" s="20" t="s">
        <v>10</v>
      </c>
      <c r="C6" s="21" t="s">
        <v>11</v>
      </c>
      <c r="D6" s="22" t="s">
        <v>12</v>
      </c>
      <c r="E6" s="21" t="s">
        <v>12</v>
      </c>
      <c r="F6" s="23" t="s">
        <v>13</v>
      </c>
      <c r="G6" s="23" t="s">
        <v>14</v>
      </c>
      <c r="H6" s="23" t="s">
        <v>15</v>
      </c>
      <c r="I6" s="24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6"/>
      <c r="V6" s="27"/>
      <c r="W6" s="28"/>
      <c r="X6" s="29"/>
      <c r="Y6" s="30"/>
      <c r="Z6" s="31" t="s">
        <v>16</v>
      </c>
      <c r="AA6" s="32" t="s">
        <v>17</v>
      </c>
      <c r="AB6" s="3"/>
    </row>
    <row r="7" spans="1:28" ht="18" customHeight="1" thickBot="1">
      <c r="A7" s="33"/>
      <c r="B7" s="34" t="s">
        <v>18</v>
      </c>
      <c r="C7" s="35" t="s">
        <v>19</v>
      </c>
      <c r="D7" s="22" t="s">
        <v>20</v>
      </c>
      <c r="E7" s="23" t="s">
        <v>20</v>
      </c>
      <c r="F7" s="23" t="s">
        <v>21</v>
      </c>
      <c r="G7" s="23" t="s">
        <v>22</v>
      </c>
      <c r="H7" s="23" t="s">
        <v>23</v>
      </c>
      <c r="I7" s="36" t="s">
        <v>24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7"/>
      <c r="W7" s="38"/>
      <c r="X7" s="39" t="s">
        <v>25</v>
      </c>
      <c r="Y7" s="40"/>
      <c r="Z7" s="41" t="s">
        <v>26</v>
      </c>
      <c r="AA7" s="42" t="s">
        <v>27</v>
      </c>
      <c r="AB7" s="3"/>
    </row>
    <row r="8" spans="1:28" ht="18" customHeight="1" thickBot="1">
      <c r="A8" s="129"/>
      <c r="B8" s="44" t="s">
        <v>28</v>
      </c>
      <c r="C8" s="45" t="s">
        <v>29</v>
      </c>
      <c r="D8" s="45" t="s">
        <v>30</v>
      </c>
      <c r="E8" s="46" t="s">
        <v>31</v>
      </c>
      <c r="F8" s="46" t="s">
        <v>31</v>
      </c>
      <c r="G8" s="45" t="s">
        <v>31</v>
      </c>
      <c r="H8" s="23" t="s">
        <v>32</v>
      </c>
      <c r="I8" s="47" t="s">
        <v>33</v>
      </c>
      <c r="J8" s="48" t="s">
        <v>34</v>
      </c>
      <c r="K8" s="48" t="s">
        <v>35</v>
      </c>
      <c r="L8" s="48" t="s">
        <v>36</v>
      </c>
      <c r="M8" s="48" t="s">
        <v>37</v>
      </c>
      <c r="N8" s="48" t="s">
        <v>38</v>
      </c>
      <c r="O8" s="49" t="s">
        <v>39</v>
      </c>
      <c r="P8" s="48" t="s">
        <v>40</v>
      </c>
      <c r="Q8" s="48" t="s">
        <v>41</v>
      </c>
      <c r="R8" s="48" t="s">
        <v>42</v>
      </c>
      <c r="S8" s="48" t="s">
        <v>43</v>
      </c>
      <c r="T8" s="48" t="s">
        <v>44</v>
      </c>
      <c r="U8" s="48" t="s">
        <v>45</v>
      </c>
      <c r="V8" s="50" t="s">
        <v>46</v>
      </c>
      <c r="W8" s="53" t="s">
        <v>47</v>
      </c>
      <c r="X8" s="111" t="s">
        <v>48</v>
      </c>
      <c r="Y8" s="52" t="s">
        <v>49</v>
      </c>
      <c r="Z8" s="53" t="s">
        <v>49</v>
      </c>
      <c r="AA8" s="54" t="s">
        <v>49</v>
      </c>
      <c r="AB8" s="3"/>
    </row>
    <row r="9" spans="1:28" ht="18" customHeight="1">
      <c r="A9" s="72">
        <v>1</v>
      </c>
      <c r="B9" s="56">
        <v>25.2</v>
      </c>
      <c r="C9" s="73">
        <f>'[1]cálculos teóricos'!K63</f>
        <v>1.0279773842433713</v>
      </c>
      <c r="D9" s="58">
        <f>IF(B9&gt;0,B9*C9*14.25*1.022,-999)</f>
        <v>377.26790561279415</v>
      </c>
      <c r="E9" s="59">
        <f>IF(B9&gt;0,D9*4.1868/100,-999)</f>
        <v>15.795452672196467</v>
      </c>
      <c r="F9" s="60">
        <f>IF(B9&gt;0,(7.86+1.25*D9)*4.1868/100,-999)</f>
        <v>20.07339832024558</v>
      </c>
      <c r="G9" s="61">
        <f>'[1]cálculos teóricos'!T63</f>
        <v>38.132984840855237</v>
      </c>
      <c r="H9" s="62">
        <f>IF(B9&gt;0,100*F9/G9,-999)</f>
        <v>52.640511630600642</v>
      </c>
      <c r="I9" s="130"/>
      <c r="J9" s="130">
        <v>0.3</v>
      </c>
      <c r="K9" s="130">
        <v>0.7</v>
      </c>
      <c r="L9" s="130">
        <v>0.8</v>
      </c>
      <c r="M9" s="130">
        <v>0.9</v>
      </c>
      <c r="N9" s="130">
        <v>1</v>
      </c>
      <c r="O9" s="131">
        <v>0.7</v>
      </c>
      <c r="P9" s="132">
        <v>1</v>
      </c>
      <c r="Q9" s="130">
        <v>0.7</v>
      </c>
      <c r="R9" s="130">
        <v>0.8</v>
      </c>
      <c r="S9" s="130">
        <v>0.3</v>
      </c>
      <c r="T9" s="130"/>
      <c r="U9" s="130"/>
      <c r="V9" s="64"/>
      <c r="W9" s="117">
        <f t="shared" ref="W9:W39" si="0">SUM(I9:O9)</f>
        <v>4.4000000000000004</v>
      </c>
      <c r="X9" s="118">
        <f>SUM(P9:V9)</f>
        <v>2.8</v>
      </c>
      <c r="Y9" s="119">
        <f>W9+X9</f>
        <v>7.2</v>
      </c>
      <c r="Z9" s="70">
        <f>'[1]cálculos teóricos'!I63</f>
        <v>12.463327667266025</v>
      </c>
      <c r="AA9" s="71">
        <f>100*Y9/Z9</f>
        <v>57.769483337184887</v>
      </c>
      <c r="AB9" s="3"/>
    </row>
    <row r="10" spans="1:28" ht="18" customHeight="1">
      <c r="A10" s="72">
        <v>2</v>
      </c>
      <c r="B10" s="56">
        <v>25</v>
      </c>
      <c r="C10" s="120">
        <f>'[1]cálculos teóricos'!K64</f>
        <v>1.027398166300562</v>
      </c>
      <c r="D10" s="58">
        <f>IF(B10&gt;0,B10*C10*14.25*1.022,-999)</f>
        <v>374.06282987295583</v>
      </c>
      <c r="E10" s="59">
        <f>IF(B10&gt;0,D10*4.1868/100,-999)</f>
        <v>15.661262561120914</v>
      </c>
      <c r="F10" s="60">
        <f>IF(B10&gt;0,(7.86+1.25*D10)*4.1868/100,-999)</f>
        <v>19.905660681401141</v>
      </c>
      <c r="G10" s="61">
        <f>'[1]cálculos teóricos'!T64</f>
        <v>37.980154160973754</v>
      </c>
      <c r="H10" s="74">
        <f>IF(B10&gt;0,100*F10/G10,-999)</f>
        <v>52.410689532837829</v>
      </c>
      <c r="I10" s="133"/>
      <c r="J10" s="132">
        <v>0.3</v>
      </c>
      <c r="K10" s="130">
        <v>0.6</v>
      </c>
      <c r="L10" s="130"/>
      <c r="M10" s="130">
        <v>1</v>
      </c>
      <c r="N10" s="130">
        <v>1</v>
      </c>
      <c r="O10" s="134">
        <v>1</v>
      </c>
      <c r="P10" s="132">
        <v>0.9</v>
      </c>
      <c r="Q10" s="130">
        <v>0.7</v>
      </c>
      <c r="R10" s="130">
        <v>0.6</v>
      </c>
      <c r="S10" s="130"/>
      <c r="T10" s="130"/>
      <c r="U10" s="130"/>
      <c r="V10" s="77"/>
      <c r="W10" s="117">
        <f t="shared" si="0"/>
        <v>3.9</v>
      </c>
      <c r="X10" s="118">
        <f t="shared" ref="X10:X39" si="1">SUM(P10:V10)</f>
        <v>2.2000000000000002</v>
      </c>
      <c r="Y10" s="69">
        <f t="shared" ref="Y10:Y39" si="2">W10+X10</f>
        <v>6.1</v>
      </c>
      <c r="Z10" s="70">
        <f>'[1]cálculos teóricos'!I64</f>
        <v>12.440682307421085</v>
      </c>
      <c r="AA10" s="71">
        <f t="shared" ref="AA10:AA39" si="3">100*Y10/Z10</f>
        <v>49.032680437159328</v>
      </c>
      <c r="AB10" s="3"/>
    </row>
    <row r="11" spans="1:28" ht="18" customHeight="1">
      <c r="A11" s="72">
        <v>3</v>
      </c>
      <c r="B11" s="56">
        <v>29</v>
      </c>
      <c r="C11" s="120">
        <f>'[1]cálculos teóricos'!K65</f>
        <v>1.0268066596390977</v>
      </c>
      <c r="D11" s="58">
        <f t="shared" ref="D11:D39" si="4">IF(B11&gt;0,B11*C11*14.25*1.022,-999)</f>
        <v>433.66306484196599</v>
      </c>
      <c r="E11" s="59">
        <f t="shared" ref="E11:E39" si="5">IF(B11&gt;0,D11*4.1868/100,-999)</f>
        <v>18.156605198803433</v>
      </c>
      <c r="F11" s="60">
        <f t="shared" ref="F11:F39" si="6">IF(B11&gt;0,(7.86+1.25*D11)*4.1868/100,-999)</f>
        <v>23.024838978504292</v>
      </c>
      <c r="G11" s="61">
        <f>'[1]cálculos teóricos'!T65</f>
        <v>37.825270561198415</v>
      </c>
      <c r="H11" s="74">
        <f t="shared" ref="H11:H39" si="7">IF(B11&gt;0,100*F11/G11,-999)</f>
        <v>60.871577749197719</v>
      </c>
      <c r="I11" s="133"/>
      <c r="J11" s="132">
        <v>0.2</v>
      </c>
      <c r="K11" s="130">
        <v>1</v>
      </c>
      <c r="L11" s="130">
        <v>1</v>
      </c>
      <c r="M11" s="130">
        <v>1</v>
      </c>
      <c r="N11" s="132">
        <v>1</v>
      </c>
      <c r="O11" s="134">
        <v>1</v>
      </c>
      <c r="P11" s="132">
        <v>1</v>
      </c>
      <c r="Q11" s="130">
        <v>0.8</v>
      </c>
      <c r="R11" s="130">
        <v>0.1</v>
      </c>
      <c r="S11" s="130">
        <v>0.4</v>
      </c>
      <c r="T11" s="130"/>
      <c r="U11" s="130"/>
      <c r="V11" s="77"/>
      <c r="W11" s="117">
        <f t="shared" si="0"/>
        <v>5.2</v>
      </c>
      <c r="X11" s="118">
        <f t="shared" si="1"/>
        <v>2.3000000000000003</v>
      </c>
      <c r="Y11" s="69">
        <f t="shared" si="2"/>
        <v>7.5</v>
      </c>
      <c r="Z11" s="70">
        <f>'[1]cálculos teóricos'!I65</f>
        <v>12.417975746751987</v>
      </c>
      <c r="AA11" s="71">
        <f t="shared" si="3"/>
        <v>60.3963170242274</v>
      </c>
      <c r="AB11" s="3"/>
    </row>
    <row r="12" spans="1:28" ht="18" customHeight="1">
      <c r="A12" s="72">
        <v>4</v>
      </c>
      <c r="B12" s="56">
        <v>23.4</v>
      </c>
      <c r="C12" s="120">
        <f>'[1]cálculos teóricos'!K66</f>
        <v>1.0262029098607273</v>
      </c>
      <c r="D12" s="58">
        <f t="shared" si="4"/>
        <v>349.71548221950684</v>
      </c>
      <c r="E12" s="59">
        <f t="shared" si="5"/>
        <v>14.641887809566313</v>
      </c>
      <c r="F12" s="60">
        <f t="shared" si="6"/>
        <v>18.631442241957892</v>
      </c>
      <c r="G12" s="61">
        <f>'[1]cálculos teóricos'!T66</f>
        <v>37.668372334455164</v>
      </c>
      <c r="H12" s="74">
        <f t="shared" si="7"/>
        <v>49.461766164278245</v>
      </c>
      <c r="I12" s="133"/>
      <c r="J12" s="132">
        <v>0.2</v>
      </c>
      <c r="K12" s="130">
        <v>0.8</v>
      </c>
      <c r="L12" s="130">
        <v>1</v>
      </c>
      <c r="M12" s="130">
        <v>1</v>
      </c>
      <c r="N12" s="132">
        <v>1</v>
      </c>
      <c r="O12" s="134">
        <v>1</v>
      </c>
      <c r="P12" s="132">
        <v>1</v>
      </c>
      <c r="Q12" s="130">
        <v>0.2</v>
      </c>
      <c r="R12" s="130">
        <v>0.2</v>
      </c>
      <c r="S12" s="130"/>
      <c r="T12" s="130"/>
      <c r="U12" s="130"/>
      <c r="V12" s="77"/>
      <c r="W12" s="117">
        <f t="shared" si="0"/>
        <v>5</v>
      </c>
      <c r="X12" s="118">
        <f t="shared" si="1"/>
        <v>1.4</v>
      </c>
      <c r="Y12" s="69">
        <f t="shared" si="2"/>
        <v>6.4</v>
      </c>
      <c r="Z12" s="70">
        <f>'[1]cálculos teóricos'!I66</f>
        <v>12.395212915568337</v>
      </c>
      <c r="AA12" s="71">
        <f t="shared" si="3"/>
        <v>51.632836350569065</v>
      </c>
      <c r="AB12" s="3"/>
    </row>
    <row r="13" spans="1:28" ht="18" customHeight="1">
      <c r="A13" s="72">
        <v>5</v>
      </c>
      <c r="B13" s="56">
        <v>14.6</v>
      </c>
      <c r="C13" s="120">
        <f>'[1]cálculos teóricos'!K67</f>
        <v>1.0255869722268318</v>
      </c>
      <c r="D13" s="58">
        <f t="shared" si="4"/>
        <v>218.06758370237179</v>
      </c>
      <c r="E13" s="59">
        <f t="shared" si="5"/>
        <v>9.1300535944509029</v>
      </c>
      <c r="F13" s="60">
        <f t="shared" si="6"/>
        <v>11.741649473063628</v>
      </c>
      <c r="G13" s="61">
        <f>'[1]cálculos teóricos'!T67</f>
        <v>37.509499250465367</v>
      </c>
      <c r="H13" s="74">
        <f t="shared" si="7"/>
        <v>31.303135759451532</v>
      </c>
      <c r="I13" s="133"/>
      <c r="J13" s="132"/>
      <c r="K13" s="130"/>
      <c r="L13" s="130"/>
      <c r="M13" s="130"/>
      <c r="N13" s="132"/>
      <c r="O13" s="134"/>
      <c r="P13" s="132">
        <v>0.1</v>
      </c>
      <c r="Q13" s="130">
        <v>0.5</v>
      </c>
      <c r="R13" s="130"/>
      <c r="S13" s="130">
        <v>0.3</v>
      </c>
      <c r="T13" s="130">
        <v>0.4</v>
      </c>
      <c r="U13" s="130"/>
      <c r="V13" s="77"/>
      <c r="W13" s="117">
        <f t="shared" si="0"/>
        <v>0</v>
      </c>
      <c r="X13" s="118">
        <f t="shared" si="1"/>
        <v>1.2999999999999998</v>
      </c>
      <c r="Y13" s="69">
        <f t="shared" si="2"/>
        <v>1.2999999999999998</v>
      </c>
      <c r="Z13" s="70">
        <f>'[1]cálculos teóricos'!I67</f>
        <v>12.372398610870075</v>
      </c>
      <c r="AA13" s="71">
        <f t="shared" si="3"/>
        <v>10.507259270307156</v>
      </c>
      <c r="AB13" s="3"/>
    </row>
    <row r="14" spans="1:28" ht="18" customHeight="1">
      <c r="A14" s="72">
        <v>6</v>
      </c>
      <c r="B14" s="56">
        <v>13.2</v>
      </c>
      <c r="C14" s="120">
        <f>'[1]cálculos teóricos'!K68</f>
        <v>1.0249589116586053</v>
      </c>
      <c r="D14" s="58">
        <f t="shared" si="4"/>
        <v>197.03625625120929</v>
      </c>
      <c r="E14" s="59">
        <f t="shared" si="5"/>
        <v>8.2495139767256305</v>
      </c>
      <c r="F14" s="60">
        <f t="shared" si="6"/>
        <v>10.640974950907038</v>
      </c>
      <c r="G14" s="61">
        <f>'[1]cálculos teóricos'!T68</f>
        <v>37.348692531146071</v>
      </c>
      <c r="H14" s="74">
        <f t="shared" si="7"/>
        <v>28.490890121610672</v>
      </c>
      <c r="I14" s="133"/>
      <c r="J14" s="132"/>
      <c r="K14" s="130"/>
      <c r="L14" s="130"/>
      <c r="M14" s="130"/>
      <c r="N14" s="132">
        <v>0.1</v>
      </c>
      <c r="O14" s="134">
        <v>0.7</v>
      </c>
      <c r="P14" s="132">
        <v>0.1</v>
      </c>
      <c r="Q14" s="130"/>
      <c r="R14" s="130">
        <v>0.3</v>
      </c>
      <c r="S14" s="130">
        <v>0.4</v>
      </c>
      <c r="T14" s="130"/>
      <c r="U14" s="130"/>
      <c r="V14" s="77"/>
      <c r="W14" s="117">
        <f t="shared" si="0"/>
        <v>0.79999999999999993</v>
      </c>
      <c r="X14" s="118">
        <f t="shared" si="1"/>
        <v>0.8</v>
      </c>
      <c r="Y14" s="69">
        <f t="shared" si="2"/>
        <v>1.6</v>
      </c>
      <c r="Z14" s="70">
        <f>'[1]cálculos teóricos'!I68</f>
        <v>12.349537501290623</v>
      </c>
      <c r="AA14" s="71">
        <f t="shared" si="3"/>
        <v>12.955950778179243</v>
      </c>
      <c r="AB14" s="3"/>
    </row>
    <row r="15" spans="1:28" ht="18" customHeight="1">
      <c r="A15" s="72">
        <v>7</v>
      </c>
      <c r="B15" s="75">
        <v>19.600000000000001</v>
      </c>
      <c r="C15" s="120">
        <f>'[1]cálculos teóricos'!K69</f>
        <v>1.0243188027306998</v>
      </c>
      <c r="D15" s="58">
        <f t="shared" si="4"/>
        <v>292.38627091794353</v>
      </c>
      <c r="E15" s="59">
        <f t="shared" si="5"/>
        <v>12.24162839079246</v>
      </c>
      <c r="F15" s="60">
        <f t="shared" si="6"/>
        <v>15.631117968490573</v>
      </c>
      <c r="G15" s="61">
        <f>'[1]cálculos teóricos'!T69</f>
        <v>37.185994824767818</v>
      </c>
      <c r="H15" s="74">
        <f t="shared" si="7"/>
        <v>42.034959780286506</v>
      </c>
      <c r="I15" s="133"/>
      <c r="J15" s="132"/>
      <c r="K15" s="130">
        <v>0.1</v>
      </c>
      <c r="L15" s="130">
        <v>0.2</v>
      </c>
      <c r="M15" s="130">
        <v>0.7</v>
      </c>
      <c r="N15" s="132">
        <v>0.6</v>
      </c>
      <c r="O15" s="134">
        <v>0.1</v>
      </c>
      <c r="P15" s="132">
        <v>0.6</v>
      </c>
      <c r="Q15" s="130">
        <v>0.9</v>
      </c>
      <c r="R15" s="130">
        <v>0.4</v>
      </c>
      <c r="S15" s="130"/>
      <c r="T15" s="130">
        <v>0.1</v>
      </c>
      <c r="U15" s="130"/>
      <c r="V15" s="77"/>
      <c r="W15" s="117">
        <f t="shared" si="0"/>
        <v>1.7000000000000002</v>
      </c>
      <c r="X15" s="118">
        <f t="shared" si="1"/>
        <v>2</v>
      </c>
      <c r="Y15" s="69">
        <f t="shared" si="2"/>
        <v>3.7</v>
      </c>
      <c r="Z15" s="70">
        <f>'[1]cálculos teóricos'!I69</f>
        <v>12.326634132227381</v>
      </c>
      <c r="AA15" s="71">
        <f t="shared" si="3"/>
        <v>30.016304210137388</v>
      </c>
      <c r="AB15" s="3"/>
    </row>
    <row r="16" spans="1:28" ht="18" customHeight="1">
      <c r="A16" s="79">
        <v>8</v>
      </c>
      <c r="B16" s="75">
        <v>22</v>
      </c>
      <c r="C16" s="120">
        <f>'[1]cálculos teóricos'!K70</f>
        <v>1.023666729658925</v>
      </c>
      <c r="D16" s="58">
        <f t="shared" si="4"/>
        <v>327.97974918253061</v>
      </c>
      <c r="E16" s="59">
        <f t="shared" si="5"/>
        <v>13.731856138774193</v>
      </c>
      <c r="F16" s="60">
        <f t="shared" si="6"/>
        <v>17.493902653467739</v>
      </c>
      <c r="G16" s="61">
        <f>'[1]cálculos teóricos'!T70</f>
        <v>37.021450178993661</v>
      </c>
      <c r="H16" s="74">
        <f t="shared" si="7"/>
        <v>47.253423539291703</v>
      </c>
      <c r="I16" s="133"/>
      <c r="J16" s="132"/>
      <c r="K16" s="130">
        <v>0.6</v>
      </c>
      <c r="L16" s="130">
        <v>1</v>
      </c>
      <c r="M16" s="130">
        <v>0.8</v>
      </c>
      <c r="N16" s="132">
        <v>1</v>
      </c>
      <c r="O16" s="134">
        <v>0.6</v>
      </c>
      <c r="P16" s="132">
        <v>0.5</v>
      </c>
      <c r="Q16" s="130">
        <v>0.5</v>
      </c>
      <c r="R16" s="130">
        <v>0.9</v>
      </c>
      <c r="S16" s="130"/>
      <c r="T16" s="130">
        <v>0.6</v>
      </c>
      <c r="U16" s="130">
        <v>0.5</v>
      </c>
      <c r="V16" s="77"/>
      <c r="W16" s="117">
        <f t="shared" si="0"/>
        <v>4</v>
      </c>
      <c r="X16" s="118">
        <f t="shared" si="1"/>
        <v>3</v>
      </c>
      <c r="Y16" s="69">
        <f t="shared" si="2"/>
        <v>7</v>
      </c>
      <c r="Z16" s="70">
        <f>'[1]cálculos teóricos'!I70</f>
        <v>12.303692931143221</v>
      </c>
      <c r="AA16" s="71">
        <f t="shared" si="3"/>
        <v>56.893487501476372</v>
      </c>
      <c r="AB16" s="3"/>
    </row>
    <row r="17" spans="1:28" ht="18" customHeight="1">
      <c r="A17" s="79">
        <v>9</v>
      </c>
      <c r="B17" s="75">
        <v>24.6</v>
      </c>
      <c r="C17" s="120">
        <f>'[1]cálculos teóricos'!K71</f>
        <v>1.0230027862825883</v>
      </c>
      <c r="D17" s="58">
        <f t="shared" si="4"/>
        <v>366.50312651945131</v>
      </c>
      <c r="E17" s="59">
        <f t="shared" si="5"/>
        <v>15.344752901116387</v>
      </c>
      <c r="F17" s="60">
        <f t="shared" si="6"/>
        <v>19.510023606395485</v>
      </c>
      <c r="G17" s="61">
        <f>'[1]cálculos teóricos'!T71</f>
        <v>36.855104012919824</v>
      </c>
      <c r="H17" s="74">
        <f t="shared" si="7"/>
        <v>52.937100922455961</v>
      </c>
      <c r="I17" s="133"/>
      <c r="J17" s="132"/>
      <c r="K17" s="130">
        <v>0.3</v>
      </c>
      <c r="L17" s="130">
        <v>1</v>
      </c>
      <c r="M17" s="130">
        <v>1</v>
      </c>
      <c r="N17" s="132">
        <v>1</v>
      </c>
      <c r="O17" s="134">
        <v>1</v>
      </c>
      <c r="P17" s="132">
        <v>0.6</v>
      </c>
      <c r="Q17" s="130">
        <v>0.4</v>
      </c>
      <c r="R17" s="130">
        <v>0.9</v>
      </c>
      <c r="S17" s="130"/>
      <c r="T17" s="130"/>
      <c r="U17" s="130"/>
      <c r="V17" s="77"/>
      <c r="W17" s="117">
        <f t="shared" si="0"/>
        <v>4.3</v>
      </c>
      <c r="X17" s="118">
        <f t="shared" si="1"/>
        <v>1.9</v>
      </c>
      <c r="Y17" s="69">
        <f t="shared" si="2"/>
        <v>6.1999999999999993</v>
      </c>
      <c r="Z17" s="70">
        <f>'[1]cálculos teóricos'!I71</f>
        <v>12.280718213023388</v>
      </c>
      <c r="AA17" s="71">
        <f t="shared" si="3"/>
        <v>50.485646624682403</v>
      </c>
      <c r="AB17" s="3"/>
    </row>
    <row r="18" spans="1:28" ht="18" customHeight="1">
      <c r="A18" s="79">
        <v>10</v>
      </c>
      <c r="B18" s="75">
        <v>29.1</v>
      </c>
      <c r="C18" s="120">
        <f>'[1]cálculos teóricos'!K72</f>
        <v>1.0223270760420269</v>
      </c>
      <c r="D18" s="58">
        <f t="shared" si="4"/>
        <v>433.26001682339756</v>
      </c>
      <c r="E18" s="59">
        <f t="shared" si="5"/>
        <v>18.139730384362007</v>
      </c>
      <c r="F18" s="60">
        <f t="shared" si="6"/>
        <v>23.00374546045251</v>
      </c>
      <c r="G18" s="61">
        <f>'[1]cálculos teóricos'!T72</f>
        <v>36.687003088236096</v>
      </c>
      <c r="H18" s="74">
        <f t="shared" si="7"/>
        <v>62.70271083502265</v>
      </c>
      <c r="I18" s="133"/>
      <c r="J18" s="132">
        <v>0.7</v>
      </c>
      <c r="K18" s="130">
        <v>1</v>
      </c>
      <c r="L18" s="130">
        <v>1</v>
      </c>
      <c r="M18" s="130">
        <v>1</v>
      </c>
      <c r="N18" s="130">
        <v>1</v>
      </c>
      <c r="O18" s="134">
        <v>1</v>
      </c>
      <c r="P18" s="132">
        <v>1</v>
      </c>
      <c r="Q18" s="130">
        <v>1</v>
      </c>
      <c r="R18" s="130">
        <v>1</v>
      </c>
      <c r="S18" s="130">
        <v>1</v>
      </c>
      <c r="T18" s="130">
        <v>0.3</v>
      </c>
      <c r="U18" s="130"/>
      <c r="V18" s="77"/>
      <c r="W18" s="117">
        <f t="shared" si="0"/>
        <v>5.7</v>
      </c>
      <c r="X18" s="118">
        <f t="shared" si="1"/>
        <v>4.3</v>
      </c>
      <c r="Y18" s="69">
        <f t="shared" si="2"/>
        <v>10</v>
      </c>
      <c r="Z18" s="70">
        <f>'[1]cálculos teóricos'!I72</f>
        <v>12.25771418597288</v>
      </c>
      <c r="AA18" s="71">
        <f t="shared" si="3"/>
        <v>81.581278925915115</v>
      </c>
      <c r="AB18" s="3"/>
    </row>
    <row r="19" spans="1:28" ht="18" customHeight="1">
      <c r="A19" s="79">
        <v>11</v>
      </c>
      <c r="B19" s="75">
        <v>22.6</v>
      </c>
      <c r="C19" s="120">
        <f>'[1]cálculos teóricos'!K73</f>
        <v>1.0216397119518779</v>
      </c>
      <c r="D19" s="58">
        <f t="shared" si="4"/>
        <v>336.25748875725253</v>
      </c>
      <c r="E19" s="59">
        <f t="shared" si="5"/>
        <v>14.078428539288648</v>
      </c>
      <c r="F19" s="60">
        <f t="shared" si="6"/>
        <v>17.927118154110811</v>
      </c>
      <c r="G19" s="61">
        <f>'[1]cálculos teóricos'!T73</f>
        <v>36.517195479618834</v>
      </c>
      <c r="H19" s="74">
        <f t="shared" si="7"/>
        <v>49.092264393952121</v>
      </c>
      <c r="I19" s="133"/>
      <c r="J19" s="132">
        <v>0.3</v>
      </c>
      <c r="K19" s="130">
        <v>0.5</v>
      </c>
      <c r="L19" s="130">
        <v>0.7</v>
      </c>
      <c r="M19" s="130">
        <v>1</v>
      </c>
      <c r="N19" s="130">
        <v>0.6</v>
      </c>
      <c r="O19" s="134">
        <v>0.9</v>
      </c>
      <c r="P19" s="132">
        <v>1</v>
      </c>
      <c r="Q19" s="130">
        <v>0.4</v>
      </c>
      <c r="R19" s="130">
        <v>0.2</v>
      </c>
      <c r="S19" s="130">
        <v>0.8</v>
      </c>
      <c r="T19" s="130">
        <v>0.5</v>
      </c>
      <c r="U19" s="130"/>
      <c r="V19" s="77"/>
      <c r="W19" s="117">
        <f t="shared" si="0"/>
        <v>4</v>
      </c>
      <c r="X19" s="118">
        <f t="shared" si="1"/>
        <v>2.9</v>
      </c>
      <c r="Y19" s="69">
        <f t="shared" si="2"/>
        <v>6.9</v>
      </c>
      <c r="Z19" s="70">
        <f>'[1]cálculos teóricos'!I73</f>
        <v>12.234684956940034</v>
      </c>
      <c r="AA19" s="71">
        <f t="shared" si="3"/>
        <v>56.397038618358749</v>
      </c>
      <c r="AB19" s="3"/>
    </row>
    <row r="20" spans="1:28" ht="18" customHeight="1">
      <c r="A20" s="79">
        <v>12</v>
      </c>
      <c r="B20" s="75">
        <v>25.1</v>
      </c>
      <c r="C20" s="120">
        <f>'[1]cálculos teóricos'!K74</f>
        <v>1.0209408165705878</v>
      </c>
      <c r="D20" s="58">
        <f t="shared" si="4"/>
        <v>373.19863671135653</v>
      </c>
      <c r="E20" s="59">
        <f t="shared" si="5"/>
        <v>15.625080521831075</v>
      </c>
      <c r="F20" s="60">
        <f t="shared" si="6"/>
        <v>19.860433132288843</v>
      </c>
      <c r="G20" s="61">
        <f>'[1]cálculos teóricos'!T74</f>
        <v>36.345730544465582</v>
      </c>
      <c r="H20" s="74">
        <f t="shared" si="7"/>
        <v>54.643097923128742</v>
      </c>
      <c r="I20" s="133"/>
      <c r="J20" s="132"/>
      <c r="K20" s="130">
        <v>1</v>
      </c>
      <c r="L20" s="130">
        <v>1</v>
      </c>
      <c r="M20" s="130">
        <v>1</v>
      </c>
      <c r="N20" s="130">
        <v>1</v>
      </c>
      <c r="O20" s="134">
        <v>0.8</v>
      </c>
      <c r="P20" s="132">
        <v>0.6</v>
      </c>
      <c r="Q20" s="130">
        <v>1</v>
      </c>
      <c r="R20" s="130">
        <v>1</v>
      </c>
      <c r="S20" s="130">
        <v>0.9</v>
      </c>
      <c r="T20" s="130">
        <v>0.2</v>
      </c>
      <c r="U20" s="130"/>
      <c r="V20" s="77"/>
      <c r="W20" s="117">
        <f t="shared" si="0"/>
        <v>4.8</v>
      </c>
      <c r="X20" s="118">
        <f t="shared" si="1"/>
        <v>3.7</v>
      </c>
      <c r="Y20" s="69">
        <f t="shared" si="2"/>
        <v>8.5</v>
      </c>
      <c r="Z20" s="70">
        <f>'[1]cálculos teóricos'!I74</f>
        <v>12.211634537553067</v>
      </c>
      <c r="AA20" s="71">
        <f t="shared" si="3"/>
        <v>69.605751579454051</v>
      </c>
      <c r="AB20" s="3"/>
    </row>
    <row r="21" spans="1:28" ht="18" customHeight="1">
      <c r="A21" s="79">
        <v>13</v>
      </c>
      <c r="B21" s="75">
        <v>28.8</v>
      </c>
      <c r="C21" s="120">
        <f>'[1]cálculos teóricos'!K75</f>
        <v>1.0202305219666468</v>
      </c>
      <c r="D21" s="58">
        <f t="shared" si="4"/>
        <v>427.91406355184432</v>
      </c>
      <c r="E21" s="59">
        <f t="shared" si="5"/>
        <v>17.915906012788618</v>
      </c>
      <c r="F21" s="60">
        <f t="shared" si="6"/>
        <v>22.723964995985774</v>
      </c>
      <c r="G21" s="61">
        <f>'[1]cálculos teóricos'!T75</f>
        <v>36.172658892075304</v>
      </c>
      <c r="H21" s="74">
        <f t="shared" si="7"/>
        <v>62.820831235505707</v>
      </c>
      <c r="I21" s="133"/>
      <c r="J21" s="132">
        <v>0.2</v>
      </c>
      <c r="K21" s="130">
        <v>1</v>
      </c>
      <c r="L21" s="130">
        <v>0.4</v>
      </c>
      <c r="M21" s="130">
        <v>1</v>
      </c>
      <c r="N21" s="130">
        <v>1</v>
      </c>
      <c r="O21" s="134">
        <v>1</v>
      </c>
      <c r="P21" s="132">
        <v>0.8</v>
      </c>
      <c r="Q21" s="130">
        <v>0.9</v>
      </c>
      <c r="R21" s="130">
        <v>0.9</v>
      </c>
      <c r="S21" s="130">
        <v>1</v>
      </c>
      <c r="T21" s="130">
        <v>1</v>
      </c>
      <c r="U21" s="130">
        <v>0.3</v>
      </c>
      <c r="V21" s="77"/>
      <c r="W21" s="117">
        <f t="shared" si="0"/>
        <v>4.5999999999999996</v>
      </c>
      <c r="X21" s="118">
        <f t="shared" si="1"/>
        <v>4.8999999999999995</v>
      </c>
      <c r="Y21" s="69">
        <f t="shared" si="2"/>
        <v>9.5</v>
      </c>
      <c r="Z21" s="70">
        <f>'[1]cálculos teóricos'!I75</f>
        <v>12.1885668500564</v>
      </c>
      <c r="AA21" s="71">
        <f t="shared" si="3"/>
        <v>77.941895194643337</v>
      </c>
      <c r="AB21" s="3"/>
    </row>
    <row r="22" spans="1:28" ht="18" customHeight="1">
      <c r="A22" s="79">
        <v>14</v>
      </c>
      <c r="B22" s="85">
        <v>-99</v>
      </c>
      <c r="C22" s="120">
        <f>'[1]cálculos teóricos'!K76</f>
        <v>1.0195089696819948</v>
      </c>
      <c r="D22" s="58">
        <f t="shared" si="4"/>
        <v>-999</v>
      </c>
      <c r="E22" s="59">
        <f t="shared" si="5"/>
        <v>-999</v>
      </c>
      <c r="F22" s="60">
        <f t="shared" si="6"/>
        <v>-999</v>
      </c>
      <c r="G22" s="61">
        <f>'[1]cálculos teóricos'!T76</f>
        <v>35.998032352371688</v>
      </c>
      <c r="H22" s="74">
        <f t="shared" si="7"/>
        <v>-999</v>
      </c>
      <c r="I22" s="133"/>
      <c r="J22" s="132">
        <v>0.2</v>
      </c>
      <c r="K22" s="130">
        <v>1</v>
      </c>
      <c r="L22" s="130">
        <v>1</v>
      </c>
      <c r="M22" s="130">
        <v>1</v>
      </c>
      <c r="N22" s="130">
        <v>1</v>
      </c>
      <c r="O22" s="134">
        <v>0.6</v>
      </c>
      <c r="P22" s="132">
        <v>0.8</v>
      </c>
      <c r="Q22" s="130">
        <v>0.3</v>
      </c>
      <c r="R22" s="130">
        <v>1</v>
      </c>
      <c r="S22" s="130">
        <v>0.7</v>
      </c>
      <c r="T22" s="130">
        <v>0.7</v>
      </c>
      <c r="U22" s="130"/>
      <c r="V22" s="77"/>
      <c r="W22" s="117">
        <f t="shared" si="0"/>
        <v>4.8</v>
      </c>
      <c r="X22" s="118">
        <f t="shared" si="1"/>
        <v>3.5</v>
      </c>
      <c r="Y22" s="69">
        <f t="shared" si="2"/>
        <v>8.3000000000000007</v>
      </c>
      <c r="Z22" s="70">
        <f>'[1]cálculos teóricos'!I76</f>
        <v>12.165485733334812</v>
      </c>
      <c r="AA22" s="71">
        <f t="shared" si="3"/>
        <v>68.225800283971068</v>
      </c>
      <c r="AB22" s="3"/>
    </row>
    <row r="23" spans="1:28" ht="18" customHeight="1">
      <c r="A23" s="135">
        <v>15</v>
      </c>
      <c r="B23" s="75">
        <v>27.4</v>
      </c>
      <c r="C23" s="120">
        <f>'[1]cálculos teóricos'!K77</f>
        <v>1.0187763106930137</v>
      </c>
      <c r="D23" s="58">
        <f t="shared" si="4"/>
        <v>406.5323971413091</v>
      </c>
      <c r="E23" s="59">
        <f t="shared" si="5"/>
        <v>17.020698403512327</v>
      </c>
      <c r="F23" s="60">
        <f t="shared" si="6"/>
        <v>21.604955484390405</v>
      </c>
      <c r="G23" s="61">
        <f>'[1]cálculos teóricos'!T77</f>
        <v>35.82190394426226</v>
      </c>
      <c r="H23" s="74">
        <f t="shared" si="7"/>
        <v>60.312136166762741</v>
      </c>
      <c r="I23" s="133"/>
      <c r="J23" s="132"/>
      <c r="K23" s="130">
        <v>0.9</v>
      </c>
      <c r="L23" s="130">
        <v>1</v>
      </c>
      <c r="M23" s="130">
        <v>0.9</v>
      </c>
      <c r="N23" s="130">
        <v>0.8</v>
      </c>
      <c r="O23" s="134">
        <v>1</v>
      </c>
      <c r="P23" s="132">
        <v>1</v>
      </c>
      <c r="Q23" s="130">
        <v>1</v>
      </c>
      <c r="R23" s="130">
        <v>0.8</v>
      </c>
      <c r="S23" s="130">
        <v>0.9</v>
      </c>
      <c r="T23" s="130">
        <v>0.9</v>
      </c>
      <c r="U23" s="130"/>
      <c r="V23" s="77"/>
      <c r="W23" s="117">
        <f t="shared" si="0"/>
        <v>4.5999999999999996</v>
      </c>
      <c r="X23" s="118">
        <f t="shared" si="1"/>
        <v>4.5999999999999996</v>
      </c>
      <c r="Y23" s="69">
        <f t="shared" si="2"/>
        <v>9.1999999999999993</v>
      </c>
      <c r="Z23" s="70">
        <f>'[1]cálculos teóricos'!I77</f>
        <v>12.142394949013712</v>
      </c>
      <c r="AA23" s="71">
        <f t="shared" si="3"/>
        <v>75.767589825821688</v>
      </c>
      <c r="AB23" s="3"/>
    </row>
    <row r="24" spans="1:28" ht="18" customHeight="1">
      <c r="A24" s="79">
        <v>16</v>
      </c>
      <c r="B24" s="75">
        <v>30.7</v>
      </c>
      <c r="C24" s="120">
        <f>'[1]cálculos teóricos'!K78</f>
        <v>1.018032705369482</v>
      </c>
      <c r="D24" s="58">
        <f t="shared" si="4"/>
        <v>455.16186265270738</v>
      </c>
      <c r="E24" s="59">
        <f t="shared" si="5"/>
        <v>19.056716865543549</v>
      </c>
      <c r="F24" s="60">
        <f t="shared" si="6"/>
        <v>24.149978561929437</v>
      </c>
      <c r="G24" s="61">
        <f>'[1]cálculos teóricos'!T78</f>
        <v>35.644327843718507</v>
      </c>
      <c r="H24" s="74">
        <f t="shared" si="7"/>
        <v>67.752655255036089</v>
      </c>
      <c r="I24" s="133"/>
      <c r="J24" s="136">
        <v>0.5</v>
      </c>
      <c r="K24" s="137">
        <v>1</v>
      </c>
      <c r="L24" s="137">
        <v>1</v>
      </c>
      <c r="M24" s="137">
        <v>1</v>
      </c>
      <c r="N24" s="137">
        <v>1</v>
      </c>
      <c r="O24" s="138">
        <v>1</v>
      </c>
      <c r="P24" s="136">
        <v>1</v>
      </c>
      <c r="Q24" s="137">
        <v>1</v>
      </c>
      <c r="R24" s="137">
        <v>1</v>
      </c>
      <c r="S24" s="137">
        <v>1</v>
      </c>
      <c r="T24" s="137">
        <v>0.5</v>
      </c>
      <c r="U24" s="130"/>
      <c r="V24" s="77"/>
      <c r="W24" s="117">
        <f t="shared" si="0"/>
        <v>5.5</v>
      </c>
      <c r="X24" s="118">
        <f t="shared" si="1"/>
        <v>4.5</v>
      </c>
      <c r="Y24" s="69">
        <f t="shared" si="2"/>
        <v>10</v>
      </c>
      <c r="Z24" s="70">
        <f>'[1]cálculos teóricos'!I78</f>
        <v>12.119298187624363</v>
      </c>
      <c r="AA24" s="71">
        <f t="shared" si="3"/>
        <v>82.513028767717856</v>
      </c>
      <c r="AB24" s="3"/>
    </row>
    <row r="25" spans="1:28" ht="18" customHeight="1">
      <c r="A25" s="79">
        <v>17</v>
      </c>
      <c r="B25" s="75">
        <v>25.4</v>
      </c>
      <c r="C25" s="120">
        <f>'[1]cálculos teóricos'!K79</f>
        <v>1.0172783234318352</v>
      </c>
      <c r="D25" s="58">
        <f t="shared" si="4"/>
        <v>376.30437472780812</v>
      </c>
      <c r="E25" s="59">
        <f t="shared" si="5"/>
        <v>15.75511156110387</v>
      </c>
      <c r="F25" s="60">
        <f t="shared" si="6"/>
        <v>20.022971931379839</v>
      </c>
      <c r="G25" s="61">
        <f>'[1]cálculos teóricos'!T79</f>
        <v>35.465359351656311</v>
      </c>
      <c r="H25" s="74">
        <f t="shared" si="7"/>
        <v>56.457828984171059</v>
      </c>
      <c r="I25" s="133"/>
      <c r="J25" s="132">
        <v>0.6</v>
      </c>
      <c r="K25" s="130">
        <v>1</v>
      </c>
      <c r="L25" s="130">
        <v>1</v>
      </c>
      <c r="M25" s="130">
        <v>1</v>
      </c>
      <c r="N25" s="130">
        <v>1</v>
      </c>
      <c r="O25" s="134">
        <v>1</v>
      </c>
      <c r="P25" s="132">
        <v>1</v>
      </c>
      <c r="Q25" s="130">
        <v>1</v>
      </c>
      <c r="R25" s="130">
        <v>0.8</v>
      </c>
      <c r="S25" s="130">
        <v>0.2</v>
      </c>
      <c r="T25" s="130"/>
      <c r="U25" s="130"/>
      <c r="V25" s="77"/>
      <c r="W25" s="117">
        <f t="shared" si="0"/>
        <v>5.6</v>
      </c>
      <c r="X25" s="118">
        <f t="shared" si="1"/>
        <v>3</v>
      </c>
      <c r="Y25" s="69">
        <f t="shared" si="2"/>
        <v>8.6</v>
      </c>
      <c r="Z25" s="70">
        <f>'[1]cálculos teóricos'!I79</f>
        <v>12.096199074823641</v>
      </c>
      <c r="AA25" s="71">
        <f t="shared" si="3"/>
        <v>71.096713494899106</v>
      </c>
      <c r="AB25" s="3"/>
    </row>
    <row r="26" spans="1:28" ht="18" customHeight="1">
      <c r="A26" s="79">
        <v>18</v>
      </c>
      <c r="B26" s="75">
        <v>16</v>
      </c>
      <c r="C26" s="120">
        <f>'[1]cálculos teóricos'!K80</f>
        <v>1.016513343907022</v>
      </c>
      <c r="D26" s="58">
        <f t="shared" si="4"/>
        <v>236.86387334383863</v>
      </c>
      <c r="E26" s="59">
        <f t="shared" si="5"/>
        <v>9.9170166491598355</v>
      </c>
      <c r="F26" s="60">
        <f t="shared" si="6"/>
        <v>12.725353291449794</v>
      </c>
      <c r="G26" s="61">
        <f>'[1]cálculos teóricos'!T80</f>
        <v>35.285054861688451</v>
      </c>
      <c r="H26" s="74">
        <f t="shared" si="7"/>
        <v>36.064428244000368</v>
      </c>
      <c r="I26" s="133"/>
      <c r="J26" s="132"/>
      <c r="K26" s="130"/>
      <c r="L26" s="130"/>
      <c r="M26" s="130">
        <v>0.4</v>
      </c>
      <c r="N26" s="130">
        <v>0.9</v>
      </c>
      <c r="O26" s="134">
        <v>1</v>
      </c>
      <c r="P26" s="132">
        <v>0.3</v>
      </c>
      <c r="Q26" s="130"/>
      <c r="R26" s="130"/>
      <c r="S26" s="130"/>
      <c r="T26" s="130"/>
      <c r="U26" s="130"/>
      <c r="V26" s="77"/>
      <c r="W26" s="117">
        <f t="shared" si="0"/>
        <v>2.2999999999999998</v>
      </c>
      <c r="X26" s="118">
        <f t="shared" si="1"/>
        <v>0.3</v>
      </c>
      <c r="Y26" s="69">
        <f t="shared" si="2"/>
        <v>2.5999999999999996</v>
      </c>
      <c r="Z26" s="70">
        <f>'[1]cálculos teóricos'!I80</f>
        <v>12.073101177658092</v>
      </c>
      <c r="AA26" s="71">
        <f t="shared" si="3"/>
        <v>21.535477602154415</v>
      </c>
      <c r="AB26" s="3"/>
    </row>
    <row r="27" spans="1:28" ht="18" customHeight="1">
      <c r="A27" s="79">
        <v>19</v>
      </c>
      <c r="B27" s="75">
        <v>18.8</v>
      </c>
      <c r="C27" s="120">
        <f>'[1]cálculos teóricos'!K81</f>
        <v>1.0157379550832217</v>
      </c>
      <c r="D27" s="58">
        <f t="shared" si="4"/>
        <v>278.10275452646465</v>
      </c>
      <c r="E27" s="59">
        <f t="shared" si="5"/>
        <v>11.643606126514021</v>
      </c>
      <c r="F27" s="60">
        <f t="shared" si="6"/>
        <v>14.883590138142527</v>
      </c>
      <c r="G27" s="61">
        <f>'[1]cálculos teóricos'!T81</f>
        <v>35.103471827814516</v>
      </c>
      <c r="H27" s="74">
        <f t="shared" si="7"/>
        <v>42.399196897525663</v>
      </c>
      <c r="I27" s="133"/>
      <c r="J27" s="132"/>
      <c r="K27" s="130"/>
      <c r="L27" s="130">
        <v>0.2</v>
      </c>
      <c r="M27" s="130">
        <v>0.2</v>
      </c>
      <c r="N27" s="139">
        <v>0.4</v>
      </c>
      <c r="O27" s="134">
        <v>0.4</v>
      </c>
      <c r="P27" s="132">
        <v>0.6</v>
      </c>
      <c r="Q27" s="130">
        <v>0.7</v>
      </c>
      <c r="R27" s="130"/>
      <c r="S27" s="130">
        <v>0.2</v>
      </c>
      <c r="T27" s="130"/>
      <c r="U27" s="130"/>
      <c r="V27" s="77"/>
      <c r="W27" s="117">
        <f t="shared" si="0"/>
        <v>1.2000000000000002</v>
      </c>
      <c r="X27" s="118">
        <f t="shared" si="1"/>
        <v>1.4999999999999998</v>
      </c>
      <c r="Y27" s="69">
        <f t="shared" si="2"/>
        <v>2.7</v>
      </c>
      <c r="Z27" s="70">
        <f>'[1]cálculos teóricos'!I81</f>
        <v>12.050008010862662</v>
      </c>
      <c r="AA27" s="71">
        <f t="shared" si="3"/>
        <v>22.406624108183532</v>
      </c>
      <c r="AB27" s="3"/>
    </row>
    <row r="28" spans="1:28" ht="18" customHeight="1">
      <c r="A28" s="79">
        <v>20</v>
      </c>
      <c r="B28" s="75">
        <v>26.5</v>
      </c>
      <c r="C28" s="120">
        <f>'[1]cálculos teóricos'!K82</f>
        <v>1.0149523544636272</v>
      </c>
      <c r="D28" s="58">
        <f t="shared" si="4"/>
        <v>391.7033532771224</v>
      </c>
      <c r="E28" s="59">
        <f t="shared" si="5"/>
        <v>16.399835995006562</v>
      </c>
      <c r="F28" s="60">
        <f t="shared" si="6"/>
        <v>20.828877473758201</v>
      </c>
      <c r="G28" s="61">
        <f>'[1]cálculos teóricos'!T82</f>
        <v>34.920668732105412</v>
      </c>
      <c r="H28" s="74">
        <f t="shared" si="7"/>
        <v>59.64627319581804</v>
      </c>
      <c r="I28" s="133"/>
      <c r="J28" s="132"/>
      <c r="K28" s="130">
        <v>0.2</v>
      </c>
      <c r="L28" s="130">
        <v>0.3</v>
      </c>
      <c r="M28" s="130">
        <v>0.5</v>
      </c>
      <c r="N28" s="130">
        <v>1</v>
      </c>
      <c r="O28" s="134">
        <v>1</v>
      </c>
      <c r="P28" s="132">
        <v>1</v>
      </c>
      <c r="Q28" s="130">
        <v>0.8</v>
      </c>
      <c r="R28" s="130">
        <v>1</v>
      </c>
      <c r="S28" s="130">
        <v>1</v>
      </c>
      <c r="T28" s="130">
        <v>0.6</v>
      </c>
      <c r="U28" s="130"/>
      <c r="V28" s="77"/>
      <c r="W28" s="117">
        <f t="shared" si="0"/>
        <v>3</v>
      </c>
      <c r="X28" s="118">
        <f t="shared" si="1"/>
        <v>4.3999999999999995</v>
      </c>
      <c r="Y28" s="69">
        <f t="shared" si="2"/>
        <v>7.3999999999999995</v>
      </c>
      <c r="Z28" s="70">
        <f>'[1]cálculos teóricos'!I82</f>
        <v>12.026923043184821</v>
      </c>
      <c r="AA28" s="71">
        <f t="shared" si="3"/>
        <v>61.528621854725223</v>
      </c>
      <c r="AB28" s="3"/>
    </row>
    <row r="29" spans="1:28" ht="18" customHeight="1">
      <c r="A29" s="79">
        <v>21</v>
      </c>
      <c r="B29" s="75">
        <v>29.6</v>
      </c>
      <c r="C29" s="120">
        <f>'[1]cálculos teóricos'!K83</f>
        <v>1.0141567487194687</v>
      </c>
      <c r="D29" s="58">
        <f t="shared" si="4"/>
        <v>437.18228557528909</v>
      </c>
      <c r="E29" s="59">
        <f t="shared" si="5"/>
        <v>18.303947932466205</v>
      </c>
      <c r="F29" s="60">
        <f t="shared" si="6"/>
        <v>23.209017395582755</v>
      </c>
      <c r="G29" s="61">
        <f>'[1]cálculos teóricos'!T83</f>
        <v>34.736705052432924</v>
      </c>
      <c r="H29" s="74">
        <f t="shared" si="7"/>
        <v>66.814101569363501</v>
      </c>
      <c r="I29" s="133"/>
      <c r="J29" s="132">
        <v>0.5</v>
      </c>
      <c r="K29" s="130">
        <v>1</v>
      </c>
      <c r="L29" s="130">
        <v>1</v>
      </c>
      <c r="M29" s="130">
        <v>1</v>
      </c>
      <c r="N29" s="130">
        <v>1</v>
      </c>
      <c r="O29" s="134">
        <v>1</v>
      </c>
      <c r="P29" s="132">
        <v>1</v>
      </c>
      <c r="Q29" s="130">
        <v>1</v>
      </c>
      <c r="R29" s="130">
        <v>1</v>
      </c>
      <c r="S29" s="130">
        <v>1</v>
      </c>
      <c r="T29" s="130">
        <v>0.6</v>
      </c>
      <c r="U29" s="130"/>
      <c r="V29" s="77"/>
      <c r="W29" s="117">
        <f t="shared" si="0"/>
        <v>5.5</v>
      </c>
      <c r="X29" s="118">
        <f t="shared" si="1"/>
        <v>4.5999999999999996</v>
      </c>
      <c r="Y29" s="69">
        <f t="shared" si="2"/>
        <v>10.1</v>
      </c>
      <c r="Z29" s="70">
        <f>'[1]cálculos teóricos'!I83</f>
        <v>12.003849703725068</v>
      </c>
      <c r="AA29" s="71">
        <f t="shared" si="3"/>
        <v>84.139673931986508</v>
      </c>
      <c r="AB29" s="3"/>
    </row>
    <row r="30" spans="1:28" ht="18" customHeight="1">
      <c r="A30" s="84">
        <v>22</v>
      </c>
      <c r="B30" s="75">
        <v>29.6</v>
      </c>
      <c r="C30" s="120">
        <f>'[1]cálculos teóricos'!K84</f>
        <v>1.0133513536423984</v>
      </c>
      <c r="D30" s="58">
        <f t="shared" si="4"/>
        <v>436.83509618762366</v>
      </c>
      <c r="E30" s="59">
        <f t="shared" si="5"/>
        <v>18.289411807183427</v>
      </c>
      <c r="F30" s="60">
        <f t="shared" si="6"/>
        <v>23.190847238979281</v>
      </c>
      <c r="G30" s="61">
        <f>'[1]cálculos teóricos'!T84</f>
        <v>34.551641230287451</v>
      </c>
      <c r="H30" s="74">
        <f t="shared" si="7"/>
        <v>67.119379610397587</v>
      </c>
      <c r="I30" s="133"/>
      <c r="J30" s="132">
        <v>0.4</v>
      </c>
      <c r="K30" s="130">
        <v>1</v>
      </c>
      <c r="L30" s="130">
        <v>1</v>
      </c>
      <c r="M30" s="130">
        <v>1</v>
      </c>
      <c r="N30" s="130">
        <v>0.9</v>
      </c>
      <c r="O30" s="134">
        <v>1</v>
      </c>
      <c r="P30" s="132">
        <v>1</v>
      </c>
      <c r="Q30" s="130">
        <v>1</v>
      </c>
      <c r="R30" s="130">
        <v>1</v>
      </c>
      <c r="S30" s="130">
        <v>1</v>
      </c>
      <c r="T30" s="130">
        <v>0.9</v>
      </c>
      <c r="U30" s="130">
        <v>0.1</v>
      </c>
      <c r="V30" s="77"/>
      <c r="W30" s="117">
        <f t="shared" si="0"/>
        <v>5.3</v>
      </c>
      <c r="X30" s="118">
        <f t="shared" si="1"/>
        <v>5</v>
      </c>
      <c r="Y30" s="69">
        <f t="shared" si="2"/>
        <v>10.3</v>
      </c>
      <c r="Z30" s="70">
        <f>'[1]cálculos teóricos'!I84</f>
        <v>11.980791388285134</v>
      </c>
      <c r="AA30" s="71">
        <f t="shared" si="3"/>
        <v>85.970948547450561</v>
      </c>
      <c r="AB30" s="3"/>
    </row>
    <row r="31" spans="1:28" ht="18" customHeight="1">
      <c r="A31" s="84">
        <v>23</v>
      </c>
      <c r="B31" s="75">
        <v>28.8</v>
      </c>
      <c r="C31" s="120">
        <f>'[1]cálculos teóricos'!K85</f>
        <v>1.0125363940963121</v>
      </c>
      <c r="D31" s="58">
        <f t="shared" si="4"/>
        <v>424.68692473214332</v>
      </c>
      <c r="E31" s="59">
        <f t="shared" si="5"/>
        <v>17.780792164685376</v>
      </c>
      <c r="F31" s="60">
        <f t="shared" si="6"/>
        <v>22.555072685856722</v>
      </c>
      <c r="G31" s="61">
        <f>'[1]cálculos teóricos'!T85</f>
        <v>34.36553863871918</v>
      </c>
      <c r="H31" s="74">
        <f t="shared" si="7"/>
        <v>65.63282165594876</v>
      </c>
      <c r="I31" s="133"/>
      <c r="J31" s="132">
        <v>0.5</v>
      </c>
      <c r="K31" s="130">
        <v>1</v>
      </c>
      <c r="L31" s="130">
        <v>1</v>
      </c>
      <c r="M31" s="130">
        <v>1</v>
      </c>
      <c r="N31" s="130">
        <v>1</v>
      </c>
      <c r="O31" s="134">
        <v>1</v>
      </c>
      <c r="P31" s="132">
        <v>0.8</v>
      </c>
      <c r="Q31" s="130">
        <v>1</v>
      </c>
      <c r="R31" s="130">
        <v>1</v>
      </c>
      <c r="S31" s="130">
        <v>0.6</v>
      </c>
      <c r="T31" s="130">
        <v>1</v>
      </c>
      <c r="U31" s="140"/>
      <c r="V31" s="77"/>
      <c r="W31" s="117">
        <f t="shared" si="0"/>
        <v>5.5</v>
      </c>
      <c r="X31" s="118">
        <f t="shared" si="1"/>
        <v>4.4000000000000004</v>
      </c>
      <c r="Y31" s="69">
        <f t="shared" si="2"/>
        <v>9.9</v>
      </c>
      <c r="Z31" s="70">
        <f>'[1]cálculos teóricos'!I85</f>
        <v>11.957751465715512</v>
      </c>
      <c r="AA31" s="71">
        <f t="shared" si="3"/>
        <v>82.79148490738109</v>
      </c>
      <c r="AB31" s="3"/>
    </row>
    <row r="32" spans="1:28" ht="18" customHeight="1">
      <c r="A32" s="84">
        <v>24</v>
      </c>
      <c r="B32" s="75">
        <v>26.8</v>
      </c>
      <c r="C32" s="120">
        <f>'[1]cálculos teóricos'!K86</f>
        <v>1.011712103968645</v>
      </c>
      <c r="D32" s="58">
        <f t="shared" si="4"/>
        <v>394.87305526074931</v>
      </c>
      <c r="E32" s="59">
        <f t="shared" si="5"/>
        <v>16.532545077657051</v>
      </c>
      <c r="F32" s="60">
        <f t="shared" si="6"/>
        <v>20.994763827071314</v>
      </c>
      <c r="G32" s="61">
        <f>'[1]cálculos teóricos'!T86</f>
        <v>34.1784595504311</v>
      </c>
      <c r="H32" s="74">
        <f t="shared" si="7"/>
        <v>61.426887294592845</v>
      </c>
      <c r="I32" s="133"/>
      <c r="J32" s="132">
        <v>0.1</v>
      </c>
      <c r="K32" s="130">
        <v>1</v>
      </c>
      <c r="L32" s="130">
        <v>1</v>
      </c>
      <c r="M32" s="130">
        <v>1</v>
      </c>
      <c r="N32" s="130">
        <v>1</v>
      </c>
      <c r="O32" s="134">
        <v>1</v>
      </c>
      <c r="P32" s="132">
        <v>0.8</v>
      </c>
      <c r="Q32" s="130">
        <v>0.9</v>
      </c>
      <c r="R32" s="130">
        <v>1</v>
      </c>
      <c r="S32" s="130">
        <v>1</v>
      </c>
      <c r="T32" s="130">
        <v>1</v>
      </c>
      <c r="U32" s="130">
        <v>0.1</v>
      </c>
      <c r="V32" s="77"/>
      <c r="W32" s="117">
        <f t="shared" si="0"/>
        <v>5.0999999999999996</v>
      </c>
      <c r="X32" s="118">
        <f t="shared" si="1"/>
        <v>4.8</v>
      </c>
      <c r="Y32" s="69">
        <f t="shared" si="2"/>
        <v>9.8999999999999986</v>
      </c>
      <c r="Z32" s="70">
        <f>'[1]cálculos teóricos'!I86</f>
        <v>11.934733284254012</v>
      </c>
      <c r="AA32" s="71">
        <f t="shared" si="3"/>
        <v>82.951162495281551</v>
      </c>
      <c r="AB32" s="3"/>
    </row>
    <row r="33" spans="1:28" ht="18" customHeight="1">
      <c r="A33" s="84">
        <v>25</v>
      </c>
      <c r="B33" s="75">
        <v>25.8</v>
      </c>
      <c r="C33" s="120">
        <f>'[1]cálculos teóricos'!K87</f>
        <v>1.0108787261211196</v>
      </c>
      <c r="D33" s="58">
        <f t="shared" si="4"/>
        <v>379.82585405891513</v>
      </c>
      <c r="E33" s="59">
        <f t="shared" si="5"/>
        <v>15.902548857738658</v>
      </c>
      <c r="F33" s="60">
        <f t="shared" si="6"/>
        <v>20.207268552173321</v>
      </c>
      <c r="G33" s="61">
        <f>'[1]cálculos teóricos'!T87</f>
        <v>33.990467106044939</v>
      </c>
      <c r="H33" s="74">
        <f t="shared" si="7"/>
        <v>59.449811293059916</v>
      </c>
      <c r="I33" s="133"/>
      <c r="J33" s="132"/>
      <c r="K33" s="130">
        <v>0.5</v>
      </c>
      <c r="L33" s="130">
        <v>1</v>
      </c>
      <c r="M33" s="130">
        <v>1</v>
      </c>
      <c r="N33" s="130">
        <v>1</v>
      </c>
      <c r="O33" s="134">
        <v>0.9</v>
      </c>
      <c r="P33" s="132">
        <v>1</v>
      </c>
      <c r="Q33" s="130">
        <v>1</v>
      </c>
      <c r="R33" s="130">
        <v>1</v>
      </c>
      <c r="S33" s="130">
        <v>1</v>
      </c>
      <c r="T33" s="130">
        <v>1</v>
      </c>
      <c r="U33" s="130">
        <v>0.1</v>
      </c>
      <c r="V33" s="77"/>
      <c r="W33" s="117">
        <f t="shared" si="0"/>
        <v>4.4000000000000004</v>
      </c>
      <c r="X33" s="118">
        <f t="shared" si="1"/>
        <v>5.0999999999999996</v>
      </c>
      <c r="Y33" s="69">
        <f t="shared" si="2"/>
        <v>9.5</v>
      </c>
      <c r="Z33" s="70">
        <f>'[1]cálculos teóricos'!I87</f>
        <v>11.911740177847248</v>
      </c>
      <c r="AA33" s="71">
        <f t="shared" si="3"/>
        <v>79.753250643155738</v>
      </c>
      <c r="AB33" s="3"/>
    </row>
    <row r="34" spans="1:28" ht="18" customHeight="1">
      <c r="A34" s="84">
        <v>26</v>
      </c>
      <c r="B34" s="75">
        <v>26.1</v>
      </c>
      <c r="C34" s="120">
        <f>'[1]cálculos teóricos'!K88</f>
        <v>1.010036512339894</v>
      </c>
      <c r="D34" s="58">
        <f t="shared" si="4"/>
        <v>383.92230210875948</v>
      </c>
      <c r="E34" s="59">
        <f t="shared" si="5"/>
        <v>16.07405894468954</v>
      </c>
      <c r="F34" s="60">
        <f t="shared" si="6"/>
        <v>20.421656160861929</v>
      </c>
      <c r="G34" s="61">
        <f>'[1]cálculos teóricos'!T88</f>
        <v>33.801625282554461</v>
      </c>
      <c r="H34" s="74">
        <f t="shared" si="7"/>
        <v>60.416195937778944</v>
      </c>
      <c r="I34" s="133"/>
      <c r="J34" s="132"/>
      <c r="K34" s="130">
        <v>0.1</v>
      </c>
      <c r="L34" s="130">
        <v>1</v>
      </c>
      <c r="M34" s="130">
        <v>1</v>
      </c>
      <c r="N34" s="130">
        <v>1</v>
      </c>
      <c r="O34" s="134">
        <v>1</v>
      </c>
      <c r="P34" s="132">
        <v>1</v>
      </c>
      <c r="Q34" s="130">
        <v>1</v>
      </c>
      <c r="R34" s="130">
        <v>0.9</v>
      </c>
      <c r="S34" s="130">
        <v>0.5</v>
      </c>
      <c r="T34" s="130"/>
      <c r="U34" s="130"/>
      <c r="V34" s="77"/>
      <c r="W34" s="117">
        <f t="shared" si="0"/>
        <v>4.0999999999999996</v>
      </c>
      <c r="X34" s="118">
        <f t="shared" si="1"/>
        <v>3.4</v>
      </c>
      <c r="Y34" s="69">
        <f t="shared" si="2"/>
        <v>7.5</v>
      </c>
      <c r="Z34" s="70">
        <f>'[1]cálculos teóricos'!I88</f>
        <v>11.888775472447131</v>
      </c>
      <c r="AA34" s="71">
        <f t="shared" si="3"/>
        <v>63.084713958823166</v>
      </c>
      <c r="AB34" s="3"/>
    </row>
    <row r="35" spans="1:28" ht="18" customHeight="1">
      <c r="A35" s="84">
        <v>27</v>
      </c>
      <c r="B35" s="75">
        <v>26.2</v>
      </c>
      <c r="C35" s="120">
        <f>'[1]cálculos teóricos'!K89</f>
        <v>1.0091857232849979</v>
      </c>
      <c r="D35" s="58">
        <f t="shared" si="4"/>
        <v>385.06863856379994</v>
      </c>
      <c r="E35" s="59">
        <f t="shared" si="5"/>
        <v>16.122053759389175</v>
      </c>
      <c r="F35" s="60">
        <f t="shared" si="6"/>
        <v>20.481649679236469</v>
      </c>
      <c r="G35" s="61">
        <f>'[1]cálculos teóricos'!T89</f>
        <v>33.61199886197312</v>
      </c>
      <c r="H35" s="74">
        <f t="shared" si="7"/>
        <v>60.935530086573792</v>
      </c>
      <c r="I35" s="133"/>
      <c r="J35" s="132">
        <v>0.4</v>
      </c>
      <c r="K35" s="130">
        <v>1</v>
      </c>
      <c r="L35" s="130">
        <v>1</v>
      </c>
      <c r="M35" s="130">
        <v>1</v>
      </c>
      <c r="N35" s="130">
        <v>1</v>
      </c>
      <c r="O35" s="134">
        <v>1</v>
      </c>
      <c r="P35" s="132">
        <v>0.9</v>
      </c>
      <c r="Q35" s="130">
        <v>1</v>
      </c>
      <c r="R35" s="130">
        <v>0.6</v>
      </c>
      <c r="S35" s="130">
        <v>0.3</v>
      </c>
      <c r="T35" s="130">
        <v>0.2</v>
      </c>
      <c r="U35" s="130">
        <v>0.2</v>
      </c>
      <c r="V35" s="77"/>
      <c r="W35" s="117">
        <f t="shared" si="0"/>
        <v>5.4</v>
      </c>
      <c r="X35" s="118">
        <f t="shared" si="1"/>
        <v>3.2</v>
      </c>
      <c r="Y35" s="69">
        <f t="shared" si="2"/>
        <v>8.6000000000000014</v>
      </c>
      <c r="Z35" s="70">
        <f>'[1]cálculos teóricos'!I89</f>
        <v>11.865842492274421</v>
      </c>
      <c r="AA35" s="71">
        <f t="shared" si="3"/>
        <v>72.476943846164019</v>
      </c>
      <c r="AB35" s="3"/>
    </row>
    <row r="36" spans="1:28" ht="18" customHeight="1">
      <c r="A36" s="84">
        <v>28</v>
      </c>
      <c r="B36" s="75">
        <v>25.6</v>
      </c>
      <c r="C36" s="120">
        <f>'[1]cálculos teóricos'!K90</f>
        <v>1.0083266284389116</v>
      </c>
      <c r="D36" s="58">
        <f t="shared" si="4"/>
        <v>375.92998024371434</v>
      </c>
      <c r="E36" s="59">
        <f t="shared" si="5"/>
        <v>15.739436412843832</v>
      </c>
      <c r="F36" s="60">
        <f t="shared" si="6"/>
        <v>20.003377996054791</v>
      </c>
      <c r="G36" s="61">
        <f>'[1]cálculos teóricos'!T90</f>
        <v>33.421653400177576</v>
      </c>
      <c r="H36" s="74">
        <f t="shared" si="7"/>
        <v>59.851551198087975</v>
      </c>
      <c r="I36" s="133"/>
      <c r="J36" s="132"/>
      <c r="K36" s="130">
        <v>0.5</v>
      </c>
      <c r="L36" s="130">
        <v>1</v>
      </c>
      <c r="M36" s="130">
        <v>0.5</v>
      </c>
      <c r="N36" s="130">
        <v>1</v>
      </c>
      <c r="O36" s="134">
        <v>0.9</v>
      </c>
      <c r="P36" s="132">
        <v>0.8</v>
      </c>
      <c r="Q36" s="130">
        <v>1</v>
      </c>
      <c r="R36" s="130">
        <v>0.5</v>
      </c>
      <c r="S36" s="130">
        <v>0.4</v>
      </c>
      <c r="T36" s="130">
        <v>0.2</v>
      </c>
      <c r="U36" s="130"/>
      <c r="V36" s="77"/>
      <c r="W36" s="117">
        <f t="shared" si="0"/>
        <v>3.9</v>
      </c>
      <c r="X36" s="118">
        <f t="shared" si="1"/>
        <v>2.9</v>
      </c>
      <c r="Y36" s="69">
        <f t="shared" si="2"/>
        <v>6.8</v>
      </c>
      <c r="Z36" s="70">
        <f>'[1]cálculos teóricos'!I90</f>
        <v>11.842944566041432</v>
      </c>
      <c r="AA36" s="71">
        <f t="shared" si="3"/>
        <v>57.418152741324</v>
      </c>
      <c r="AB36" s="3"/>
    </row>
    <row r="37" spans="1:28" ht="18" customHeight="1">
      <c r="A37" s="84">
        <v>29</v>
      </c>
      <c r="B37" s="75">
        <v>24.4</v>
      </c>
      <c r="C37" s="120">
        <f>'[1]cálculos teóricos'!K91</f>
        <v>1.0074595060540923</v>
      </c>
      <c r="D37" s="58">
        <f t="shared" si="4"/>
        <v>358.00013100061801</v>
      </c>
      <c r="E37" s="59">
        <f t="shared" si="5"/>
        <v>14.988749484733873</v>
      </c>
      <c r="F37" s="60">
        <f t="shared" si="6"/>
        <v>19.065019335917341</v>
      </c>
      <c r="G37" s="61">
        <f>'[1]cálculos teóricos'!T91</f>
        <v>33.230655195941289</v>
      </c>
      <c r="H37" s="74">
        <f t="shared" si="7"/>
        <v>57.371782841783677</v>
      </c>
      <c r="I37" s="133"/>
      <c r="J37" s="132"/>
      <c r="K37" s="130">
        <v>1</v>
      </c>
      <c r="L37" s="130">
        <v>1</v>
      </c>
      <c r="M37" s="130">
        <v>1</v>
      </c>
      <c r="N37" s="130">
        <v>1</v>
      </c>
      <c r="O37" s="134">
        <v>0.7</v>
      </c>
      <c r="P37" s="132">
        <v>0.8</v>
      </c>
      <c r="Q37" s="130">
        <v>0.8</v>
      </c>
      <c r="R37" s="130">
        <v>0.9</v>
      </c>
      <c r="S37" s="130">
        <v>1</v>
      </c>
      <c r="T37" s="130">
        <v>0.5</v>
      </c>
      <c r="U37" s="130"/>
      <c r="V37" s="77"/>
      <c r="W37" s="117">
        <f t="shared" si="0"/>
        <v>4.7</v>
      </c>
      <c r="X37" s="118">
        <f t="shared" si="1"/>
        <v>4</v>
      </c>
      <c r="Y37" s="69">
        <f t="shared" si="2"/>
        <v>8.6999999999999993</v>
      </c>
      <c r="Z37" s="70">
        <f>'[1]cálculos teóricos'!I91</f>
        <v>11.820085033125993</v>
      </c>
      <c r="AA37" s="71">
        <f t="shared" si="3"/>
        <v>73.603531409614206</v>
      </c>
      <c r="AB37" s="3"/>
    </row>
    <row r="38" spans="1:28" ht="18" customHeight="1" thickBot="1">
      <c r="A38" s="79">
        <v>30</v>
      </c>
      <c r="B38" s="75">
        <v>21.2</v>
      </c>
      <c r="C38" s="120">
        <f>'[1]cálculos teóricos'!K92</f>
        <v>1.0065846430992109</v>
      </c>
      <c r="D38" s="58">
        <f t="shared" si="4"/>
        <v>310.77918353523762</v>
      </c>
      <c r="E38" s="59">
        <f t="shared" si="5"/>
        <v>13.011702856253327</v>
      </c>
      <c r="F38" s="60">
        <f t="shared" si="6"/>
        <v>16.593711050316664</v>
      </c>
      <c r="G38" s="61">
        <f>'[1]cálculos teóricos'!T92</f>
        <v>33.03907126014785</v>
      </c>
      <c r="H38" s="74">
        <f t="shared" si="7"/>
        <v>50.22450818807431</v>
      </c>
      <c r="I38" s="133"/>
      <c r="J38" s="141">
        <v>0.5</v>
      </c>
      <c r="K38" s="142">
        <v>1</v>
      </c>
      <c r="L38" s="142">
        <v>1</v>
      </c>
      <c r="M38" s="142">
        <v>1</v>
      </c>
      <c r="N38" s="142">
        <v>0.9</v>
      </c>
      <c r="O38" s="143">
        <v>0.6</v>
      </c>
      <c r="P38" s="141">
        <v>0.9</v>
      </c>
      <c r="Q38" s="142">
        <v>0.7</v>
      </c>
      <c r="R38" s="142">
        <v>0.8</v>
      </c>
      <c r="S38" s="142">
        <v>0.2</v>
      </c>
      <c r="T38" s="142">
        <v>0.1</v>
      </c>
      <c r="U38" s="142"/>
      <c r="V38" s="77"/>
      <c r="W38" s="117">
        <f t="shared" si="0"/>
        <v>5</v>
      </c>
      <c r="X38" s="118">
        <f t="shared" si="1"/>
        <v>2.7000000000000006</v>
      </c>
      <c r="Y38" s="99">
        <f t="shared" si="2"/>
        <v>7.7000000000000011</v>
      </c>
      <c r="Z38" s="70">
        <f>'[1]cálculos teóricos'!I92</f>
        <v>11.797267249688634</v>
      </c>
      <c r="AA38" s="71">
        <f t="shared" si="3"/>
        <v>65.269352952932621</v>
      </c>
      <c r="AB38" s="3"/>
    </row>
    <row r="39" spans="1:28" ht="18" customHeight="1" thickTop="1" thickBot="1">
      <c r="A39" s="86">
        <v>31</v>
      </c>
      <c r="B39" s="144">
        <v>-99</v>
      </c>
      <c r="C39" s="88">
        <f>'[1]cálculos teóricos'!K93</f>
        <v>1.0057023352038255</v>
      </c>
      <c r="D39" s="89">
        <f t="shared" si="4"/>
        <v>-999</v>
      </c>
      <c r="E39" s="90">
        <f t="shared" si="5"/>
        <v>-999</v>
      </c>
      <c r="F39" s="91">
        <f t="shared" si="6"/>
        <v>-999</v>
      </c>
      <c r="G39" s="92">
        <f>'[1]cálculos teóricos'!T93</f>
        <v>32.846969285166935</v>
      </c>
      <c r="H39" s="93">
        <f t="shared" si="7"/>
        <v>-999</v>
      </c>
      <c r="I39" s="145"/>
      <c r="J39" s="146"/>
      <c r="K39" s="147">
        <v>0.5</v>
      </c>
      <c r="L39" s="147">
        <v>0.8</v>
      </c>
      <c r="M39" s="147">
        <v>0.4</v>
      </c>
      <c r="N39" s="147">
        <v>0.9</v>
      </c>
      <c r="O39" s="148">
        <v>1</v>
      </c>
      <c r="P39" s="146">
        <v>1</v>
      </c>
      <c r="Q39" s="147">
        <v>1</v>
      </c>
      <c r="R39" s="147">
        <v>1</v>
      </c>
      <c r="S39" s="147">
        <v>0.9</v>
      </c>
      <c r="T39" s="147">
        <v>1</v>
      </c>
      <c r="U39" s="147">
        <v>0.1</v>
      </c>
      <c r="V39" s="95"/>
      <c r="W39" s="117">
        <f t="shared" si="0"/>
        <v>3.6</v>
      </c>
      <c r="X39" s="118">
        <f t="shared" si="1"/>
        <v>5</v>
      </c>
      <c r="Y39" s="127">
        <f t="shared" si="2"/>
        <v>8.6</v>
      </c>
      <c r="Z39" s="100">
        <f>'[1]cálculos teóricos'!I93</f>
        <v>11.774494594725017</v>
      </c>
      <c r="AA39" s="101">
        <f t="shared" si="3"/>
        <v>73.039228400111597</v>
      </c>
      <c r="AB39" s="3"/>
    </row>
    <row r="40" spans="1:28" s="107" customFormat="1" ht="15.75" thickTop="1">
      <c r="A40" s="102"/>
      <c r="B40" s="102"/>
      <c r="C40" s="102"/>
      <c r="D40" s="102"/>
      <c r="E40" s="102"/>
      <c r="F40" s="102"/>
      <c r="G40" s="102"/>
      <c r="H40" s="102"/>
      <c r="I40" s="126">
        <f>SUM(I9:I39)</f>
        <v>0</v>
      </c>
      <c r="J40" s="126">
        <f t="shared" ref="J40:V40" si="8">SUM(J9:J39)</f>
        <v>5.9</v>
      </c>
      <c r="K40" s="126">
        <f t="shared" si="8"/>
        <v>20.3</v>
      </c>
      <c r="L40" s="126">
        <f t="shared" si="8"/>
        <v>23.400000000000002</v>
      </c>
      <c r="M40" s="126">
        <f t="shared" si="8"/>
        <v>25.299999999999997</v>
      </c>
      <c r="N40" s="126">
        <f t="shared" si="8"/>
        <v>27.099999999999994</v>
      </c>
      <c r="O40" s="126">
        <f t="shared" si="8"/>
        <v>25.9</v>
      </c>
      <c r="P40" s="126">
        <f t="shared" si="8"/>
        <v>24.9</v>
      </c>
      <c r="Q40" s="126">
        <f t="shared" si="8"/>
        <v>23.200000000000003</v>
      </c>
      <c r="R40" s="126">
        <f t="shared" si="8"/>
        <v>21.6</v>
      </c>
      <c r="S40" s="126">
        <f t="shared" si="8"/>
        <v>17</v>
      </c>
      <c r="T40" s="126">
        <f t="shared" si="8"/>
        <v>12.299999999999999</v>
      </c>
      <c r="U40" s="126">
        <f t="shared" si="8"/>
        <v>1.4000000000000001</v>
      </c>
      <c r="V40" s="126">
        <f t="shared" si="8"/>
        <v>0</v>
      </c>
      <c r="W40" s="105">
        <f>SUM(I40:S40)</f>
        <v>214.6</v>
      </c>
      <c r="X40" s="105">
        <f>SUM(P40:V40)</f>
        <v>100.4</v>
      </c>
      <c r="Y40" s="105">
        <f>W40+X40</f>
        <v>315</v>
      </c>
      <c r="Z40" s="106"/>
      <c r="AA40" s="106"/>
      <c r="AB40" s="102"/>
    </row>
    <row r="41" spans="1:28" s="107" customFormat="1" ht="15">
      <c r="A41" s="102"/>
      <c r="B41" s="102" t="s">
        <v>50</v>
      </c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</row>
    <row r="42" spans="1:28" s="107" customFormat="1" ht="1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</row>
    <row r="43" spans="1:28" s="107" customFormat="1" ht="15">
      <c r="A43" s="102"/>
      <c r="B43" s="102" t="s">
        <v>51</v>
      </c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</row>
    <row r="44" spans="1:28" s="107" customFormat="1" ht="15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 t="s">
        <v>67</v>
      </c>
      <c r="AA44" s="102"/>
      <c r="AB44" s="102"/>
    </row>
    <row r="45" spans="1:28" s="107" customFormat="1" ht="15">
      <c r="A45" s="102"/>
      <c r="B45" s="102" t="s">
        <v>52</v>
      </c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</row>
    <row r="46" spans="1:28" s="107" customFormat="1" ht="1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</row>
    <row r="47" spans="1:28" s="107" customFormat="1" ht="15">
      <c r="A47" s="102"/>
      <c r="B47" s="102" t="s">
        <v>53</v>
      </c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</row>
    <row r="48" spans="1:28" s="107" customFormat="1" ht="15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</row>
    <row r="49" spans="1:28" s="107" customFormat="1" ht="15">
      <c r="A49" s="102"/>
      <c r="B49" s="102" t="s">
        <v>54</v>
      </c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2" t="s">
        <v>55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2" t="s">
        <v>56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7" t="s">
        <v>57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56"/>
  <sheetViews>
    <sheetView topLeftCell="A4" zoomScale="75" zoomScaleNormal="75" workbookViewId="0">
      <selection activeCell="A8" sqref="A8"/>
    </sheetView>
  </sheetViews>
  <sheetFormatPr defaultColWidth="11.42578125" defaultRowHeight="12.75"/>
  <cols>
    <col min="1" max="1" width="8.7109375" style="7" customWidth="1"/>
    <col min="2" max="8" width="12.7109375" style="7" customWidth="1"/>
    <col min="9" max="25" width="8.7109375" style="7" customWidth="1"/>
    <col min="26" max="27" width="12.7109375" style="7" customWidth="1"/>
    <col min="28" max="16384" width="11.42578125" style="7"/>
  </cols>
  <sheetData>
    <row r="1" spans="1:28" ht="18" customHeight="1">
      <c r="A1" s="1" t="s">
        <v>68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6"/>
      <c r="Y1" s="6"/>
      <c r="Z1" s="6"/>
      <c r="AA1" s="6"/>
      <c r="AB1" s="3"/>
    </row>
    <row r="2" spans="1:28" ht="18" customHeight="1">
      <c r="A2" s="3"/>
      <c r="B2" s="8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8" t="s">
        <v>64</v>
      </c>
      <c r="W2" s="3"/>
      <c r="X2" s="3"/>
      <c r="Y2" s="3"/>
      <c r="Z2" s="3"/>
      <c r="AA2" s="3"/>
      <c r="AB2" s="3"/>
    </row>
    <row r="3" spans="1:28" ht="18" customHeight="1">
      <c r="A3" s="3"/>
      <c r="B3" s="8" t="s">
        <v>69</v>
      </c>
      <c r="C3" s="3"/>
      <c r="D3" s="149"/>
      <c r="E3" s="150"/>
      <c r="F3" s="149"/>
      <c r="G3" s="4" t="s">
        <v>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8" t="s">
        <v>70</v>
      </c>
      <c r="W3" s="3"/>
      <c r="X3" s="151"/>
      <c r="Y3" s="6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9"/>
      <c r="W4" s="3"/>
      <c r="X4" s="3"/>
      <c r="Y4" s="3"/>
      <c r="Z4" s="3"/>
      <c r="AA4" s="3"/>
      <c r="AB4" s="3"/>
    </row>
    <row r="5" spans="1:28" ht="18" customHeight="1" thickTop="1" thickBot="1">
      <c r="A5" s="10" t="s">
        <v>7</v>
      </c>
      <c r="B5" s="11"/>
      <c r="C5" s="12" t="s">
        <v>8</v>
      </c>
      <c r="D5" s="13"/>
      <c r="E5" s="14"/>
      <c r="F5" s="13"/>
      <c r="G5" s="13"/>
      <c r="H5" s="15"/>
      <c r="I5" s="16" t="s">
        <v>9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2"/>
      <c r="Y5" s="17"/>
      <c r="Z5" s="14"/>
      <c r="AA5" s="18"/>
      <c r="AB5" s="3"/>
    </row>
    <row r="6" spans="1:28" ht="18" customHeight="1">
      <c r="A6" s="19"/>
      <c r="B6" s="20" t="s">
        <v>10</v>
      </c>
      <c r="C6" s="21" t="s">
        <v>11</v>
      </c>
      <c r="D6" s="22" t="s">
        <v>12</v>
      </c>
      <c r="E6" s="21" t="s">
        <v>12</v>
      </c>
      <c r="F6" s="23" t="s">
        <v>13</v>
      </c>
      <c r="G6" s="23" t="s">
        <v>14</v>
      </c>
      <c r="H6" s="23" t="s">
        <v>15</v>
      </c>
      <c r="I6" s="24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6"/>
      <c r="V6" s="27"/>
      <c r="W6" s="28"/>
      <c r="X6" s="29"/>
      <c r="Y6" s="30"/>
      <c r="Z6" s="31" t="s">
        <v>16</v>
      </c>
      <c r="AA6" s="32" t="s">
        <v>17</v>
      </c>
      <c r="AB6" s="3"/>
    </row>
    <row r="7" spans="1:28" ht="18" customHeight="1" thickBot="1">
      <c r="A7" s="33"/>
      <c r="B7" s="34" t="s">
        <v>18</v>
      </c>
      <c r="C7" s="35" t="s">
        <v>19</v>
      </c>
      <c r="D7" s="22" t="s">
        <v>20</v>
      </c>
      <c r="E7" s="23" t="s">
        <v>20</v>
      </c>
      <c r="F7" s="23" t="s">
        <v>21</v>
      </c>
      <c r="G7" s="23" t="s">
        <v>22</v>
      </c>
      <c r="H7" s="23" t="s">
        <v>23</v>
      </c>
      <c r="I7" s="36" t="s">
        <v>24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7"/>
      <c r="W7" s="38"/>
      <c r="X7" s="39" t="s">
        <v>25</v>
      </c>
      <c r="Y7" s="40"/>
      <c r="Z7" s="41" t="s">
        <v>26</v>
      </c>
      <c r="AA7" s="42" t="s">
        <v>27</v>
      </c>
      <c r="AB7" s="3"/>
    </row>
    <row r="8" spans="1:28" ht="18" customHeight="1" thickBot="1">
      <c r="A8" s="43"/>
      <c r="B8" s="44" t="s">
        <v>28</v>
      </c>
      <c r="C8" s="45" t="s">
        <v>29</v>
      </c>
      <c r="D8" s="45" t="s">
        <v>30</v>
      </c>
      <c r="E8" s="46" t="s">
        <v>31</v>
      </c>
      <c r="F8" s="46" t="s">
        <v>31</v>
      </c>
      <c r="G8" s="45" t="s">
        <v>31</v>
      </c>
      <c r="H8" s="23" t="s">
        <v>32</v>
      </c>
      <c r="I8" s="47" t="s">
        <v>33</v>
      </c>
      <c r="J8" s="48" t="s">
        <v>34</v>
      </c>
      <c r="K8" s="48" t="s">
        <v>35</v>
      </c>
      <c r="L8" s="48" t="s">
        <v>36</v>
      </c>
      <c r="M8" s="48" t="s">
        <v>37</v>
      </c>
      <c r="N8" s="48" t="s">
        <v>38</v>
      </c>
      <c r="O8" s="49" t="s">
        <v>39</v>
      </c>
      <c r="P8" s="48" t="s">
        <v>40</v>
      </c>
      <c r="Q8" s="48" t="s">
        <v>41</v>
      </c>
      <c r="R8" s="48" t="s">
        <v>42</v>
      </c>
      <c r="S8" s="48" t="s">
        <v>43</v>
      </c>
      <c r="T8" s="48" t="s">
        <v>44</v>
      </c>
      <c r="U8" s="48" t="s">
        <v>45</v>
      </c>
      <c r="V8" s="50" t="s">
        <v>46</v>
      </c>
      <c r="W8" s="53" t="s">
        <v>47</v>
      </c>
      <c r="X8" s="111" t="s">
        <v>48</v>
      </c>
      <c r="Y8" s="52" t="s">
        <v>49</v>
      </c>
      <c r="Z8" s="53" t="s">
        <v>49</v>
      </c>
      <c r="AA8" s="54" t="s">
        <v>49</v>
      </c>
      <c r="AB8" s="3"/>
    </row>
    <row r="9" spans="1:28" ht="18" customHeight="1">
      <c r="A9" s="112">
        <v>1</v>
      </c>
      <c r="B9" s="56">
        <v>27.1</v>
      </c>
      <c r="C9" s="73">
        <f>'[1]cálculos teóricos'!K94</f>
        <v>1.0048128866011701</v>
      </c>
      <c r="D9" s="58">
        <f>IF(B9&gt;0,B9*C9*14.25*1.022,-999)</f>
        <v>396.57035604583746</v>
      </c>
      <c r="E9" s="59">
        <f>IF(B9&gt;0,D9*4.1868/100,-999)</f>
        <v>16.603607666927122</v>
      </c>
      <c r="F9" s="60">
        <f>IF(B9&gt;0,(7.86+1.25*D9)*4.1868/100,-999)</f>
        <v>21.083592063658902</v>
      </c>
      <c r="G9" s="61">
        <f>'[1]cálculos teóricos'!T94</f>
        <v>32.65441761437198</v>
      </c>
      <c r="H9" s="62">
        <f>IF(B9&gt;0,100*F9/G9,-999)</f>
        <v>64.565818666995654</v>
      </c>
      <c r="I9" s="63"/>
      <c r="J9" s="63">
        <v>0.4</v>
      </c>
      <c r="K9" s="63">
        <v>1</v>
      </c>
      <c r="L9" s="63">
        <v>1</v>
      </c>
      <c r="M9" s="63">
        <v>1</v>
      </c>
      <c r="N9" s="152">
        <v>1</v>
      </c>
      <c r="O9" s="64">
        <v>1</v>
      </c>
      <c r="P9" s="63">
        <v>1</v>
      </c>
      <c r="Q9" s="63">
        <v>0.8</v>
      </c>
      <c r="R9" s="63">
        <v>0.9</v>
      </c>
      <c r="S9" s="63">
        <v>0.8</v>
      </c>
      <c r="T9" s="63">
        <v>1</v>
      </c>
      <c r="U9" s="63">
        <v>0.2</v>
      </c>
      <c r="V9" s="64"/>
      <c r="W9" s="117">
        <f t="shared" ref="W9:W38" si="0">SUM(I9:O9)</f>
        <v>5.4</v>
      </c>
      <c r="X9" s="118">
        <f>SUM(P9:V9)</f>
        <v>4.7</v>
      </c>
      <c r="Y9" s="119">
        <f>W9+X9</f>
        <v>10.100000000000001</v>
      </c>
      <c r="Z9" s="70">
        <f>'[1]cálculos teóricos'!I94</f>
        <v>11.751770476045246</v>
      </c>
      <c r="AA9" s="71">
        <f>100*Y9/Z9</f>
        <v>85.94449679380476</v>
      </c>
      <c r="AB9" s="3"/>
    </row>
    <row r="10" spans="1:28" ht="18" customHeight="1">
      <c r="A10" s="112">
        <v>2</v>
      </c>
      <c r="B10" s="56">
        <v>21.1</v>
      </c>
      <c r="C10" s="73">
        <f>'[1]cálculos teóricos'!K95</f>
        <v>1.0039166100687127</v>
      </c>
      <c r="D10" s="58">
        <f>IF(B10&gt;0,B10*C10*14.25*1.022,-999)</f>
        <v>308.49338452052325</v>
      </c>
      <c r="E10" s="59">
        <f>IF(B10&gt;0,D10*4.1868/100,-999)</f>
        <v>12.916001023105267</v>
      </c>
      <c r="F10" s="60">
        <f>IF(B10&gt;0,(7.86+1.25*D10)*4.1868/100,-999)</f>
        <v>16.474083758881584</v>
      </c>
      <c r="G10" s="61">
        <f>'[1]cálculos teóricos'!T95</f>
        <v>32.461485211773081</v>
      </c>
      <c r="H10" s="74">
        <f>IF(B10&gt;0,100*F10/G10,-999)</f>
        <v>50.749630373987905</v>
      </c>
      <c r="I10" s="56"/>
      <c r="J10" s="81"/>
      <c r="K10" s="81">
        <v>0.2</v>
      </c>
      <c r="L10" s="81">
        <v>1</v>
      </c>
      <c r="M10" s="81">
        <v>0.8</v>
      </c>
      <c r="N10" s="81">
        <v>0.4</v>
      </c>
      <c r="O10" s="76">
        <v>0.4</v>
      </c>
      <c r="P10" s="78">
        <v>0.8</v>
      </c>
      <c r="Q10" s="78">
        <v>0.8</v>
      </c>
      <c r="R10" s="75">
        <v>0.3</v>
      </c>
      <c r="S10" s="75">
        <v>0.7</v>
      </c>
      <c r="T10" s="75">
        <v>1</v>
      </c>
      <c r="U10" s="75">
        <v>0.4</v>
      </c>
      <c r="V10" s="77"/>
      <c r="W10" s="117">
        <f t="shared" si="0"/>
        <v>2.8</v>
      </c>
      <c r="X10" s="118">
        <f t="shared" ref="X10:X38" si="1">SUM(P10:V10)</f>
        <v>4</v>
      </c>
      <c r="Y10" s="69">
        <f t="shared" ref="Y10:Y38" si="2">W10+X10</f>
        <v>6.8</v>
      </c>
      <c r="Z10" s="70">
        <f>'[1]cálculos teóricos'!I95</f>
        <v>11.729098336171763</v>
      </c>
      <c r="AA10" s="71">
        <f t="shared" ref="AA10:AA38" si="3">100*Y10/Z10</f>
        <v>57.975470962070887</v>
      </c>
      <c r="AB10" s="3"/>
    </row>
    <row r="11" spans="1:28" ht="18" customHeight="1">
      <c r="A11" s="112">
        <v>3</v>
      </c>
      <c r="B11" s="56">
        <v>23.4</v>
      </c>
      <c r="C11" s="73">
        <f>'[1]cálculos teóricos'!K96</f>
        <v>1.003013826866084</v>
      </c>
      <c r="D11" s="58">
        <f t="shared" ref="D11:D38" si="4">IF(B11&gt;0,B11*C11*14.25*1.022,-999)</f>
        <v>341.8129697010026</v>
      </c>
      <c r="E11" s="59">
        <f t="shared" ref="E11:E38" si="5">IF(B11&gt;0,D11*4.1868/100,-999)</f>
        <v>14.311025415441577</v>
      </c>
      <c r="F11" s="60">
        <f t="shared" ref="F11:F38" si="6">IF(B11&gt;0,(7.86+1.25*D11)*4.1868/100,-999)</f>
        <v>18.217864249301972</v>
      </c>
      <c r="G11" s="61">
        <f>'[1]cálculos teóricos'!T96</f>
        <v>32.268241631734995</v>
      </c>
      <c r="H11" s="74">
        <f t="shared" ref="H11:H38" si="7">IF(B11&gt;0,100*F11/G11,-999)</f>
        <v>56.457567341956327</v>
      </c>
      <c r="I11" s="56"/>
      <c r="J11" s="81">
        <v>0.3</v>
      </c>
      <c r="K11" s="81">
        <v>0.8</v>
      </c>
      <c r="L11" s="81">
        <v>1</v>
      </c>
      <c r="M11" s="81">
        <v>1</v>
      </c>
      <c r="N11" s="81">
        <v>1</v>
      </c>
      <c r="O11" s="76">
        <v>0.9</v>
      </c>
      <c r="P11" s="78">
        <v>0.7</v>
      </c>
      <c r="Q11" s="78">
        <v>0.6</v>
      </c>
      <c r="R11" s="75">
        <v>1</v>
      </c>
      <c r="S11" s="75">
        <v>0.6</v>
      </c>
      <c r="T11" s="75">
        <v>0.1</v>
      </c>
      <c r="U11" s="75"/>
      <c r="V11" s="77"/>
      <c r="W11" s="117">
        <f t="shared" si="0"/>
        <v>5</v>
      </c>
      <c r="X11" s="118">
        <f t="shared" si="1"/>
        <v>3</v>
      </c>
      <c r="Y11" s="69">
        <f t="shared" si="2"/>
        <v>8</v>
      </c>
      <c r="Z11" s="70">
        <f>'[1]cálculos teóricos'!I96</f>
        <v>11.706481658147139</v>
      </c>
      <c r="AA11" s="71">
        <f t="shared" si="3"/>
        <v>68.338209836363532</v>
      </c>
      <c r="AB11" s="3"/>
    </row>
    <row r="12" spans="1:28" ht="18" customHeight="1">
      <c r="A12" s="112">
        <v>4</v>
      </c>
      <c r="B12" s="56">
        <v>29.4</v>
      </c>
      <c r="C12" s="73">
        <f>'[1]cálculos teóricos'!K97</f>
        <v>1.0021048666699626</v>
      </c>
      <c r="D12" s="58">
        <f t="shared" si="4"/>
        <v>429.06813423699117</v>
      </c>
      <c r="E12" s="59">
        <f t="shared" si="5"/>
        <v>17.964224644234346</v>
      </c>
      <c r="F12" s="60">
        <f t="shared" si="6"/>
        <v>22.78436328529293</v>
      </c>
      <c r="G12" s="61">
        <f>'[1]cálculos teóricos'!T97</f>
        <v>32.074756988746543</v>
      </c>
      <c r="H12" s="74">
        <f t="shared" si="7"/>
        <v>71.035185997782747</v>
      </c>
      <c r="I12" s="56"/>
      <c r="J12" s="81">
        <v>0.4</v>
      </c>
      <c r="K12" s="81">
        <v>1</v>
      </c>
      <c r="L12" s="81">
        <v>1</v>
      </c>
      <c r="M12" s="81">
        <v>1</v>
      </c>
      <c r="N12" s="81">
        <v>1</v>
      </c>
      <c r="O12" s="76">
        <v>1</v>
      </c>
      <c r="P12" s="78">
        <v>1</v>
      </c>
      <c r="Q12" s="78">
        <v>1</v>
      </c>
      <c r="R12" s="75">
        <v>1</v>
      </c>
      <c r="S12" s="75">
        <v>1</v>
      </c>
      <c r="T12" s="75">
        <v>0.6</v>
      </c>
      <c r="U12" s="75"/>
      <c r="V12" s="77"/>
      <c r="W12" s="117">
        <f t="shared" si="0"/>
        <v>5.4</v>
      </c>
      <c r="X12" s="118">
        <f t="shared" si="1"/>
        <v>4.5999999999999996</v>
      </c>
      <c r="Y12" s="69">
        <f t="shared" si="2"/>
        <v>10</v>
      </c>
      <c r="Z12" s="70">
        <f>'[1]cálculos teóricos'!I97</f>
        <v>11.683923971242983</v>
      </c>
      <c r="AA12" s="71">
        <f t="shared" si="3"/>
        <v>85.587684622156601</v>
      </c>
      <c r="AB12" s="3"/>
    </row>
    <row r="13" spans="1:28" ht="18" customHeight="1">
      <c r="A13" s="72">
        <v>5</v>
      </c>
      <c r="B13" s="56">
        <v>25.8</v>
      </c>
      <c r="C13" s="73">
        <f>'[1]cálculos teóricos'!K98</f>
        <v>1.0011900675054584</v>
      </c>
      <c r="D13" s="58">
        <f t="shared" si="4"/>
        <v>376.18545394138619</v>
      </c>
      <c r="E13" s="59">
        <f t="shared" si="5"/>
        <v>15.750132585617957</v>
      </c>
      <c r="F13" s="60">
        <f t="shared" si="6"/>
        <v>20.016748212022446</v>
      </c>
      <c r="G13" s="61">
        <f>'[1]cálculos teóricos'!T98</f>
        <v>31.881101927204124</v>
      </c>
      <c r="H13" s="74">
        <f t="shared" si="7"/>
        <v>62.785622208817593</v>
      </c>
      <c r="I13" s="56"/>
      <c r="J13" s="81">
        <v>0.7</v>
      </c>
      <c r="K13" s="81">
        <v>1</v>
      </c>
      <c r="L13" s="81">
        <v>1</v>
      </c>
      <c r="M13" s="81">
        <v>1</v>
      </c>
      <c r="N13" s="81">
        <v>1</v>
      </c>
      <c r="O13" s="76">
        <v>1</v>
      </c>
      <c r="P13" s="78">
        <v>1</v>
      </c>
      <c r="Q13" s="78">
        <v>1</v>
      </c>
      <c r="R13" s="75">
        <v>1</v>
      </c>
      <c r="S13" s="75">
        <v>0.8</v>
      </c>
      <c r="T13" s="75">
        <v>0.8</v>
      </c>
      <c r="U13" s="75"/>
      <c r="V13" s="77"/>
      <c r="W13" s="117">
        <f t="shared" si="0"/>
        <v>5.7</v>
      </c>
      <c r="X13" s="118">
        <f t="shared" si="1"/>
        <v>4.5999999999999996</v>
      </c>
      <c r="Y13" s="69">
        <f t="shared" si="2"/>
        <v>10.3</v>
      </c>
      <c r="Z13" s="70">
        <f>'[1]cálculos teóricos'!I98</f>
        <v>11.661428856560702</v>
      </c>
      <c r="AA13" s="71">
        <f t="shared" si="3"/>
        <v>88.325368414911139</v>
      </c>
      <c r="AB13" s="3"/>
    </row>
    <row r="14" spans="1:28" ht="18" customHeight="1">
      <c r="A14" s="72">
        <v>6</v>
      </c>
      <c r="B14" s="56">
        <v>15.9</v>
      </c>
      <c r="C14" s="73">
        <f>'[1]cálculos teóricos'!K99</f>
        <v>1.0002697756735133</v>
      </c>
      <c r="D14" s="58">
        <f t="shared" si="4"/>
        <v>231.62211916053727</v>
      </c>
      <c r="E14" s="59">
        <f t="shared" si="5"/>
        <v>9.697554885013373</v>
      </c>
      <c r="F14" s="60">
        <f t="shared" si="6"/>
        <v>12.451026086266717</v>
      </c>
      <c r="G14" s="61">
        <f>'[1]cálculos teóricos'!T99</f>
        <v>31.687347591169619</v>
      </c>
      <c r="H14" s="74">
        <f t="shared" si="7"/>
        <v>39.293367961591308</v>
      </c>
      <c r="I14" s="56"/>
      <c r="J14" s="81">
        <v>0.2</v>
      </c>
      <c r="K14" s="81">
        <v>0.5</v>
      </c>
      <c r="L14" s="81">
        <v>0.6</v>
      </c>
      <c r="M14" s="81">
        <v>0.9</v>
      </c>
      <c r="N14" s="81">
        <v>0.2</v>
      </c>
      <c r="O14" s="76"/>
      <c r="P14" s="78">
        <v>0.7</v>
      </c>
      <c r="Q14" s="78">
        <v>0.1</v>
      </c>
      <c r="R14" s="75"/>
      <c r="S14" s="75"/>
      <c r="T14" s="75"/>
      <c r="U14" s="75"/>
      <c r="V14" s="77"/>
      <c r="W14" s="117">
        <f t="shared" si="0"/>
        <v>2.4</v>
      </c>
      <c r="X14" s="118">
        <f t="shared" si="1"/>
        <v>0.79999999999999993</v>
      </c>
      <c r="Y14" s="69">
        <f t="shared" si="2"/>
        <v>3.1999999999999997</v>
      </c>
      <c r="Z14" s="70">
        <f>'[1]cálculos teóricos'!I99</f>
        <v>11.638999952514853</v>
      </c>
      <c r="AA14" s="71">
        <f t="shared" si="3"/>
        <v>27.493771054690761</v>
      </c>
      <c r="AB14" s="3"/>
    </row>
    <row r="15" spans="1:28" ht="18" customHeight="1">
      <c r="A15" s="72">
        <v>7</v>
      </c>
      <c r="B15" s="56">
        <v>21.6</v>
      </c>
      <c r="C15" s="73">
        <f>'[1]cálculos teóricos'!K100</f>
        <v>0.99934434567381758</v>
      </c>
      <c r="D15" s="58">
        <f t="shared" si="4"/>
        <v>314.36534976956591</v>
      </c>
      <c r="E15" s="59">
        <f t="shared" si="5"/>
        <v>13.161848464152186</v>
      </c>
      <c r="F15" s="60">
        <f t="shared" si="6"/>
        <v>16.781393060190233</v>
      </c>
      <c r="G15" s="61">
        <f>'[1]cálculos teóricos'!T100</f>
        <v>31.493565594061103</v>
      </c>
      <c r="H15" s="74">
        <f t="shared" si="7"/>
        <v>53.285148072769452</v>
      </c>
      <c r="I15" s="56"/>
      <c r="J15" s="81">
        <v>0.4</v>
      </c>
      <c r="K15" s="81">
        <v>1</v>
      </c>
      <c r="L15" s="81">
        <v>1</v>
      </c>
      <c r="M15" s="81">
        <v>1</v>
      </c>
      <c r="N15" s="81">
        <v>0.9</v>
      </c>
      <c r="O15" s="76">
        <v>0.8</v>
      </c>
      <c r="P15" s="78">
        <v>0.8</v>
      </c>
      <c r="Q15" s="78">
        <v>1</v>
      </c>
      <c r="R15" s="75">
        <v>1</v>
      </c>
      <c r="S15" s="75">
        <v>0.9</v>
      </c>
      <c r="T15" s="75">
        <v>1</v>
      </c>
      <c r="U15" s="75">
        <v>0.2</v>
      </c>
      <c r="V15" s="77"/>
      <c r="W15" s="117">
        <f t="shared" si="0"/>
        <v>5.0999999999999996</v>
      </c>
      <c r="X15" s="118">
        <f t="shared" si="1"/>
        <v>4.8999999999999995</v>
      </c>
      <c r="Y15" s="69">
        <f t="shared" si="2"/>
        <v>10</v>
      </c>
      <c r="Z15" s="70">
        <f>'[1]cálculos teóricos'!I100</f>
        <v>11.616640960189132</v>
      </c>
      <c r="AA15" s="71">
        <f t="shared" si="3"/>
        <v>86.083404266952471</v>
      </c>
      <c r="AB15" s="3"/>
    </row>
    <row r="16" spans="1:28" ht="18" customHeight="1">
      <c r="A16" s="79">
        <v>8</v>
      </c>
      <c r="B16" s="75">
        <v>30.2</v>
      </c>
      <c r="C16" s="73">
        <f>'[1]cálculos teóricos'!K101</f>
        <v>0.99841414012270413</v>
      </c>
      <c r="D16" s="58">
        <f t="shared" si="4"/>
        <v>439.12021075624546</v>
      </c>
      <c r="E16" s="59">
        <f t="shared" si="5"/>
        <v>18.385084983942484</v>
      </c>
      <c r="F16" s="60">
        <f t="shared" si="6"/>
        <v>23.310438709928103</v>
      </c>
      <c r="G16" s="61">
        <f>'[1]cálculos teóricos'!T101</f>
        <v>31.299827988232465</v>
      </c>
      <c r="H16" s="74">
        <f t="shared" si="7"/>
        <v>74.474654361333663</v>
      </c>
      <c r="I16" s="78"/>
      <c r="J16" s="80">
        <v>0.6</v>
      </c>
      <c r="K16" s="80">
        <v>1</v>
      </c>
      <c r="L16" s="80">
        <v>1</v>
      </c>
      <c r="M16" s="80">
        <v>1</v>
      </c>
      <c r="N16" s="81">
        <v>1</v>
      </c>
      <c r="O16" s="77">
        <v>1</v>
      </c>
      <c r="P16" s="81">
        <v>1</v>
      </c>
      <c r="Q16" s="81">
        <v>1</v>
      </c>
      <c r="R16" s="80">
        <v>1</v>
      </c>
      <c r="S16" s="80">
        <v>1</v>
      </c>
      <c r="T16" s="80">
        <v>1</v>
      </c>
      <c r="U16" s="80"/>
      <c r="V16" s="77"/>
      <c r="W16" s="117">
        <f t="shared" si="0"/>
        <v>5.6</v>
      </c>
      <c r="X16" s="118">
        <f t="shared" si="1"/>
        <v>5</v>
      </c>
      <c r="Y16" s="69">
        <f t="shared" si="2"/>
        <v>10.6</v>
      </c>
      <c r="Z16" s="70">
        <f>'[1]cálculos teóricos'!I101</f>
        <v>11.594355648555021</v>
      </c>
      <c r="AA16" s="71">
        <f t="shared" si="3"/>
        <v>91.423795520030083</v>
      </c>
      <c r="AB16" s="3"/>
    </row>
    <row r="17" spans="1:28" ht="18" customHeight="1">
      <c r="A17" s="79">
        <v>9</v>
      </c>
      <c r="B17" s="75">
        <v>25.5</v>
      </c>
      <c r="C17" s="73">
        <f>'[1]cálculos teóricos'!K102</f>
        <v>0.99747952966548015</v>
      </c>
      <c r="D17" s="58">
        <f t="shared" si="4"/>
        <v>370.43322482222214</v>
      </c>
      <c r="E17" s="59">
        <f t="shared" si="5"/>
        <v>15.509298256856797</v>
      </c>
      <c r="F17" s="60">
        <f t="shared" si="6"/>
        <v>19.715705301070997</v>
      </c>
      <c r="G17" s="61">
        <f>'[1]cálculos teóricos'!T102</f>
        <v>31.106207234397623</v>
      </c>
      <c r="H17" s="74">
        <f t="shared" si="7"/>
        <v>63.381900443552411</v>
      </c>
      <c r="I17" s="78"/>
      <c r="J17" s="80"/>
      <c r="K17" s="80"/>
      <c r="L17" s="80">
        <v>0.6</v>
      </c>
      <c r="M17" s="80">
        <v>1</v>
      </c>
      <c r="N17" s="81">
        <v>1</v>
      </c>
      <c r="O17" s="77">
        <v>1</v>
      </c>
      <c r="P17" s="81">
        <v>1</v>
      </c>
      <c r="Q17" s="81">
        <v>1</v>
      </c>
      <c r="R17" s="80">
        <v>0.5</v>
      </c>
      <c r="S17" s="80">
        <v>0.7</v>
      </c>
      <c r="T17" s="80">
        <v>1</v>
      </c>
      <c r="U17" s="80">
        <v>0.1</v>
      </c>
      <c r="V17" s="77"/>
      <c r="W17" s="117">
        <f t="shared" si="0"/>
        <v>3.6</v>
      </c>
      <c r="X17" s="118">
        <f t="shared" si="1"/>
        <v>4.3</v>
      </c>
      <c r="Y17" s="69">
        <f t="shared" si="2"/>
        <v>7.9</v>
      </c>
      <c r="Z17" s="70">
        <f>'[1]cálculos teóricos'!I102</f>
        <v>11.5721478595426</v>
      </c>
      <c r="AA17" s="71">
        <f t="shared" si="3"/>
        <v>68.267361391217605</v>
      </c>
      <c r="AB17" s="3"/>
    </row>
    <row r="18" spans="1:28" ht="18" customHeight="1">
      <c r="A18" s="79">
        <v>10</v>
      </c>
      <c r="B18" s="75">
        <v>30.8</v>
      </c>
      <c r="C18" s="73">
        <f>'[1]cálculos teóricos'!K103</f>
        <v>0.99654089288262615</v>
      </c>
      <c r="D18" s="58">
        <f t="shared" si="4"/>
        <v>447.00419743968069</v>
      </c>
      <c r="E18" s="59">
        <f t="shared" si="5"/>
        <v>18.71517173840455</v>
      </c>
      <c r="F18" s="60">
        <f t="shared" si="6"/>
        <v>23.723047153005687</v>
      </c>
      <c r="G18" s="61">
        <f>'[1]cálculos teóricos'!T103</f>
        <v>30.912776170854091</v>
      </c>
      <c r="H18" s="74">
        <f t="shared" si="7"/>
        <v>76.741885044193495</v>
      </c>
      <c r="I18" s="78"/>
      <c r="J18" s="80">
        <v>0.5</v>
      </c>
      <c r="K18" s="80">
        <v>1</v>
      </c>
      <c r="L18" s="80">
        <v>1</v>
      </c>
      <c r="M18" s="80">
        <v>1</v>
      </c>
      <c r="N18" s="81">
        <v>1</v>
      </c>
      <c r="O18" s="76">
        <v>1</v>
      </c>
      <c r="P18" s="81">
        <v>1</v>
      </c>
      <c r="Q18" s="81">
        <v>1</v>
      </c>
      <c r="R18" s="80">
        <v>1</v>
      </c>
      <c r="S18" s="80">
        <v>1</v>
      </c>
      <c r="T18" s="80">
        <v>1</v>
      </c>
      <c r="U18" s="80">
        <v>0.1</v>
      </c>
      <c r="V18" s="77"/>
      <c r="W18" s="117">
        <f t="shared" si="0"/>
        <v>5.5</v>
      </c>
      <c r="X18" s="118">
        <f t="shared" si="1"/>
        <v>5.0999999999999996</v>
      </c>
      <c r="Y18" s="69">
        <f t="shared" si="2"/>
        <v>10.6</v>
      </c>
      <c r="Z18" s="70">
        <f>'[1]cálculos teóricos'!I103</f>
        <v>11.55002151295256</v>
      </c>
      <c r="AA18" s="71">
        <f t="shared" si="3"/>
        <v>91.774720835912078</v>
      </c>
      <c r="AB18" s="3"/>
    </row>
    <row r="19" spans="1:28" ht="18" customHeight="1">
      <c r="A19" s="79">
        <v>11</v>
      </c>
      <c r="B19" s="75">
        <v>29.2</v>
      </c>
      <c r="C19" s="73">
        <f>'[1]cálculos teóricos'!K104</f>
        <v>0.99559861618928736</v>
      </c>
      <c r="D19" s="58">
        <f t="shared" si="4"/>
        <v>423.38249304868242</v>
      </c>
      <c r="E19" s="59">
        <f t="shared" si="5"/>
        <v>17.726178218962232</v>
      </c>
      <c r="F19" s="60">
        <f t="shared" si="6"/>
        <v>22.486805253702791</v>
      </c>
      <c r="G19" s="61">
        <f>'[1]cálculos teóricos'!T104</f>
        <v>30.719607982460538</v>
      </c>
      <c r="H19" s="74">
        <f t="shared" si="7"/>
        <v>73.200169958359197</v>
      </c>
      <c r="I19" s="78"/>
      <c r="J19" s="80">
        <v>0.5</v>
      </c>
      <c r="K19" s="80">
        <v>1</v>
      </c>
      <c r="L19" s="80">
        <v>1</v>
      </c>
      <c r="M19" s="80">
        <v>1</v>
      </c>
      <c r="N19" s="80">
        <v>1</v>
      </c>
      <c r="O19" s="77">
        <v>1</v>
      </c>
      <c r="P19" s="81">
        <v>1</v>
      </c>
      <c r="Q19" s="81">
        <v>1</v>
      </c>
      <c r="R19" s="80">
        <v>1</v>
      </c>
      <c r="S19" s="80">
        <v>1</v>
      </c>
      <c r="T19" s="80">
        <v>1</v>
      </c>
      <c r="U19" s="80">
        <v>0.2</v>
      </c>
      <c r="V19" s="77"/>
      <c r="W19" s="117">
        <f t="shared" si="0"/>
        <v>5.5</v>
      </c>
      <c r="X19" s="118">
        <f t="shared" si="1"/>
        <v>5.2</v>
      </c>
      <c r="Y19" s="69">
        <f t="shared" si="2"/>
        <v>10.7</v>
      </c>
      <c r="Z19" s="70">
        <f>'[1]cálculos teóricos'!I104</f>
        <v>11.527980611198263</v>
      </c>
      <c r="AA19" s="71">
        <f t="shared" si="3"/>
        <v>92.817643964512186</v>
      </c>
      <c r="AB19" s="3"/>
    </row>
    <row r="20" spans="1:28" ht="18" customHeight="1">
      <c r="A20" s="79">
        <v>12</v>
      </c>
      <c r="B20" s="75">
        <v>25</v>
      </c>
      <c r="C20" s="73">
        <f>'[1]cálculos teóricos'!K105</f>
        <v>0.99465309372746913</v>
      </c>
      <c r="D20" s="58">
        <f t="shared" si="4"/>
        <v>362.1407582624999</v>
      </c>
      <c r="E20" s="59">
        <f t="shared" si="5"/>
        <v>15.162109266934344</v>
      </c>
      <c r="F20" s="60">
        <f t="shared" si="6"/>
        <v>19.281719063667932</v>
      </c>
      <c r="G20" s="61">
        <f>'[1]cálculos teóricos'!T105</f>
        <v>30.526776169323703</v>
      </c>
      <c r="H20" s="74">
        <f t="shared" si="7"/>
        <v>63.163299513572916</v>
      </c>
      <c r="I20" s="78"/>
      <c r="J20" s="80">
        <v>0.4</v>
      </c>
      <c r="K20" s="80">
        <v>1</v>
      </c>
      <c r="L20" s="80">
        <v>1</v>
      </c>
      <c r="M20" s="80">
        <v>1</v>
      </c>
      <c r="N20" s="80">
        <v>1</v>
      </c>
      <c r="O20" s="77">
        <v>1</v>
      </c>
      <c r="P20" s="81">
        <v>0.9</v>
      </c>
      <c r="Q20" s="81">
        <v>1</v>
      </c>
      <c r="R20" s="80">
        <v>1</v>
      </c>
      <c r="S20" s="80">
        <v>0.2</v>
      </c>
      <c r="T20" s="80"/>
      <c r="U20" s="80"/>
      <c r="V20" s="77"/>
      <c r="W20" s="117">
        <f t="shared" si="0"/>
        <v>5.4</v>
      </c>
      <c r="X20" s="118">
        <f t="shared" si="1"/>
        <v>3.1</v>
      </c>
      <c r="Y20" s="69">
        <f t="shared" si="2"/>
        <v>8.5</v>
      </c>
      <c r="Z20" s="70">
        <f>'[1]cálculos teóricos'!I105</f>
        <v>11.506029243866161</v>
      </c>
      <c r="AA20" s="71">
        <f t="shared" si="3"/>
        <v>73.874312500390445</v>
      </c>
      <c r="AB20" s="3"/>
    </row>
    <row r="21" spans="1:28" ht="18" customHeight="1">
      <c r="A21" s="79">
        <v>13</v>
      </c>
      <c r="B21" s="75">
        <v>11.8</v>
      </c>
      <c r="C21" s="73">
        <f>'[1]cálculos teóricos'!K106</f>
        <v>0.9937047272503452</v>
      </c>
      <c r="D21" s="58">
        <f t="shared" si="4"/>
        <v>170.76746178466277</v>
      </c>
      <c r="E21" s="59">
        <f t="shared" si="5"/>
        <v>7.1496920900002605</v>
      </c>
      <c r="F21" s="60">
        <f t="shared" si="6"/>
        <v>9.2661975925003262</v>
      </c>
      <c r="G21" s="61">
        <f>'[1]cálculos teóricos'!T106</f>
        <v>30.334354515150523</v>
      </c>
      <c r="H21" s="74">
        <f t="shared" si="7"/>
        <v>30.546875780304852</v>
      </c>
      <c r="I21" s="78"/>
      <c r="J21" s="80"/>
      <c r="K21" s="80">
        <v>0.5</v>
      </c>
      <c r="L21" s="80">
        <v>0.9</v>
      </c>
      <c r="M21" s="80"/>
      <c r="N21" s="80"/>
      <c r="O21" s="77"/>
      <c r="P21" s="81"/>
      <c r="Q21" s="81"/>
      <c r="R21" s="80"/>
      <c r="S21" s="80"/>
      <c r="T21" s="80"/>
      <c r="U21" s="80"/>
      <c r="V21" s="77"/>
      <c r="W21" s="117">
        <f t="shared" si="0"/>
        <v>1.4</v>
      </c>
      <c r="X21" s="118">
        <f t="shared" si="1"/>
        <v>0</v>
      </c>
      <c r="Y21" s="69">
        <f t="shared" si="2"/>
        <v>1.4</v>
      </c>
      <c r="Z21" s="70">
        <f>'[1]cálculos teóricos'!I106</f>
        <v>11.484171592082447</v>
      </c>
      <c r="AA21" s="71">
        <f t="shared" si="3"/>
        <v>12.190692108477416</v>
      </c>
      <c r="AB21" s="3"/>
    </row>
    <row r="22" spans="1:28" ht="18" customHeight="1">
      <c r="A22" s="79">
        <v>14</v>
      </c>
      <c r="B22" s="75">
        <v>19.899999999999999</v>
      </c>
      <c r="C22" s="73">
        <f>'[1]cálculos teóricos'!K107</f>
        <v>0.99275392599807921</v>
      </c>
      <c r="D22" s="58">
        <f t="shared" si="4"/>
        <v>287.71363884533321</v>
      </c>
      <c r="E22" s="59">
        <f t="shared" si="5"/>
        <v>12.045994631176411</v>
      </c>
      <c r="F22" s="60">
        <f t="shared" si="6"/>
        <v>15.386575768970513</v>
      </c>
      <c r="G22" s="61">
        <f>'[1]cálculos teóricos'!T107</f>
        <v>30.142417055223362</v>
      </c>
      <c r="H22" s="74">
        <f t="shared" si="7"/>
        <v>51.046257308367316</v>
      </c>
      <c r="I22" s="78"/>
      <c r="J22" s="80">
        <v>0.3</v>
      </c>
      <c r="K22" s="80">
        <v>1</v>
      </c>
      <c r="L22" s="80">
        <v>0.8</v>
      </c>
      <c r="M22" s="80">
        <v>0.6</v>
      </c>
      <c r="N22" s="80">
        <v>0.2</v>
      </c>
      <c r="O22" s="77">
        <v>0.5</v>
      </c>
      <c r="P22" s="81">
        <v>0.3</v>
      </c>
      <c r="Q22" s="81">
        <v>1</v>
      </c>
      <c r="R22" s="80">
        <v>0.7</v>
      </c>
      <c r="S22" s="80">
        <v>0.1</v>
      </c>
      <c r="T22" s="80"/>
      <c r="U22" s="80"/>
      <c r="V22" s="77"/>
      <c r="W22" s="117">
        <f t="shared" si="0"/>
        <v>3.4000000000000004</v>
      </c>
      <c r="X22" s="118">
        <f t="shared" si="1"/>
        <v>2.1</v>
      </c>
      <c r="Y22" s="69">
        <f t="shared" si="2"/>
        <v>5.5</v>
      </c>
      <c r="Z22" s="70">
        <f>'[1]cálculos teóricos'!I107</f>
        <v>11.462411932673533</v>
      </c>
      <c r="AA22" s="71">
        <f t="shared" si="3"/>
        <v>47.982920456054146</v>
      </c>
      <c r="AB22" s="3"/>
    </row>
    <row r="23" spans="1:28" ht="18" customHeight="1">
      <c r="A23" s="79">
        <v>15</v>
      </c>
      <c r="B23" s="75">
        <v>22.8</v>
      </c>
      <c r="C23" s="73">
        <f>'[1]cálculos teóricos'!K108</f>
        <v>0.99180110656457066</v>
      </c>
      <c r="D23" s="58">
        <f t="shared" si="4"/>
        <v>329.3253754723313</v>
      </c>
      <c r="E23" s="59">
        <f t="shared" si="5"/>
        <v>13.788194820275567</v>
      </c>
      <c r="F23" s="60">
        <f t="shared" si="6"/>
        <v>17.564326005344459</v>
      </c>
      <c r="G23" s="61">
        <f>'[1]cálculos teóricos'!T108</f>
        <v>29.951038043957332</v>
      </c>
      <c r="H23" s="74">
        <f t="shared" si="7"/>
        <v>58.643463306902269</v>
      </c>
      <c r="I23" s="78"/>
      <c r="J23" s="80">
        <v>0.2</v>
      </c>
      <c r="K23" s="80">
        <v>1</v>
      </c>
      <c r="L23" s="80">
        <v>0.9</v>
      </c>
      <c r="M23" s="80">
        <v>1</v>
      </c>
      <c r="N23" s="80">
        <v>1</v>
      </c>
      <c r="O23" s="77">
        <v>0.8</v>
      </c>
      <c r="P23" s="81">
        <v>1</v>
      </c>
      <c r="Q23" s="81">
        <v>0.5</v>
      </c>
      <c r="R23" s="80">
        <v>0.2</v>
      </c>
      <c r="S23" s="80">
        <v>0.7</v>
      </c>
      <c r="T23" s="80"/>
      <c r="U23" s="80"/>
      <c r="V23" s="77"/>
      <c r="W23" s="117">
        <f t="shared" si="0"/>
        <v>4.8999999999999995</v>
      </c>
      <c r="X23" s="118">
        <f t="shared" si="1"/>
        <v>2.4</v>
      </c>
      <c r="Y23" s="69">
        <f t="shared" si="2"/>
        <v>7.2999999999999989</v>
      </c>
      <c r="Z23" s="70">
        <f>'[1]cálculos teóricos'!I108</f>
        <v>11.440754642107416</v>
      </c>
      <c r="AA23" s="71">
        <f t="shared" si="3"/>
        <v>63.806979769783091</v>
      </c>
      <c r="AB23" s="3"/>
    </row>
    <row r="24" spans="1:28" ht="18" customHeight="1">
      <c r="A24" s="79">
        <v>16</v>
      </c>
      <c r="B24" s="75">
        <v>21.2</v>
      </c>
      <c r="C24" s="73">
        <f>'[1]cálculos teóricos'!K109</f>
        <v>0.99084669275453241</v>
      </c>
      <c r="D24" s="58">
        <f t="shared" si="4"/>
        <v>305.92015117052938</v>
      </c>
      <c r="E24" s="59">
        <f t="shared" si="5"/>
        <v>12.808264889207724</v>
      </c>
      <c r="F24" s="60">
        <f t="shared" si="6"/>
        <v>16.339413591509654</v>
      </c>
      <c r="G24" s="61">
        <f>'[1]cálculos teóricos'!T109</f>
        <v>29.760291922001649</v>
      </c>
      <c r="H24" s="74">
        <f t="shared" si="7"/>
        <v>54.90340496099099</v>
      </c>
      <c r="I24" s="153"/>
      <c r="J24" s="154"/>
      <c r="K24" s="154"/>
      <c r="L24" s="80">
        <v>1</v>
      </c>
      <c r="M24" s="80">
        <v>1</v>
      </c>
      <c r="N24" s="80">
        <v>0.7</v>
      </c>
      <c r="O24" s="77">
        <v>0.9</v>
      </c>
      <c r="P24" s="81">
        <v>1</v>
      </c>
      <c r="Q24" s="81">
        <v>1</v>
      </c>
      <c r="R24" s="80">
        <v>0.5</v>
      </c>
      <c r="S24" s="80">
        <v>0.7</v>
      </c>
      <c r="T24" s="154"/>
      <c r="U24" s="154"/>
      <c r="V24" s="155"/>
      <c r="W24" s="117">
        <f t="shared" si="0"/>
        <v>3.6</v>
      </c>
      <c r="X24" s="118">
        <f t="shared" si="1"/>
        <v>3.2</v>
      </c>
      <c r="Y24" s="69">
        <f t="shared" si="2"/>
        <v>6.8000000000000007</v>
      </c>
      <c r="Z24" s="70">
        <f>'[1]cálculos teóricos'!I109</f>
        <v>11.419204200202659</v>
      </c>
      <c r="AA24" s="71">
        <f t="shared" si="3"/>
        <v>59.548808137429752</v>
      </c>
      <c r="AB24" s="3"/>
    </row>
    <row r="25" spans="1:28" ht="18" customHeight="1">
      <c r="A25" s="84">
        <v>17</v>
      </c>
      <c r="B25" s="75">
        <v>17.2</v>
      </c>
      <c r="C25" s="73">
        <f>'[1]cálculos teóricos'!K110</f>
        <v>0.9898911154303186</v>
      </c>
      <c r="D25" s="58">
        <f t="shared" si="4"/>
        <v>247.96000326459443</v>
      </c>
      <c r="E25" s="59">
        <f t="shared" si="5"/>
        <v>10.381589416682038</v>
      </c>
      <c r="F25" s="60">
        <f t="shared" si="6"/>
        <v>13.30606925085255</v>
      </c>
      <c r="G25" s="61">
        <f>'[1]cálculos teóricos'!T110</f>
        <v>29.570253282849443</v>
      </c>
      <c r="H25" s="74">
        <f t="shared" si="7"/>
        <v>44.998157856733627</v>
      </c>
      <c r="I25" s="78"/>
      <c r="J25" s="80"/>
      <c r="K25" s="80">
        <v>0.4</v>
      </c>
      <c r="L25" s="80">
        <v>0.6</v>
      </c>
      <c r="M25" s="80"/>
      <c r="N25" s="80"/>
      <c r="O25" s="77">
        <v>0.3</v>
      </c>
      <c r="P25" s="81">
        <v>0.3</v>
      </c>
      <c r="Q25" s="81">
        <v>0.3</v>
      </c>
      <c r="R25" s="80"/>
      <c r="S25" s="80"/>
      <c r="T25" s="80"/>
      <c r="U25" s="80"/>
      <c r="V25" s="77"/>
      <c r="W25" s="117">
        <f t="shared" si="0"/>
        <v>1.3</v>
      </c>
      <c r="X25" s="118">
        <f t="shared" si="1"/>
        <v>0.6</v>
      </c>
      <c r="Y25" s="69">
        <f t="shared" si="2"/>
        <v>1.9</v>
      </c>
      <c r="Z25" s="70">
        <f>'[1]cálculos teóricos'!I110</f>
        <v>11.397765193591368</v>
      </c>
      <c r="AA25" s="71">
        <f t="shared" si="3"/>
        <v>16.669934568123185</v>
      </c>
      <c r="AB25" s="3"/>
    </row>
    <row r="26" spans="1:28" ht="18" customHeight="1">
      <c r="A26" s="84">
        <v>18</v>
      </c>
      <c r="B26" s="75">
        <v>19.600000000000001</v>
      </c>
      <c r="C26" s="73">
        <f>'[1]cálculos teóricos'!K111</f>
        <v>0.98893481234793812</v>
      </c>
      <c r="D26" s="58">
        <f t="shared" si="4"/>
        <v>282.28610193673228</v>
      </c>
      <c r="E26" s="59">
        <f t="shared" si="5"/>
        <v>11.818754515887106</v>
      </c>
      <c r="F26" s="60">
        <f t="shared" si="6"/>
        <v>15.102525624858886</v>
      </c>
      <c r="G26" s="61">
        <f>'[1]cálculos teóricos'!T111</f>
        <v>29.380996838923444</v>
      </c>
      <c r="H26" s="74">
        <f t="shared" si="7"/>
        <v>51.402359517126108</v>
      </c>
      <c r="I26" s="78"/>
      <c r="J26" s="80"/>
      <c r="K26" s="80"/>
      <c r="L26" s="80">
        <v>0.2</v>
      </c>
      <c r="M26" s="80">
        <v>0.5</v>
      </c>
      <c r="N26" s="80">
        <v>0.5</v>
      </c>
      <c r="O26" s="77">
        <v>1</v>
      </c>
      <c r="P26" s="81">
        <v>0.3</v>
      </c>
      <c r="Q26" s="81">
        <v>0.9</v>
      </c>
      <c r="R26" s="80">
        <v>1</v>
      </c>
      <c r="S26" s="80">
        <v>0.4</v>
      </c>
      <c r="T26" s="80">
        <v>0.2</v>
      </c>
      <c r="U26" s="80"/>
      <c r="V26" s="77"/>
      <c r="W26" s="117">
        <f t="shared" si="0"/>
        <v>2.2000000000000002</v>
      </c>
      <c r="X26" s="118">
        <f t="shared" si="1"/>
        <v>2.8000000000000003</v>
      </c>
      <c r="Y26" s="69">
        <f t="shared" si="2"/>
        <v>5</v>
      </c>
      <c r="Z26" s="70">
        <f>'[1]cálculos teóricos'!I111</f>
        <v>11.376442318922143</v>
      </c>
      <c r="AA26" s="71">
        <f t="shared" si="3"/>
        <v>43.950471156379258</v>
      </c>
      <c r="AB26" s="3"/>
    </row>
    <row r="27" spans="1:28" ht="18" customHeight="1">
      <c r="A27" s="84">
        <v>19</v>
      </c>
      <c r="B27" s="75">
        <v>20.100000000000001</v>
      </c>
      <c r="C27" s="73">
        <f>'[1]cálculos teóricos'!K112</f>
        <v>0.9879782279816971</v>
      </c>
      <c r="D27" s="58">
        <f t="shared" si="4"/>
        <v>289.20726055655007</v>
      </c>
      <c r="E27" s="59">
        <f t="shared" si="5"/>
        <v>12.108529584981639</v>
      </c>
      <c r="F27" s="60">
        <f t="shared" si="6"/>
        <v>15.464744461227047</v>
      </c>
      <c r="G27" s="61">
        <f>'[1]cálculos teóricos'!T112</f>
        <v>29.192597387108517</v>
      </c>
      <c r="H27" s="74">
        <f t="shared" si="7"/>
        <v>52.974883516381773</v>
      </c>
      <c r="I27" s="78"/>
      <c r="J27" s="80"/>
      <c r="K27" s="80">
        <v>0.9</v>
      </c>
      <c r="L27" s="80">
        <v>0.4</v>
      </c>
      <c r="M27" s="80">
        <v>0.3</v>
      </c>
      <c r="N27" s="80">
        <v>0.9</v>
      </c>
      <c r="O27" s="77">
        <v>1</v>
      </c>
      <c r="P27" s="81">
        <v>1</v>
      </c>
      <c r="Q27" s="81">
        <v>0.9</v>
      </c>
      <c r="R27" s="80">
        <v>1</v>
      </c>
      <c r="S27" s="80">
        <v>0.7</v>
      </c>
      <c r="T27" s="80"/>
      <c r="U27" s="80"/>
      <c r="V27" s="77"/>
      <c r="W27" s="117">
        <f t="shared" si="0"/>
        <v>3.5</v>
      </c>
      <c r="X27" s="118">
        <f t="shared" si="1"/>
        <v>3.5999999999999996</v>
      </c>
      <c r="Y27" s="69">
        <f t="shared" si="2"/>
        <v>7.1</v>
      </c>
      <c r="Z27" s="70">
        <f>'[1]cálculos teóricos'!I112</f>
        <v>11.355240385788584</v>
      </c>
      <c r="AA27" s="71">
        <f t="shared" si="3"/>
        <v>62.526197233885583</v>
      </c>
      <c r="AB27" s="3"/>
    </row>
    <row r="28" spans="1:28" ht="18" customHeight="1">
      <c r="A28" s="84">
        <v>20</v>
      </c>
      <c r="B28" s="75">
        <v>23</v>
      </c>
      <c r="C28" s="73">
        <f>'[1]cálculos teóricos'!K113</f>
        <v>0.98702181333694017</v>
      </c>
      <c r="D28" s="58">
        <f t="shared" si="4"/>
        <v>330.61332010624812</v>
      </c>
      <c r="E28" s="59">
        <f t="shared" si="5"/>
        <v>13.842118486208397</v>
      </c>
      <c r="F28" s="60">
        <f t="shared" si="6"/>
        <v>17.631730587760494</v>
      </c>
      <c r="G28" s="61">
        <f>'[1]cálculos teóricos'!T113</f>
        <v>29.005129773706106</v>
      </c>
      <c r="H28" s="74">
        <f t="shared" si="7"/>
        <v>60.78831822274455</v>
      </c>
      <c r="I28" s="78"/>
      <c r="J28" s="80"/>
      <c r="K28" s="80"/>
      <c r="L28" s="80">
        <v>1</v>
      </c>
      <c r="M28" s="80">
        <v>0.9</v>
      </c>
      <c r="N28" s="80">
        <v>1</v>
      </c>
      <c r="O28" s="77">
        <v>0.7</v>
      </c>
      <c r="P28" s="81">
        <v>0.8</v>
      </c>
      <c r="Q28" s="81">
        <v>0.9</v>
      </c>
      <c r="R28" s="80">
        <v>1</v>
      </c>
      <c r="S28" s="80">
        <v>1</v>
      </c>
      <c r="T28" s="80">
        <v>0.6</v>
      </c>
      <c r="U28" s="80"/>
      <c r="V28" s="77"/>
      <c r="W28" s="117">
        <f t="shared" si="0"/>
        <v>3.5999999999999996</v>
      </c>
      <c r="X28" s="118">
        <f t="shared" si="1"/>
        <v>4.3</v>
      </c>
      <c r="Y28" s="69">
        <f t="shared" si="2"/>
        <v>7.8999999999999995</v>
      </c>
      <c r="Z28" s="70">
        <f>'[1]cálculos teóricos'!I113</f>
        <v>11.334164319368824</v>
      </c>
      <c r="AA28" s="71">
        <f t="shared" si="3"/>
        <v>69.700771732237726</v>
      </c>
      <c r="AB28" s="3"/>
    </row>
    <row r="29" spans="1:28" ht="18" customHeight="1">
      <c r="A29" s="84">
        <v>21</v>
      </c>
      <c r="B29" s="75">
        <v>19.7</v>
      </c>
      <c r="C29" s="73">
        <f>'[1]cálculos teóricos'!K114</f>
        <v>0.98606602575038249</v>
      </c>
      <c r="D29" s="58">
        <f t="shared" si="4"/>
        <v>282.90327955050918</v>
      </c>
      <c r="E29" s="59">
        <f t="shared" si="5"/>
        <v>11.844594508220718</v>
      </c>
      <c r="F29" s="60">
        <f t="shared" si="6"/>
        <v>15.134825615275897</v>
      </c>
      <c r="G29" s="61">
        <f>'[1]cálculos teóricos'!T114</f>
        <v>28.818668858789103</v>
      </c>
      <c r="H29" s="74">
        <f t="shared" si="7"/>
        <v>52.517434755353335</v>
      </c>
      <c r="I29" s="78"/>
      <c r="J29" s="80">
        <v>0.1</v>
      </c>
      <c r="K29" s="80">
        <v>0.5</v>
      </c>
      <c r="L29" s="80">
        <v>0.2</v>
      </c>
      <c r="M29" s="80">
        <v>0.5</v>
      </c>
      <c r="N29" s="80">
        <v>0.5</v>
      </c>
      <c r="O29" s="77">
        <v>0.7</v>
      </c>
      <c r="P29" s="81">
        <v>1</v>
      </c>
      <c r="Q29" s="81">
        <v>1</v>
      </c>
      <c r="R29" s="80">
        <v>0.9</v>
      </c>
      <c r="S29" s="80">
        <v>0.9</v>
      </c>
      <c r="T29" s="80">
        <v>0.9</v>
      </c>
      <c r="U29" s="80"/>
      <c r="V29" s="77"/>
      <c r="W29" s="117">
        <f t="shared" si="0"/>
        <v>2.5</v>
      </c>
      <c r="X29" s="118">
        <f t="shared" si="1"/>
        <v>4.7</v>
      </c>
      <c r="Y29" s="69">
        <f t="shared" si="2"/>
        <v>7.2</v>
      </c>
      <c r="Z29" s="70">
        <f>'[1]cálculos teóricos'!I114</f>
        <v>11.313219162761063</v>
      </c>
      <c r="AA29" s="71">
        <f t="shared" si="3"/>
        <v>63.64236294210351</v>
      </c>
      <c r="AB29" s="3"/>
    </row>
    <row r="30" spans="1:28" ht="18" customHeight="1">
      <c r="A30" s="84">
        <v>22</v>
      </c>
      <c r="B30" s="75">
        <v>13.4</v>
      </c>
      <c r="C30" s="73">
        <f>'[1]cálculos teóricos'!K115</f>
        <v>0.98511132867754536</v>
      </c>
      <c r="D30" s="58">
        <f t="shared" si="4"/>
        <v>192.24536239161878</v>
      </c>
      <c r="E30" s="59">
        <f t="shared" si="5"/>
        <v>8.0489288326122956</v>
      </c>
      <c r="F30" s="60">
        <f t="shared" si="6"/>
        <v>10.390243520765369</v>
      </c>
      <c r="G30" s="61">
        <f>'[1]cálculos teóricos'!T115</f>
        <v>28.633289479940686</v>
      </c>
      <c r="H30" s="74">
        <f t="shared" si="7"/>
        <v>36.287285566837681</v>
      </c>
      <c r="I30" s="78"/>
      <c r="J30" s="80"/>
      <c r="K30" s="80">
        <v>0.1</v>
      </c>
      <c r="L30" s="80"/>
      <c r="M30" s="80"/>
      <c r="N30" s="80"/>
      <c r="O30" s="77"/>
      <c r="P30" s="81"/>
      <c r="Q30" s="81">
        <v>0.2</v>
      </c>
      <c r="R30" s="80">
        <v>0.2</v>
      </c>
      <c r="S30" s="80">
        <v>0.3</v>
      </c>
      <c r="T30" s="80">
        <v>0.3</v>
      </c>
      <c r="U30" s="156"/>
      <c r="V30" s="77"/>
      <c r="W30" s="117">
        <f t="shared" si="0"/>
        <v>0.1</v>
      </c>
      <c r="X30" s="118">
        <f t="shared" si="1"/>
        <v>1</v>
      </c>
      <c r="Y30" s="69">
        <f t="shared" si="2"/>
        <v>1.1000000000000001</v>
      </c>
      <c r="Z30" s="70">
        <f>'[1]cálculos teóricos'!I115</f>
        <v>11.292410079000071</v>
      </c>
      <c r="AA30" s="71">
        <f t="shared" si="3"/>
        <v>9.741056092583948</v>
      </c>
      <c r="AB30" s="3"/>
    </row>
    <row r="31" spans="1:28" ht="18" customHeight="1">
      <c r="A31" s="84">
        <v>23</v>
      </c>
      <c r="B31" s="75">
        <v>22.1</v>
      </c>
      <c r="C31" s="73">
        <f>'[1]cálculos teóricos'!K116</f>
        <v>0.98415819146685024</v>
      </c>
      <c r="D31" s="58">
        <f t="shared" si="4"/>
        <v>316.75461085354721</v>
      </c>
      <c r="E31" s="59">
        <f t="shared" si="5"/>
        <v>13.261882047216313</v>
      </c>
      <c r="F31" s="60">
        <f t="shared" si="6"/>
        <v>16.906435039020391</v>
      </c>
      <c r="G31" s="61">
        <f>'[1]cálculos teóricos'!T116</f>
        <v>28.449066415364875</v>
      </c>
      <c r="H31" s="74">
        <f t="shared" si="7"/>
        <v>59.427029316819699</v>
      </c>
      <c r="I31" s="78"/>
      <c r="J31" s="80"/>
      <c r="K31" s="80">
        <v>0.9</v>
      </c>
      <c r="L31" s="80">
        <v>0.9</v>
      </c>
      <c r="M31" s="80">
        <v>1</v>
      </c>
      <c r="N31" s="80">
        <v>1</v>
      </c>
      <c r="O31" s="77">
        <v>1</v>
      </c>
      <c r="P31" s="81">
        <v>1</v>
      </c>
      <c r="Q31" s="81">
        <v>1</v>
      </c>
      <c r="R31" s="80">
        <v>0.9</v>
      </c>
      <c r="S31" s="80">
        <v>0.5</v>
      </c>
      <c r="T31" s="80">
        <v>0.8</v>
      </c>
      <c r="U31" s="80">
        <v>0.1</v>
      </c>
      <c r="V31" s="77"/>
      <c r="W31" s="117">
        <f t="shared" si="0"/>
        <v>4.8</v>
      </c>
      <c r="X31" s="118">
        <f t="shared" si="1"/>
        <v>4.3</v>
      </c>
      <c r="Y31" s="69">
        <f t="shared" si="2"/>
        <v>9.1</v>
      </c>
      <c r="Z31" s="70">
        <f>'[1]cálculos teóricos'!I116</f>
        <v>11.27174235273929</v>
      </c>
      <c r="AA31" s="71">
        <f t="shared" si="3"/>
        <v>80.732860237782958</v>
      </c>
      <c r="AB31" s="3"/>
    </row>
    <row r="32" spans="1:28" ht="18" customHeight="1">
      <c r="A32" s="84">
        <v>24</v>
      </c>
      <c r="B32" s="75">
        <v>22.1</v>
      </c>
      <c r="C32" s="73">
        <f>'[1]cálculos teóricos'!K117</f>
        <v>0.98320708911994803</v>
      </c>
      <c r="D32" s="58">
        <f t="shared" si="4"/>
        <v>316.44849537700384</v>
      </c>
      <c r="E32" s="59">
        <f t="shared" si="5"/>
        <v>13.249065604444397</v>
      </c>
      <c r="F32" s="60">
        <f t="shared" si="6"/>
        <v>16.890414485555496</v>
      </c>
      <c r="G32" s="61">
        <f>'[1]cálculos teóricos'!T117</f>
        <v>28.266074346361314</v>
      </c>
      <c r="H32" s="74">
        <f t="shared" si="7"/>
        <v>59.755076982346488</v>
      </c>
      <c r="I32" s="78"/>
      <c r="J32" s="80"/>
      <c r="K32" s="80">
        <v>0.1</v>
      </c>
      <c r="L32" s="80">
        <v>0.2</v>
      </c>
      <c r="M32" s="80">
        <v>0.9</v>
      </c>
      <c r="N32" s="80">
        <v>1</v>
      </c>
      <c r="O32" s="77">
        <v>1</v>
      </c>
      <c r="P32" s="81">
        <v>1</v>
      </c>
      <c r="Q32" s="81">
        <v>1</v>
      </c>
      <c r="R32" s="80">
        <v>1</v>
      </c>
      <c r="S32" s="80">
        <v>1</v>
      </c>
      <c r="T32" s="80">
        <v>0.8</v>
      </c>
      <c r="U32" s="80"/>
      <c r="V32" s="77"/>
      <c r="W32" s="117">
        <f t="shared" si="0"/>
        <v>3.2</v>
      </c>
      <c r="X32" s="118">
        <f t="shared" si="1"/>
        <v>4.8</v>
      </c>
      <c r="Y32" s="69">
        <f t="shared" si="2"/>
        <v>8</v>
      </c>
      <c r="Z32" s="70">
        <f>'[1]cálculos teóricos'!I117</f>
        <v>11.251221391583176</v>
      </c>
      <c r="AA32" s="71">
        <f t="shared" si="3"/>
        <v>71.103391548091366</v>
      </c>
      <c r="AB32" s="3"/>
    </row>
    <row r="33" spans="1:28" ht="18" customHeight="1">
      <c r="A33" s="84">
        <v>25</v>
      </c>
      <c r="B33" s="75">
        <v>24.2</v>
      </c>
      <c r="C33" s="73">
        <f>'[1]cálculos teóricos'!K118</f>
        <v>0.98225850203790688</v>
      </c>
      <c r="D33" s="58">
        <f t="shared" si="4"/>
        <v>346.18394500518315</v>
      </c>
      <c r="E33" s="59">
        <f t="shared" si="5"/>
        <v>14.494029409477006</v>
      </c>
      <c r="F33" s="60">
        <f t="shared" si="6"/>
        <v>18.44661924184626</v>
      </c>
      <c r="G33" s="61">
        <f>'[1]cálculos teóricos'!T118</f>
        <v>28.08438781916194</v>
      </c>
      <c r="H33" s="74">
        <f t="shared" si="7"/>
        <v>65.682824780179672</v>
      </c>
      <c r="I33" s="78"/>
      <c r="J33" s="80"/>
      <c r="K33" s="80">
        <v>0.4</v>
      </c>
      <c r="L33" s="80">
        <v>1</v>
      </c>
      <c r="M33" s="80">
        <v>1</v>
      </c>
      <c r="N33" s="80">
        <v>1</v>
      </c>
      <c r="O33" s="77">
        <v>1</v>
      </c>
      <c r="P33" s="78">
        <v>1</v>
      </c>
      <c r="Q33" s="81">
        <v>1</v>
      </c>
      <c r="R33" s="80">
        <v>1</v>
      </c>
      <c r="S33" s="80">
        <v>0.1</v>
      </c>
      <c r="T33" s="80"/>
      <c r="U33" s="80"/>
      <c r="V33" s="77"/>
      <c r="W33" s="117">
        <f t="shared" si="0"/>
        <v>4.4000000000000004</v>
      </c>
      <c r="X33" s="118">
        <f t="shared" si="1"/>
        <v>3.1</v>
      </c>
      <c r="Y33" s="69">
        <f t="shared" si="2"/>
        <v>7.5</v>
      </c>
      <c r="Z33" s="70">
        <f>'[1]cálculos teóricos'!I118</f>
        <v>11.230852727054316</v>
      </c>
      <c r="AA33" s="71">
        <f t="shared" si="3"/>
        <v>66.780325432752221</v>
      </c>
      <c r="AB33" s="3"/>
    </row>
    <row r="34" spans="1:28" ht="18" customHeight="1">
      <c r="A34" s="84">
        <v>26</v>
      </c>
      <c r="B34" s="75">
        <v>17.100000000000001</v>
      </c>
      <c r="C34" s="73">
        <f>'[1]cálculos teóricos'!K119</f>
        <v>0.98131291575291579</v>
      </c>
      <c r="D34" s="58">
        <f t="shared" si="4"/>
        <v>244.38209609050583</v>
      </c>
      <c r="E34" s="59">
        <f t="shared" si="5"/>
        <v>10.231789599117297</v>
      </c>
      <c r="F34" s="60">
        <f t="shared" si="6"/>
        <v>13.11881947889662</v>
      </c>
      <c r="G34" s="61">
        <f>'[1]cálculos teóricos'!T119</f>
        <v>27.904081206131991</v>
      </c>
      <c r="H34" s="74">
        <f t="shared" si="7"/>
        <v>47.013981152024918</v>
      </c>
      <c r="I34" s="78"/>
      <c r="J34" s="80"/>
      <c r="K34" s="80">
        <v>0.1</v>
      </c>
      <c r="L34" s="80">
        <v>0.3</v>
      </c>
      <c r="M34" s="80">
        <v>0.8</v>
      </c>
      <c r="N34" s="80">
        <v>0.6</v>
      </c>
      <c r="O34" s="77">
        <v>0.7</v>
      </c>
      <c r="P34" s="81">
        <v>0.7</v>
      </c>
      <c r="Q34" s="80">
        <v>0.3</v>
      </c>
      <c r="R34" s="80">
        <v>0.6</v>
      </c>
      <c r="S34" s="80">
        <v>0.1</v>
      </c>
      <c r="T34" s="80">
        <v>0.1</v>
      </c>
      <c r="U34" s="80"/>
      <c r="V34" s="77"/>
      <c r="W34" s="117">
        <f t="shared" si="0"/>
        <v>2.5</v>
      </c>
      <c r="X34" s="118">
        <f t="shared" si="1"/>
        <v>1.8000000000000003</v>
      </c>
      <c r="Y34" s="69">
        <f t="shared" si="2"/>
        <v>4.3000000000000007</v>
      </c>
      <c r="Z34" s="70">
        <f>'[1]cálculos teóricos'!I119</f>
        <v>11.210642015179907</v>
      </c>
      <c r="AA34" s="71">
        <f t="shared" si="3"/>
        <v>38.356411650443683</v>
      </c>
      <c r="AB34" s="3"/>
    </row>
    <row r="35" spans="1:28" ht="18" customHeight="1">
      <c r="A35" s="84">
        <v>27</v>
      </c>
      <c r="B35" s="75">
        <v>12.6</v>
      </c>
      <c r="C35" s="73">
        <f>'[1]cálculos teóricos'!K120</f>
        <v>0.98037082064520997</v>
      </c>
      <c r="D35" s="58">
        <f t="shared" si="4"/>
        <v>179.8981436254781</v>
      </c>
      <c r="E35" s="59">
        <f t="shared" si="5"/>
        <v>7.5319754773115166</v>
      </c>
      <c r="F35" s="60">
        <f t="shared" si="6"/>
        <v>9.7440518266393958</v>
      </c>
      <c r="G35" s="61">
        <f>'[1]cálculos teóricos'!T120</f>
        <v>27.725228666343192</v>
      </c>
      <c r="H35" s="74">
        <f t="shared" si="7"/>
        <v>35.145072900582086</v>
      </c>
      <c r="I35" s="78"/>
      <c r="J35" s="80"/>
      <c r="K35" s="80">
        <v>0.6</v>
      </c>
      <c r="L35" s="80"/>
      <c r="M35" s="80"/>
      <c r="N35" s="80">
        <v>0.1</v>
      </c>
      <c r="O35" s="77"/>
      <c r="P35" s="81">
        <v>0.3</v>
      </c>
      <c r="Q35" s="80">
        <v>0.4</v>
      </c>
      <c r="R35" s="80">
        <v>0.6</v>
      </c>
      <c r="S35" s="80">
        <v>0.4</v>
      </c>
      <c r="T35" s="80"/>
      <c r="U35" s="80"/>
      <c r="V35" s="77"/>
      <c r="W35" s="117">
        <f t="shared" si="0"/>
        <v>0.7</v>
      </c>
      <c r="X35" s="118">
        <f t="shared" si="1"/>
        <v>1.6999999999999997</v>
      </c>
      <c r="Y35" s="69">
        <f t="shared" si="2"/>
        <v>2.3999999999999995</v>
      </c>
      <c r="Z35" s="70">
        <f>'[1]cálculos teóricos'!I120</f>
        <v>11.190595036682291</v>
      </c>
      <c r="AA35" s="71">
        <f t="shared" si="3"/>
        <v>21.446580741532529</v>
      </c>
      <c r="AB35" s="3"/>
    </row>
    <row r="36" spans="1:28" ht="18" customHeight="1">
      <c r="A36" s="84">
        <v>28</v>
      </c>
      <c r="B36" s="75">
        <v>23.1</v>
      </c>
      <c r="C36" s="73">
        <f>'[1]cálculos teóricos'!K121</f>
        <v>0.97943271164497014</v>
      </c>
      <c r="D36" s="58">
        <f t="shared" si="4"/>
        <v>329.49766763855916</v>
      </c>
      <c r="E36" s="59">
        <f t="shared" si="5"/>
        <v>13.795408348691193</v>
      </c>
      <c r="F36" s="60">
        <f t="shared" si="6"/>
        <v>17.573342915863993</v>
      </c>
      <c r="G36" s="61">
        <f>'[1]cálculos teóricos'!T121</f>
        <v>27.547904105531607</v>
      </c>
      <c r="H36" s="74">
        <f t="shared" si="7"/>
        <v>63.791941661127218</v>
      </c>
      <c r="I36" s="78"/>
      <c r="J36" s="80"/>
      <c r="K36" s="80">
        <v>0.1</v>
      </c>
      <c r="L36" s="80">
        <v>0.8</v>
      </c>
      <c r="M36" s="80">
        <v>1</v>
      </c>
      <c r="N36" s="80">
        <v>1</v>
      </c>
      <c r="O36" s="77">
        <v>1</v>
      </c>
      <c r="P36" s="81">
        <v>1</v>
      </c>
      <c r="Q36" s="80">
        <v>0.8</v>
      </c>
      <c r="R36" s="80">
        <v>0.8</v>
      </c>
      <c r="S36" s="80">
        <v>1</v>
      </c>
      <c r="T36" s="80">
        <v>0.8</v>
      </c>
      <c r="U36" s="80"/>
      <c r="V36" s="77"/>
      <c r="W36" s="117">
        <f t="shared" si="0"/>
        <v>3.9</v>
      </c>
      <c r="X36" s="118">
        <f t="shared" si="1"/>
        <v>4.4000000000000004</v>
      </c>
      <c r="Y36" s="69">
        <f t="shared" si="2"/>
        <v>8.3000000000000007</v>
      </c>
      <c r="Z36" s="70">
        <f>'[1]cálculos teóricos'!I121</f>
        <v>11.170717696758381</v>
      </c>
      <c r="AA36" s="71">
        <f t="shared" si="3"/>
        <v>74.301403233997846</v>
      </c>
      <c r="AB36" s="3"/>
    </row>
    <row r="37" spans="1:28" ht="18" customHeight="1">
      <c r="A37" s="84">
        <v>29</v>
      </c>
      <c r="B37" s="75">
        <v>19.100000000000001</v>
      </c>
      <c r="C37" s="73">
        <f>'[1]cálculos teóricos'!K122</f>
        <v>0.97849908791898976</v>
      </c>
      <c r="D37" s="58">
        <f t="shared" si="4"/>
        <v>272.18209501794678</v>
      </c>
      <c r="E37" s="59">
        <f t="shared" si="5"/>
        <v>11.395719954211394</v>
      </c>
      <c r="F37" s="60">
        <f t="shared" si="6"/>
        <v>14.573732422764245</v>
      </c>
      <c r="G37" s="61">
        <f>'[1]cálculos teóricos'!T122</f>
        <v>27.372181135458487</v>
      </c>
      <c r="H37" s="74">
        <f t="shared" si="7"/>
        <v>53.242861248952977</v>
      </c>
      <c r="I37" s="78"/>
      <c r="J37" s="80"/>
      <c r="K37" s="80">
        <v>0.5</v>
      </c>
      <c r="L37" s="80">
        <v>0.9</v>
      </c>
      <c r="M37" s="80">
        <v>0.3</v>
      </c>
      <c r="N37" s="80">
        <v>0.8</v>
      </c>
      <c r="O37" s="77">
        <v>0.6</v>
      </c>
      <c r="P37" s="81">
        <v>1</v>
      </c>
      <c r="Q37" s="80">
        <v>0.9</v>
      </c>
      <c r="R37" s="80">
        <v>1</v>
      </c>
      <c r="S37" s="80">
        <v>0.9</v>
      </c>
      <c r="T37" s="80">
        <v>0.6</v>
      </c>
      <c r="U37" s="80"/>
      <c r="V37" s="77"/>
      <c r="W37" s="117">
        <f t="shared" si="0"/>
        <v>3.1</v>
      </c>
      <c r="X37" s="118">
        <f t="shared" si="1"/>
        <v>4.3999999999999995</v>
      </c>
      <c r="Y37" s="69">
        <f t="shared" si="2"/>
        <v>7.5</v>
      </c>
      <c r="Z37" s="70">
        <f>'[1]cálculos teóricos'!I122</f>
        <v>11.15101602443325</v>
      </c>
      <c r="AA37" s="71">
        <f t="shared" si="3"/>
        <v>67.258445181735695</v>
      </c>
      <c r="AB37" s="3"/>
    </row>
    <row r="38" spans="1:28" ht="18" customHeight="1" thickBot="1">
      <c r="A38" s="79">
        <v>30</v>
      </c>
      <c r="B38" s="75">
        <v>21.9</v>
      </c>
      <c r="C38" s="73">
        <f>'[1]cálculos teóricos'!K123</f>
        <v>0.97757045254197084</v>
      </c>
      <c r="D38" s="58">
        <f t="shared" si="4"/>
        <v>311.78695555453032</v>
      </c>
      <c r="E38" s="59">
        <f t="shared" si="5"/>
        <v>13.053896255157076</v>
      </c>
      <c r="F38" s="60">
        <f t="shared" si="6"/>
        <v>16.646452798946346</v>
      </c>
      <c r="G38" s="61">
        <f>'[1]cálculos teóricos'!T123</f>
        <v>27.198133032696809</v>
      </c>
      <c r="H38" s="74">
        <f t="shared" si="7"/>
        <v>61.204395091878041</v>
      </c>
      <c r="I38" s="78"/>
      <c r="J38" s="80">
        <v>0.4</v>
      </c>
      <c r="K38" s="80">
        <v>0.8</v>
      </c>
      <c r="L38" s="80">
        <v>0.6</v>
      </c>
      <c r="M38" s="80">
        <v>0.8</v>
      </c>
      <c r="N38" s="80">
        <v>0.9</v>
      </c>
      <c r="O38" s="77">
        <v>0.8</v>
      </c>
      <c r="P38" s="81">
        <v>1</v>
      </c>
      <c r="Q38" s="80">
        <v>1</v>
      </c>
      <c r="R38" s="80">
        <v>1</v>
      </c>
      <c r="S38" s="80">
        <v>0.9</v>
      </c>
      <c r="T38" s="80">
        <v>0.3</v>
      </c>
      <c r="U38" s="80"/>
      <c r="V38" s="77"/>
      <c r="W38" s="117">
        <f t="shared" si="0"/>
        <v>4.3000000000000007</v>
      </c>
      <c r="X38" s="118">
        <f t="shared" si="1"/>
        <v>4.2</v>
      </c>
      <c r="Y38" s="99">
        <f t="shared" si="2"/>
        <v>8.5</v>
      </c>
      <c r="Z38" s="70">
        <f>'[1]cálculos teóricos'!I123</f>
        <v>11.131496171473273</v>
      </c>
      <c r="AA38" s="71">
        <f t="shared" si="3"/>
        <v>76.359905883837811</v>
      </c>
      <c r="AB38" s="3"/>
    </row>
    <row r="39" spans="1:28" ht="18" customHeight="1" thickTop="1" thickBot="1">
      <c r="A39" s="86"/>
      <c r="B39" s="87"/>
      <c r="C39" s="88"/>
      <c r="D39" s="89"/>
      <c r="E39" s="123"/>
      <c r="F39" s="91"/>
      <c r="G39" s="92"/>
      <c r="H39" s="93"/>
      <c r="I39" s="94"/>
      <c r="J39" s="94"/>
      <c r="K39" s="94"/>
      <c r="L39" s="94"/>
      <c r="M39" s="94"/>
      <c r="N39" s="94"/>
      <c r="O39" s="95"/>
      <c r="P39" s="94"/>
      <c r="Q39" s="94"/>
      <c r="R39" s="94"/>
      <c r="S39" s="94"/>
      <c r="T39" s="94"/>
      <c r="U39" s="94"/>
      <c r="V39" s="95"/>
      <c r="W39" s="117"/>
      <c r="X39" s="118"/>
      <c r="Y39" s="127"/>
      <c r="Z39" s="157"/>
      <c r="AA39" s="158"/>
      <c r="AB39" s="3"/>
    </row>
    <row r="40" spans="1:28" s="107" customFormat="1" ht="15.75" thickTop="1">
      <c r="A40" s="102"/>
      <c r="B40" s="102"/>
      <c r="C40" s="102"/>
      <c r="D40" s="102"/>
      <c r="E40" s="102"/>
      <c r="F40" s="102"/>
      <c r="G40" s="102"/>
      <c r="H40" s="102"/>
      <c r="I40" s="5">
        <f>SUM(I9:I39)</f>
        <v>0</v>
      </c>
      <c r="J40" s="5">
        <f t="shared" ref="J40:V40" si="8">SUM(J9:J39)</f>
        <v>5.4</v>
      </c>
      <c r="K40" s="5">
        <f t="shared" si="8"/>
        <v>17.400000000000002</v>
      </c>
      <c r="L40" s="5">
        <f t="shared" si="8"/>
        <v>21.9</v>
      </c>
      <c r="M40" s="5">
        <f t="shared" si="8"/>
        <v>22.3</v>
      </c>
      <c r="N40" s="5">
        <f t="shared" si="8"/>
        <v>21.7</v>
      </c>
      <c r="O40" s="5">
        <f t="shared" si="8"/>
        <v>22.1</v>
      </c>
      <c r="P40" s="5">
        <f t="shared" si="8"/>
        <v>23.6</v>
      </c>
      <c r="Q40" s="5">
        <f t="shared" si="8"/>
        <v>23.400000000000002</v>
      </c>
      <c r="R40" s="5">
        <f t="shared" si="8"/>
        <v>22.1</v>
      </c>
      <c r="S40" s="5">
        <f t="shared" si="8"/>
        <v>18.399999999999995</v>
      </c>
      <c r="T40" s="5">
        <f t="shared" si="8"/>
        <v>13.900000000000002</v>
      </c>
      <c r="U40" s="5">
        <f t="shared" si="8"/>
        <v>1.3</v>
      </c>
      <c r="V40" s="5">
        <f t="shared" si="8"/>
        <v>0</v>
      </c>
      <c r="W40" s="105">
        <f>SUM(W9:W38)</f>
        <v>110.79999999999998</v>
      </c>
      <c r="X40" s="105">
        <f>SUM(X9:X38)</f>
        <v>102.7</v>
      </c>
      <c r="Y40" s="105">
        <f>SUM(Y9:Y38)</f>
        <v>213.5</v>
      </c>
      <c r="Z40" s="106"/>
      <c r="AA40" s="106"/>
      <c r="AB40" s="102"/>
    </row>
    <row r="41" spans="1:28" s="107" customFormat="1" ht="15">
      <c r="A41" s="102"/>
      <c r="B41" s="102" t="s">
        <v>50</v>
      </c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</row>
    <row r="42" spans="1:28" s="107" customFormat="1" ht="1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</row>
    <row r="43" spans="1:28" s="107" customFormat="1" ht="15">
      <c r="A43" s="102"/>
      <c r="B43" s="102" t="s">
        <v>51</v>
      </c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</row>
    <row r="44" spans="1:28" s="107" customFormat="1" ht="15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</row>
    <row r="45" spans="1:28" s="107" customFormat="1" ht="15">
      <c r="A45" s="102"/>
      <c r="B45" s="102" t="s">
        <v>52</v>
      </c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</row>
    <row r="46" spans="1:28" s="107" customFormat="1" ht="1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</row>
    <row r="47" spans="1:28" s="107" customFormat="1" ht="15">
      <c r="A47" s="102"/>
      <c r="B47" s="102" t="s">
        <v>53</v>
      </c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</row>
    <row r="48" spans="1:28" s="107" customFormat="1" ht="15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</row>
    <row r="49" spans="1:28" s="107" customFormat="1" ht="15">
      <c r="A49" s="102"/>
      <c r="B49" s="102" t="s">
        <v>54</v>
      </c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2" t="s">
        <v>55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2" t="s">
        <v>56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7" t="s">
        <v>57</v>
      </c>
    </row>
    <row r="56" spans="1:28" ht="15">
      <c r="B56" s="107" t="s">
        <v>71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55"/>
  <sheetViews>
    <sheetView zoomScale="75" zoomScaleNormal="75" workbookViewId="0">
      <selection activeCell="A8" sqref="A8"/>
    </sheetView>
  </sheetViews>
  <sheetFormatPr defaultColWidth="11.42578125" defaultRowHeight="12.75"/>
  <cols>
    <col min="1" max="1" width="8.7109375" style="7" customWidth="1"/>
    <col min="2" max="8" width="12.7109375" style="7" customWidth="1"/>
    <col min="9" max="25" width="8.7109375" style="7" customWidth="1"/>
    <col min="26" max="27" width="12.7109375" style="7" customWidth="1"/>
    <col min="28" max="16384" width="11.42578125" style="7"/>
  </cols>
  <sheetData>
    <row r="1" spans="1:29" ht="18" customHeight="1">
      <c r="A1" s="1" t="s">
        <v>72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6"/>
      <c r="Y1" s="6"/>
      <c r="Z1" s="6"/>
      <c r="AA1" s="6"/>
      <c r="AB1" s="3"/>
    </row>
    <row r="2" spans="1:29" ht="18" customHeight="1">
      <c r="A2" s="3"/>
      <c r="B2" s="8" t="s">
        <v>64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8" t="s">
        <v>64</v>
      </c>
      <c r="W2" s="159"/>
      <c r="X2" s="3"/>
      <c r="Y2" s="3"/>
      <c r="Z2" s="3"/>
      <c r="AA2" s="3"/>
      <c r="AB2" s="3"/>
    </row>
    <row r="3" spans="1:29" ht="18" customHeight="1">
      <c r="A3" s="3"/>
      <c r="B3" s="8" t="s">
        <v>69</v>
      </c>
      <c r="C3" s="3"/>
      <c r="D3" s="3"/>
      <c r="E3" s="3"/>
      <c r="F3" s="3"/>
      <c r="G3" s="4" t="s">
        <v>5</v>
      </c>
      <c r="H3" s="3"/>
      <c r="I3" s="3"/>
      <c r="J3" s="3"/>
      <c r="K3" s="3"/>
      <c r="L3" s="3"/>
      <c r="M3" s="3"/>
      <c r="N3" s="3"/>
      <c r="O3" s="3"/>
      <c r="P3" s="3"/>
      <c r="Q3" s="3"/>
      <c r="R3" s="3" t="s">
        <v>73</v>
      </c>
      <c r="S3" s="3"/>
      <c r="T3" s="3"/>
      <c r="U3" s="3"/>
      <c r="V3" s="8" t="s">
        <v>74</v>
      </c>
      <c r="W3" s="3"/>
      <c r="X3" s="6"/>
      <c r="Y3" s="6"/>
      <c r="Z3" s="6"/>
      <c r="AA3" s="6"/>
      <c r="AB3" s="3"/>
    </row>
    <row r="4" spans="1:29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9" ht="18" customHeight="1" thickTop="1" thickBot="1">
      <c r="A5" s="10" t="s">
        <v>7</v>
      </c>
      <c r="B5" s="11"/>
      <c r="C5" s="12" t="s">
        <v>8</v>
      </c>
      <c r="D5" s="13"/>
      <c r="E5" s="14"/>
      <c r="F5" s="13"/>
      <c r="G5" s="13"/>
      <c r="H5" s="15"/>
      <c r="I5" s="16" t="s">
        <v>9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2"/>
      <c r="Y5" s="17"/>
      <c r="Z5" s="14"/>
      <c r="AA5" s="18"/>
      <c r="AB5" s="3"/>
    </row>
    <row r="6" spans="1:29" ht="18" customHeight="1">
      <c r="A6" s="19"/>
      <c r="B6" s="20" t="s">
        <v>10</v>
      </c>
      <c r="C6" s="21" t="s">
        <v>11</v>
      </c>
      <c r="D6" s="22" t="s">
        <v>12</v>
      </c>
      <c r="E6" s="21" t="s">
        <v>12</v>
      </c>
      <c r="F6" s="23" t="s">
        <v>13</v>
      </c>
      <c r="G6" s="23" t="s">
        <v>14</v>
      </c>
      <c r="H6" s="23" t="s">
        <v>15</v>
      </c>
      <c r="I6" s="24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6"/>
      <c r="V6" s="27"/>
      <c r="W6" s="28"/>
      <c r="X6" s="29"/>
      <c r="Y6" s="30"/>
      <c r="Z6" s="31" t="s">
        <v>16</v>
      </c>
      <c r="AA6" s="32" t="s">
        <v>17</v>
      </c>
      <c r="AB6" s="3"/>
    </row>
    <row r="7" spans="1:29" ht="18" customHeight="1" thickBot="1">
      <c r="A7" s="33"/>
      <c r="B7" s="34" t="s">
        <v>18</v>
      </c>
      <c r="C7" s="35" t="s">
        <v>19</v>
      </c>
      <c r="D7" s="22" t="s">
        <v>20</v>
      </c>
      <c r="E7" s="23" t="s">
        <v>20</v>
      </c>
      <c r="F7" s="23" t="s">
        <v>21</v>
      </c>
      <c r="G7" s="23" t="s">
        <v>22</v>
      </c>
      <c r="H7" s="23" t="s">
        <v>23</v>
      </c>
      <c r="I7" s="36" t="s">
        <v>24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7"/>
      <c r="W7" s="38"/>
      <c r="X7" s="39" t="s">
        <v>25</v>
      </c>
      <c r="Y7" s="40"/>
      <c r="Z7" s="41" t="s">
        <v>26</v>
      </c>
      <c r="AA7" s="42" t="s">
        <v>27</v>
      </c>
      <c r="AB7" s="3"/>
    </row>
    <row r="8" spans="1:29" ht="18" customHeight="1" thickBot="1">
      <c r="A8" s="43"/>
      <c r="B8" s="44" t="s">
        <v>28</v>
      </c>
      <c r="C8" s="45" t="s">
        <v>29</v>
      </c>
      <c r="D8" s="45" t="s">
        <v>30</v>
      </c>
      <c r="E8" s="46" t="s">
        <v>31</v>
      </c>
      <c r="F8" s="46" t="s">
        <v>31</v>
      </c>
      <c r="G8" s="45" t="s">
        <v>31</v>
      </c>
      <c r="H8" s="23" t="s">
        <v>32</v>
      </c>
      <c r="I8" s="47" t="s">
        <v>33</v>
      </c>
      <c r="J8" s="48" t="s">
        <v>34</v>
      </c>
      <c r="K8" s="48" t="s">
        <v>35</v>
      </c>
      <c r="L8" s="48" t="s">
        <v>36</v>
      </c>
      <c r="M8" s="48" t="s">
        <v>37</v>
      </c>
      <c r="N8" s="48" t="s">
        <v>38</v>
      </c>
      <c r="O8" s="49" t="s">
        <v>39</v>
      </c>
      <c r="P8" s="48" t="s">
        <v>40</v>
      </c>
      <c r="Q8" s="48" t="s">
        <v>41</v>
      </c>
      <c r="R8" s="48" t="s">
        <v>42</v>
      </c>
      <c r="S8" s="48" t="s">
        <v>43</v>
      </c>
      <c r="T8" s="48" t="s">
        <v>44</v>
      </c>
      <c r="U8" s="48" t="s">
        <v>45</v>
      </c>
      <c r="V8" s="50" t="s">
        <v>46</v>
      </c>
      <c r="W8" s="53" t="s">
        <v>47</v>
      </c>
      <c r="X8" s="111" t="s">
        <v>48</v>
      </c>
      <c r="Y8" s="52" t="s">
        <v>49</v>
      </c>
      <c r="Z8" s="53" t="s">
        <v>49</v>
      </c>
      <c r="AA8" s="54" t="s">
        <v>49</v>
      </c>
      <c r="AB8" s="160"/>
    </row>
    <row r="9" spans="1:29" ht="18" customHeight="1">
      <c r="A9" s="112">
        <v>1</v>
      </c>
      <c r="B9" s="56">
        <v>24.7</v>
      </c>
      <c r="C9" s="73">
        <f>'[1]cálculos teóricos'!K124</f>
        <v>0.97664731215234668</v>
      </c>
      <c r="D9" s="58">
        <f>IF(B9&gt;0,B9*C9*14.25*1.022,-999)</f>
        <v>351.31805732410828</v>
      </c>
      <c r="E9" s="59">
        <f>IF(B9&gt;0,D9*4.1868/100,-999)</f>
        <v>14.708984424045767</v>
      </c>
      <c r="F9" s="60">
        <f>IF(B9&gt;0,(7.86+1.25*D9)*4.1868/100,-999)</f>
        <v>18.715313010057208</v>
      </c>
      <c r="G9" s="61">
        <f>'[1]cálculos teóricos'!T124</f>
        <v>27.025832696871763</v>
      </c>
      <c r="H9" s="62">
        <f>IF(B9&gt;0,100*F9/G9,-999)</f>
        <v>69.249718297203486</v>
      </c>
      <c r="I9" s="63"/>
      <c r="J9" s="63">
        <v>0.2</v>
      </c>
      <c r="K9" s="63">
        <v>1</v>
      </c>
      <c r="L9" s="63">
        <v>1</v>
      </c>
      <c r="M9" s="63">
        <v>1</v>
      </c>
      <c r="N9" s="152">
        <v>1</v>
      </c>
      <c r="O9" s="64">
        <v>1</v>
      </c>
      <c r="P9" s="63">
        <v>1</v>
      </c>
      <c r="Q9" s="63">
        <v>1</v>
      </c>
      <c r="R9" s="63">
        <v>1</v>
      </c>
      <c r="S9" s="63">
        <v>1</v>
      </c>
      <c r="T9" s="63"/>
      <c r="U9" s="63"/>
      <c r="V9" s="64"/>
      <c r="W9" s="117">
        <f t="shared" ref="W9:W39" si="0">SUM(I9:O9)</f>
        <v>5.2</v>
      </c>
      <c r="X9" s="118">
        <f>SUM(P9:V9)</f>
        <v>4</v>
      </c>
      <c r="Y9" s="119">
        <f>W9+X9</f>
        <v>9.1999999999999993</v>
      </c>
      <c r="Z9" s="70">
        <f>'[1]cálculos teóricos'!I124</f>
        <v>11.112164410845079</v>
      </c>
      <c r="AA9" s="71">
        <f>100*Y9/Z9</f>
        <v>82.792151554391367</v>
      </c>
      <c r="AB9" s="161"/>
      <c r="AC9" s="162"/>
    </row>
    <row r="10" spans="1:29" ht="18" customHeight="1">
      <c r="A10" s="112">
        <v>2</v>
      </c>
      <c r="B10" s="56">
        <v>24.5</v>
      </c>
      <c r="C10" s="73">
        <f>'[1]cálculos teóricos'!K125</f>
        <v>0.97573017659260319</v>
      </c>
      <c r="D10" s="58">
        <f>IF(B10&gt;0,B10*C10*14.25*1.022,-999)</f>
        <v>348.14613745675626</v>
      </c>
      <c r="E10" s="59">
        <f>IF(B10&gt;0,D10*4.1868/100,-999)</f>
        <v>14.576182483039469</v>
      </c>
      <c r="F10" s="60">
        <f>IF(B10&gt;0,(7.86+1.25*D10)*4.1868/100,-999)</f>
        <v>18.54931058379934</v>
      </c>
      <c r="G10" s="61">
        <f>'[1]cálculos teóricos'!T125</f>
        <v>26.855352608387982</v>
      </c>
      <c r="H10" s="74">
        <f>IF(B10&gt;0,100*F10/G10,-999)</f>
        <v>69.071186121777686</v>
      </c>
      <c r="I10" s="56"/>
      <c r="J10" s="81"/>
      <c r="K10" s="81">
        <v>0.3</v>
      </c>
      <c r="L10" s="81">
        <v>1</v>
      </c>
      <c r="M10" s="81">
        <v>1</v>
      </c>
      <c r="N10" s="81">
        <v>1</v>
      </c>
      <c r="O10" s="76">
        <v>1</v>
      </c>
      <c r="P10" s="78">
        <v>1</v>
      </c>
      <c r="Q10" s="78">
        <v>1</v>
      </c>
      <c r="R10" s="75">
        <v>1</v>
      </c>
      <c r="S10" s="75">
        <v>1</v>
      </c>
      <c r="T10" s="75">
        <v>1</v>
      </c>
      <c r="U10" s="75"/>
      <c r="V10" s="77"/>
      <c r="W10" s="117">
        <f t="shared" si="0"/>
        <v>4.3</v>
      </c>
      <c r="X10" s="118">
        <f t="shared" ref="X10:X39" si="1">SUM(P10:V10)</f>
        <v>5</v>
      </c>
      <c r="Y10" s="69">
        <f t="shared" ref="Y10:Y39" si="2">W10+X10</f>
        <v>9.3000000000000007</v>
      </c>
      <c r="Z10" s="70">
        <f>'[1]cálculos teóricos'!I125</f>
        <v>11.093027134706757</v>
      </c>
      <c r="AA10" s="71">
        <f t="shared" ref="AA10:AA39" si="3">100*Y10/Z10</f>
        <v>83.836448672365435</v>
      </c>
      <c r="AB10" s="161"/>
      <c r="AC10" s="162"/>
    </row>
    <row r="11" spans="1:29" ht="18" customHeight="1">
      <c r="A11" s="112">
        <v>3</v>
      </c>
      <c r="B11" s="56">
        <v>24.1</v>
      </c>
      <c r="C11" s="73">
        <f>'[1]cálculos teóricos'!K126</f>
        <v>0.97481955853411284</v>
      </c>
      <c r="D11" s="58">
        <f t="shared" ref="D11:D39" si="4">IF(B11&gt;0,B11*C11*14.25*1.022,-999)</f>
        <v>342.14250984114841</v>
      </c>
      <c r="E11" s="59">
        <f t="shared" ref="E11:E39" si="5">IF(B11&gt;0,D11*4.1868/100,-999)</f>
        <v>14.324822602029201</v>
      </c>
      <c r="F11" s="60">
        <f t="shared" ref="F11:F39" si="6">IF(B11&gt;0,(7.86+1.25*D11)*4.1868/100,-999)</f>
        <v>18.235110732536501</v>
      </c>
      <c r="G11" s="61">
        <f>'[1]cálculos teóricos'!T126</f>
        <v>26.686764785681291</v>
      </c>
      <c r="H11" s="74">
        <f t="shared" ref="H11:H39" si="7">IF(B11&gt;0,100*F11/G11,-999)</f>
        <v>68.330166204037212</v>
      </c>
      <c r="I11" s="56"/>
      <c r="J11" s="81"/>
      <c r="K11" s="81"/>
      <c r="L11" s="81">
        <v>0.3</v>
      </c>
      <c r="M11" s="81">
        <v>1</v>
      </c>
      <c r="N11" s="81">
        <v>1</v>
      </c>
      <c r="O11" s="76">
        <v>1</v>
      </c>
      <c r="P11" s="78">
        <v>1</v>
      </c>
      <c r="Q11" s="78">
        <v>1</v>
      </c>
      <c r="R11" s="75">
        <v>1</v>
      </c>
      <c r="S11" s="75">
        <v>1</v>
      </c>
      <c r="T11" s="75">
        <v>0.8</v>
      </c>
      <c r="U11" s="75"/>
      <c r="V11" s="77"/>
      <c r="W11" s="117">
        <f t="shared" si="0"/>
        <v>3.3</v>
      </c>
      <c r="X11" s="118">
        <f t="shared" si="1"/>
        <v>4.8</v>
      </c>
      <c r="Y11" s="69">
        <f t="shared" si="2"/>
        <v>8.1</v>
      </c>
      <c r="Z11" s="70">
        <f>'[1]cálculos teóricos'!I126</f>
        <v>11.074090851918852</v>
      </c>
      <c r="AA11" s="71">
        <f t="shared" si="3"/>
        <v>73.143701892209791</v>
      </c>
      <c r="AB11" s="161"/>
      <c r="AC11" s="162"/>
    </row>
    <row r="12" spans="1:29" ht="18" customHeight="1">
      <c r="A12" s="112">
        <v>4</v>
      </c>
      <c r="B12" s="56">
        <v>26.6</v>
      </c>
      <c r="C12" s="73">
        <f>'[1]cálculos teóricos'!K127</f>
        <v>0.97391597308657185</v>
      </c>
      <c r="D12" s="58">
        <f t="shared" si="4"/>
        <v>377.2844322896313</v>
      </c>
      <c r="E12" s="59">
        <f t="shared" si="5"/>
        <v>15.796144611102282</v>
      </c>
      <c r="F12" s="60">
        <f t="shared" si="6"/>
        <v>20.074263243877855</v>
      </c>
      <c r="G12" s="61">
        <f>'[1]cálculos teóricos'!T127</f>
        <v>26.520140742037025</v>
      </c>
      <c r="H12" s="74">
        <f t="shared" si="7"/>
        <v>75.694406900556828</v>
      </c>
      <c r="I12" s="56"/>
      <c r="J12" s="81">
        <v>0.3</v>
      </c>
      <c r="K12" s="81">
        <v>1</v>
      </c>
      <c r="L12" s="81">
        <v>1</v>
      </c>
      <c r="M12" s="81">
        <v>1</v>
      </c>
      <c r="N12" s="81">
        <v>1</v>
      </c>
      <c r="O12" s="76">
        <v>1</v>
      </c>
      <c r="P12" s="78">
        <v>1</v>
      </c>
      <c r="Q12" s="78">
        <v>1</v>
      </c>
      <c r="R12" s="75">
        <v>1</v>
      </c>
      <c r="S12" s="75">
        <v>1</v>
      </c>
      <c r="T12" s="75">
        <v>0.3</v>
      </c>
      <c r="U12" s="75"/>
      <c r="V12" s="77"/>
      <c r="W12" s="117">
        <f t="shared" si="0"/>
        <v>5.3</v>
      </c>
      <c r="X12" s="118">
        <f t="shared" si="1"/>
        <v>4.3</v>
      </c>
      <c r="Y12" s="69">
        <f t="shared" si="2"/>
        <v>9.6</v>
      </c>
      <c r="Z12" s="70">
        <f>'[1]cálculos teóricos'!I127</f>
        <v>11.055362185063325</v>
      </c>
      <c r="AA12" s="71">
        <f t="shared" si="3"/>
        <v>86.835689679804105</v>
      </c>
      <c r="AB12" s="161"/>
      <c r="AC12" s="162"/>
    </row>
    <row r="13" spans="1:29" ht="18" customHeight="1">
      <c r="A13" s="72">
        <v>5</v>
      </c>
      <c r="B13" s="56">
        <v>22.6</v>
      </c>
      <c r="C13" s="73">
        <f>'[1]cálculos teóricos'!K128</f>
        <v>0.97301993739218018</v>
      </c>
      <c r="D13" s="58">
        <f t="shared" si="4"/>
        <v>320.25501439556894</v>
      </c>
      <c r="E13" s="59">
        <f t="shared" si="5"/>
        <v>13.40843694271368</v>
      </c>
      <c r="F13" s="60">
        <f t="shared" si="6"/>
        <v>17.089628658392101</v>
      </c>
      <c r="G13" s="61">
        <f>'[1]cálculos teóricos'!T128</f>
        <v>26.355551442021564</v>
      </c>
      <c r="H13" s="74">
        <f t="shared" si="7"/>
        <v>64.842614642257942</v>
      </c>
      <c r="I13" s="56"/>
      <c r="J13" s="81"/>
      <c r="K13" s="81">
        <v>0.9</v>
      </c>
      <c r="L13" s="81">
        <v>1</v>
      </c>
      <c r="M13" s="81">
        <v>1</v>
      </c>
      <c r="N13" s="81">
        <v>1</v>
      </c>
      <c r="O13" s="76">
        <v>1</v>
      </c>
      <c r="P13" s="78">
        <v>1</v>
      </c>
      <c r="Q13" s="78">
        <v>1</v>
      </c>
      <c r="R13" s="75">
        <v>1</v>
      </c>
      <c r="S13" s="75">
        <v>1</v>
      </c>
      <c r="T13" s="75">
        <v>0.8</v>
      </c>
      <c r="U13" s="75"/>
      <c r="V13" s="77"/>
      <c r="W13" s="117">
        <f t="shared" si="0"/>
        <v>4.9000000000000004</v>
      </c>
      <c r="X13" s="118">
        <f t="shared" si="1"/>
        <v>4.8</v>
      </c>
      <c r="Y13" s="69">
        <f t="shared" si="2"/>
        <v>9.6999999999999993</v>
      </c>
      <c r="Z13" s="70">
        <f>'[1]cálculos teóricos'!I128</f>
        <v>11.036847866959667</v>
      </c>
      <c r="AA13" s="71">
        <f t="shared" si="3"/>
        <v>87.887412392792811</v>
      </c>
      <c r="AB13" s="161"/>
      <c r="AC13" s="162"/>
    </row>
    <row r="14" spans="1:29" ht="18" customHeight="1">
      <c r="A14" s="112">
        <v>6</v>
      </c>
      <c r="B14" s="56">
        <v>23.6</v>
      </c>
      <c r="C14" s="73">
        <f>'[1]cálculos teóricos'!K129</f>
        <v>0.97213197020477449</v>
      </c>
      <c r="D14" s="58">
        <f t="shared" si="4"/>
        <v>334.12039717462272</v>
      </c>
      <c r="E14" s="59">
        <f t="shared" si="5"/>
        <v>13.988952788907104</v>
      </c>
      <c r="F14" s="60">
        <f t="shared" si="6"/>
        <v>17.815273466133878</v>
      </c>
      <c r="G14" s="61">
        <f>'[1]cálculos teóricos'!T129</f>
        <v>26.193067257577663</v>
      </c>
      <c r="H14" s="74">
        <f t="shared" si="7"/>
        <v>68.015224375755054</v>
      </c>
      <c r="I14" s="56"/>
      <c r="J14" s="81"/>
      <c r="K14" s="81">
        <v>0.2</v>
      </c>
      <c r="L14" s="81">
        <v>1</v>
      </c>
      <c r="M14" s="81">
        <v>1</v>
      </c>
      <c r="N14" s="81">
        <v>1</v>
      </c>
      <c r="O14" s="76">
        <v>1</v>
      </c>
      <c r="P14" s="78">
        <v>1</v>
      </c>
      <c r="Q14" s="78">
        <v>1</v>
      </c>
      <c r="R14" s="75">
        <v>1</v>
      </c>
      <c r="S14" s="75">
        <v>1</v>
      </c>
      <c r="T14" s="75">
        <v>1</v>
      </c>
      <c r="U14" s="75"/>
      <c r="V14" s="77"/>
      <c r="W14" s="117">
        <f t="shared" si="0"/>
        <v>4.2</v>
      </c>
      <c r="X14" s="118">
        <f t="shared" si="1"/>
        <v>5</v>
      </c>
      <c r="Y14" s="69">
        <f t="shared" si="2"/>
        <v>9.1999999999999993</v>
      </c>
      <c r="Z14" s="70">
        <f>'[1]cálculos teóricos'!I129</f>
        <v>11.018554736668527</v>
      </c>
      <c r="AA14" s="71">
        <f t="shared" si="3"/>
        <v>83.495523867421738</v>
      </c>
      <c r="AB14" s="161"/>
      <c r="AC14" s="162"/>
    </row>
    <row r="15" spans="1:29" ht="18" customHeight="1">
      <c r="A15" s="72">
        <v>7</v>
      </c>
      <c r="B15" s="56">
        <v>8.1</v>
      </c>
      <c r="C15" s="73">
        <f>'[1]cálculos teóricos'!K130</f>
        <v>0.97125259145418985</v>
      </c>
      <c r="D15" s="58">
        <f t="shared" si="4"/>
        <v>114.57318063670905</v>
      </c>
      <c r="E15" s="59">
        <f t="shared" si="5"/>
        <v>4.7969499268977351</v>
      </c>
      <c r="F15" s="60">
        <f t="shared" si="6"/>
        <v>6.3252698886221683</v>
      </c>
      <c r="G15" s="61">
        <f>'[1]cálculos teóricos'!T130</f>
        <v>26.032757923837824</v>
      </c>
      <c r="H15" s="74">
        <f t="shared" si="7"/>
        <v>24.29734839131358</v>
      </c>
      <c r="I15" s="56"/>
      <c r="J15" s="81"/>
      <c r="K15" s="81"/>
      <c r="L15" s="81"/>
      <c r="M15" s="81"/>
      <c r="N15" s="81"/>
      <c r="O15" s="76"/>
      <c r="P15" s="78"/>
      <c r="Q15" s="78"/>
      <c r="R15" s="75"/>
      <c r="S15" s="75"/>
      <c r="T15" s="75"/>
      <c r="U15" s="75"/>
      <c r="V15" s="77"/>
      <c r="W15" s="117">
        <f t="shared" si="0"/>
        <v>0</v>
      </c>
      <c r="X15" s="118">
        <f t="shared" si="1"/>
        <v>0</v>
      </c>
      <c r="Y15" s="69">
        <f t="shared" si="2"/>
        <v>0</v>
      </c>
      <c r="Z15" s="70">
        <f>'[1]cálculos teóricos'!I130</f>
        <v>11.000489734974462</v>
      </c>
      <c r="AA15" s="71">
        <f t="shared" si="3"/>
        <v>0</v>
      </c>
      <c r="AB15" s="161"/>
      <c r="AC15" s="162"/>
    </row>
    <row r="16" spans="1:29" ht="18" customHeight="1">
      <c r="A16" s="79">
        <v>8</v>
      </c>
      <c r="B16" s="75">
        <v>13.2</v>
      </c>
      <c r="C16" s="73">
        <f>'[1]cálculos teóricos'!K131</f>
        <v>0.97038232179618111</v>
      </c>
      <c r="D16" s="58">
        <f t="shared" si="4"/>
        <v>186.54455085391859</v>
      </c>
      <c r="E16" s="59">
        <f t="shared" si="5"/>
        <v>7.8102472551518636</v>
      </c>
      <c r="F16" s="60">
        <f t="shared" si="6"/>
        <v>10.091891548939829</v>
      </c>
      <c r="G16" s="61">
        <f>'[1]cálculos teóricos'!T131</f>
        <v>25.874692494713734</v>
      </c>
      <c r="H16" s="74">
        <f t="shared" si="7"/>
        <v>39.002942937395794</v>
      </c>
      <c r="I16" s="78"/>
      <c r="J16" s="80"/>
      <c r="K16" s="80"/>
      <c r="L16" s="80"/>
      <c r="M16" s="80">
        <v>0.1</v>
      </c>
      <c r="N16" s="81">
        <v>0.5</v>
      </c>
      <c r="O16" s="77">
        <v>0.1</v>
      </c>
      <c r="P16" s="81"/>
      <c r="Q16" s="81"/>
      <c r="R16" s="80">
        <v>0.3</v>
      </c>
      <c r="S16" s="80">
        <v>0.9</v>
      </c>
      <c r="T16" s="80">
        <v>0.4</v>
      </c>
      <c r="U16" s="80"/>
      <c r="V16" s="77"/>
      <c r="W16" s="117">
        <f t="shared" si="0"/>
        <v>0.7</v>
      </c>
      <c r="X16" s="118">
        <f t="shared" si="1"/>
        <v>1.6</v>
      </c>
      <c r="Y16" s="69">
        <f t="shared" si="2"/>
        <v>2.2999999999999998</v>
      </c>
      <c r="Z16" s="70">
        <f>'[1]cálculos teóricos'!I131</f>
        <v>10.982659899340732</v>
      </c>
      <c r="AA16" s="71">
        <f t="shared" si="3"/>
        <v>20.942103471109622</v>
      </c>
      <c r="AB16" s="161"/>
      <c r="AC16" s="162"/>
    </row>
    <row r="17" spans="1:29" ht="18" customHeight="1">
      <c r="A17" s="79">
        <v>9</v>
      </c>
      <c r="B17" s="75">
        <v>21</v>
      </c>
      <c r="C17" s="73">
        <f>'[1]cálculos teóricos'!K132</f>
        <v>0.96952168214831635</v>
      </c>
      <c r="D17" s="58">
        <f t="shared" si="4"/>
        <v>296.51220937730716</v>
      </c>
      <c r="E17" s="59">
        <f t="shared" si="5"/>
        <v>12.414373182209097</v>
      </c>
      <c r="F17" s="60">
        <f t="shared" si="6"/>
        <v>15.84704895776137</v>
      </c>
      <c r="G17" s="61">
        <f>'[1]cálculos teóricos'!T132</f>
        <v>25.718939298322645</v>
      </c>
      <c r="H17" s="74">
        <f t="shared" si="7"/>
        <v>61.616261751490242</v>
      </c>
      <c r="I17" s="78"/>
      <c r="J17" s="80"/>
      <c r="K17" s="80"/>
      <c r="L17" s="80">
        <v>0.4</v>
      </c>
      <c r="M17" s="80">
        <v>1</v>
      </c>
      <c r="N17" s="81">
        <v>1</v>
      </c>
      <c r="O17" s="77">
        <v>1</v>
      </c>
      <c r="P17" s="81">
        <v>1</v>
      </c>
      <c r="Q17" s="81">
        <v>1</v>
      </c>
      <c r="R17" s="80">
        <v>1</v>
      </c>
      <c r="S17" s="80">
        <v>1</v>
      </c>
      <c r="T17" s="80">
        <v>0.9</v>
      </c>
      <c r="U17" s="80"/>
      <c r="V17" s="77"/>
      <c r="W17" s="117">
        <f t="shared" si="0"/>
        <v>3.4</v>
      </c>
      <c r="X17" s="118">
        <f t="shared" si="1"/>
        <v>4.9000000000000004</v>
      </c>
      <c r="Y17" s="69">
        <f t="shared" si="2"/>
        <v>8.3000000000000007</v>
      </c>
      <c r="Z17" s="70">
        <f>'[1]cálculos teóricos'!I132</f>
        <v>10.965072358330648</v>
      </c>
      <c r="AA17" s="71">
        <f t="shared" si="3"/>
        <v>75.694894924191956</v>
      </c>
      <c r="AB17" s="161"/>
      <c r="AC17" s="162"/>
    </row>
    <row r="18" spans="1:29" ht="18" customHeight="1">
      <c r="A18" s="79">
        <v>10</v>
      </c>
      <c r="B18" s="75">
        <v>22.3</v>
      </c>
      <c r="C18" s="73">
        <f>'[1]cálculos teóricos'!K133</f>
        <v>0.96867119321230488</v>
      </c>
      <c r="D18" s="58">
        <f t="shared" si="4"/>
        <v>314.59151716834714</v>
      </c>
      <c r="E18" s="59">
        <f t="shared" si="5"/>
        <v>13.171317640804357</v>
      </c>
      <c r="F18" s="60">
        <f t="shared" si="6"/>
        <v>16.793229531005448</v>
      </c>
      <c r="G18" s="61">
        <f>'[1]cálculos teóricos'!T133</f>
        <v>25.565565892314495</v>
      </c>
      <c r="H18" s="74">
        <f t="shared" si="7"/>
        <v>65.686907153711076</v>
      </c>
      <c r="I18" s="78"/>
      <c r="J18" s="80">
        <v>0.1</v>
      </c>
      <c r="K18" s="80">
        <v>1</v>
      </c>
      <c r="L18" s="80">
        <v>1</v>
      </c>
      <c r="M18" s="80">
        <v>1</v>
      </c>
      <c r="N18" s="81">
        <v>1</v>
      </c>
      <c r="O18" s="76">
        <v>1</v>
      </c>
      <c r="P18" s="81">
        <v>1</v>
      </c>
      <c r="Q18" s="81">
        <v>1</v>
      </c>
      <c r="R18" s="80">
        <v>0.8</v>
      </c>
      <c r="S18" s="80">
        <v>0.4</v>
      </c>
      <c r="T18" s="80"/>
      <c r="U18" s="80"/>
      <c r="V18" s="77"/>
      <c r="W18" s="117">
        <f t="shared" si="0"/>
        <v>5.0999999999999996</v>
      </c>
      <c r="X18" s="118">
        <f t="shared" si="1"/>
        <v>3.1999999999999997</v>
      </c>
      <c r="Y18" s="69">
        <f t="shared" si="2"/>
        <v>8.2999999999999989</v>
      </c>
      <c r="Z18" s="70">
        <f>'[1]cálculos teóricos'!I133</f>
        <v>10.947734325491757</v>
      </c>
      <c r="AA18" s="71">
        <f t="shared" si="3"/>
        <v>75.81477366210359</v>
      </c>
      <c r="AB18" s="161"/>
      <c r="AC18" s="162"/>
    </row>
    <row r="19" spans="1:29" ht="18" customHeight="1">
      <c r="A19" s="84">
        <v>11</v>
      </c>
      <c r="B19" s="75">
        <v>22.6</v>
      </c>
      <c r="C19" s="73">
        <f>'[1]cálculos teóricos'!K134</f>
        <v>0.9678313749832993</v>
      </c>
      <c r="D19" s="58">
        <f t="shared" si="4"/>
        <v>318.54727638826574</v>
      </c>
      <c r="E19" s="59">
        <f t="shared" si="5"/>
        <v>13.336937367823909</v>
      </c>
      <c r="F19" s="60">
        <f t="shared" si="6"/>
        <v>17.000254189779888</v>
      </c>
      <c r="G19" s="61">
        <f>'[1]cálculos teóricos'!T134</f>
        <v>25.414639019166131</v>
      </c>
      <c r="H19" s="74">
        <f t="shared" si="7"/>
        <v>66.891582355190479</v>
      </c>
      <c r="I19" s="78"/>
      <c r="J19" s="80"/>
      <c r="K19" s="80"/>
      <c r="L19" s="80">
        <v>0.7</v>
      </c>
      <c r="M19" s="80">
        <v>1</v>
      </c>
      <c r="N19" s="80">
        <v>1</v>
      </c>
      <c r="O19" s="77">
        <v>1</v>
      </c>
      <c r="P19" s="81">
        <v>1</v>
      </c>
      <c r="Q19" s="81">
        <v>1</v>
      </c>
      <c r="R19" s="80">
        <v>1</v>
      </c>
      <c r="S19" s="80">
        <v>1</v>
      </c>
      <c r="T19" s="80">
        <v>0.8</v>
      </c>
      <c r="U19" s="80"/>
      <c r="V19" s="77"/>
      <c r="W19" s="117">
        <f t="shared" si="0"/>
        <v>3.7</v>
      </c>
      <c r="X19" s="118">
        <f t="shared" si="1"/>
        <v>4.8</v>
      </c>
      <c r="Y19" s="69">
        <f t="shared" si="2"/>
        <v>8.5</v>
      </c>
      <c r="Z19" s="70">
        <f>'[1]cálculos teóricos'!I134</f>
        <v>10.930653092700721</v>
      </c>
      <c r="AA19" s="71">
        <f t="shared" si="3"/>
        <v>77.762965560366524</v>
      </c>
      <c r="AB19" s="161"/>
      <c r="AC19" s="162"/>
    </row>
    <row r="20" spans="1:29" ht="18" customHeight="1">
      <c r="A20" s="84">
        <v>12</v>
      </c>
      <c r="B20" s="75">
        <v>8.6999999999999993</v>
      </c>
      <c r="C20" s="73">
        <f>'[1]cálculos teóricos'!K135</f>
        <v>0.96700274624676985</v>
      </c>
      <c r="D20" s="58">
        <f t="shared" si="4"/>
        <v>122.52161710619406</v>
      </c>
      <c r="E20" s="59">
        <f t="shared" si="5"/>
        <v>5.1297350650021327</v>
      </c>
      <c r="F20" s="60">
        <f t="shared" si="6"/>
        <v>6.7412513112526655</v>
      </c>
      <c r="G20" s="61">
        <f>'[1]cálculos teóricos'!T135</f>
        <v>25.26622456151059</v>
      </c>
      <c r="H20" s="74">
        <f t="shared" si="7"/>
        <v>26.680881011094861</v>
      </c>
      <c r="I20" s="78"/>
      <c r="J20" s="80"/>
      <c r="K20" s="80"/>
      <c r="L20" s="80">
        <v>0.2</v>
      </c>
      <c r="M20" s="80">
        <v>0.4</v>
      </c>
      <c r="N20" s="80"/>
      <c r="O20" s="77">
        <v>0.1</v>
      </c>
      <c r="P20" s="81"/>
      <c r="Q20" s="81"/>
      <c r="R20" s="80"/>
      <c r="S20" s="80"/>
      <c r="T20" s="80"/>
      <c r="U20" s="80"/>
      <c r="V20" s="77"/>
      <c r="W20" s="117">
        <f t="shared" si="0"/>
        <v>0.70000000000000007</v>
      </c>
      <c r="X20" s="118">
        <f t="shared" si="1"/>
        <v>0</v>
      </c>
      <c r="Y20" s="69">
        <f t="shared" si="2"/>
        <v>0.70000000000000007</v>
      </c>
      <c r="Z20" s="70">
        <f>'[1]cálculos teóricos'!I135</f>
        <v>10.913836022969011</v>
      </c>
      <c r="AA20" s="71">
        <f t="shared" si="3"/>
        <v>6.4138768305369069</v>
      </c>
      <c r="AB20" s="161"/>
      <c r="AC20" s="162"/>
    </row>
    <row r="21" spans="1:29" ht="18" customHeight="1">
      <c r="A21" s="84">
        <v>13</v>
      </c>
      <c r="B21" s="75">
        <v>15</v>
      </c>
      <c r="C21" s="73">
        <f>'[1]cálculos teóricos'!K136</f>
        <v>0.96618582406361775</v>
      </c>
      <c r="D21" s="58">
        <f t="shared" si="4"/>
        <v>211.06570873125744</v>
      </c>
      <c r="E21" s="59">
        <f t="shared" si="5"/>
        <v>8.8368990931602873</v>
      </c>
      <c r="F21" s="60">
        <f t="shared" si="6"/>
        <v>11.375206346450357</v>
      </c>
      <c r="G21" s="61">
        <f>'[1]cálculos teóricos'!T136</f>
        <v>25.120387497571706</v>
      </c>
      <c r="H21" s="74">
        <f t="shared" si="7"/>
        <v>45.282766229422037</v>
      </c>
      <c r="I21" s="78"/>
      <c r="J21" s="80"/>
      <c r="K21" s="80">
        <v>0.8</v>
      </c>
      <c r="L21" s="80">
        <v>0.4</v>
      </c>
      <c r="M21" s="80"/>
      <c r="N21" s="80">
        <v>0.1</v>
      </c>
      <c r="O21" s="77">
        <v>0.4</v>
      </c>
      <c r="P21" s="81">
        <v>0.3</v>
      </c>
      <c r="Q21" s="81">
        <v>0.8</v>
      </c>
      <c r="R21" s="80"/>
      <c r="S21" s="80">
        <v>0.8</v>
      </c>
      <c r="T21" s="80"/>
      <c r="U21" s="80"/>
      <c r="V21" s="77"/>
      <c r="W21" s="117">
        <f t="shared" si="0"/>
        <v>1.7000000000000002</v>
      </c>
      <c r="X21" s="118">
        <f t="shared" si="1"/>
        <v>1.9000000000000001</v>
      </c>
      <c r="Y21" s="69">
        <f t="shared" si="2"/>
        <v>3.6000000000000005</v>
      </c>
      <c r="Z21" s="70">
        <f>'[1]cálculos teóricos'!I136</f>
        <v>10.897290542711382</v>
      </c>
      <c r="AA21" s="71">
        <f t="shared" si="3"/>
        <v>33.035734762599766</v>
      </c>
      <c r="AB21" s="161"/>
      <c r="AC21" s="162"/>
    </row>
    <row r="22" spans="1:29" ht="18" customHeight="1">
      <c r="A22" s="84">
        <v>14</v>
      </c>
      <c r="B22" s="75">
        <v>16.8</v>
      </c>
      <c r="C22" s="73">
        <f>'[1]cálculos teóricos'!K137</f>
        <v>0.96538112324425585</v>
      </c>
      <c r="D22" s="58">
        <f t="shared" si="4"/>
        <v>236.19671020457773</v>
      </c>
      <c r="E22" s="59">
        <f t="shared" si="5"/>
        <v>9.8890838628452613</v>
      </c>
      <c r="F22" s="60">
        <f t="shared" si="6"/>
        <v>12.690437308556575</v>
      </c>
      <c r="G22" s="61">
        <f>'[1]cálculos teóricos'!T137</f>
        <v>24.977191856775008</v>
      </c>
      <c r="H22" s="74">
        <f t="shared" si="7"/>
        <v>50.808102773628342</v>
      </c>
      <c r="I22" s="78"/>
      <c r="J22" s="80"/>
      <c r="K22" s="80">
        <v>0.1</v>
      </c>
      <c r="L22" s="80">
        <v>1</v>
      </c>
      <c r="M22" s="80">
        <v>1</v>
      </c>
      <c r="N22" s="80">
        <v>0.8</v>
      </c>
      <c r="O22" s="77">
        <v>1</v>
      </c>
      <c r="P22" s="81">
        <v>0.9</v>
      </c>
      <c r="Q22" s="81"/>
      <c r="R22" s="80">
        <v>0.8</v>
      </c>
      <c r="S22" s="80">
        <v>0.8</v>
      </c>
      <c r="T22" s="80"/>
      <c r="U22" s="80"/>
      <c r="V22" s="77"/>
      <c r="W22" s="117">
        <f t="shared" si="0"/>
        <v>3.9000000000000004</v>
      </c>
      <c r="X22" s="118">
        <f t="shared" si="1"/>
        <v>2.5</v>
      </c>
      <c r="Y22" s="69">
        <f t="shared" si="2"/>
        <v>6.4</v>
      </c>
      <c r="Z22" s="70">
        <f>'[1]cálculos teóricos'!I137</f>
        <v>10.881024133481446</v>
      </c>
      <c r="AA22" s="71">
        <f t="shared" si="3"/>
        <v>58.81799287906076</v>
      </c>
      <c r="AB22" s="161"/>
      <c r="AC22" s="162"/>
    </row>
    <row r="23" spans="1:29" ht="18" customHeight="1">
      <c r="A23" s="84">
        <v>15</v>
      </c>
      <c r="B23" s="75">
        <v>16.2</v>
      </c>
      <c r="C23" s="73">
        <f>'[1]cálculos teóricos'!K138</f>
        <v>0.96458915581244764</v>
      </c>
      <c r="D23" s="58">
        <f t="shared" si="4"/>
        <v>227.57426556492823</v>
      </c>
      <c r="E23" s="59">
        <f t="shared" si="5"/>
        <v>9.5280793506724155</v>
      </c>
      <c r="F23" s="60">
        <f t="shared" si="6"/>
        <v>12.239181668340521</v>
      </c>
      <c r="G23" s="61">
        <f>'[1]cálculos teóricos'!T138</f>
        <v>24.836700675606831</v>
      </c>
      <c r="H23" s="74">
        <f t="shared" si="7"/>
        <v>49.278613243348929</v>
      </c>
      <c r="I23" s="78"/>
      <c r="J23" s="80"/>
      <c r="K23" s="80">
        <v>0.4</v>
      </c>
      <c r="L23" s="80">
        <v>1</v>
      </c>
      <c r="M23" s="80">
        <v>0.9</v>
      </c>
      <c r="N23" s="80">
        <v>0.9</v>
      </c>
      <c r="O23" s="77">
        <v>0.2</v>
      </c>
      <c r="P23" s="81">
        <v>0.2</v>
      </c>
      <c r="Q23" s="81">
        <v>0.2</v>
      </c>
      <c r="R23" s="80">
        <v>0.3</v>
      </c>
      <c r="S23" s="80">
        <v>0.2</v>
      </c>
      <c r="T23" s="80">
        <v>0.1</v>
      </c>
      <c r="U23" s="80"/>
      <c r="V23" s="77"/>
      <c r="W23" s="117">
        <f t="shared" si="0"/>
        <v>3.4</v>
      </c>
      <c r="X23" s="118">
        <f t="shared" si="1"/>
        <v>0.99999999999999989</v>
      </c>
      <c r="Y23" s="69">
        <f t="shared" si="2"/>
        <v>4.3999999999999995</v>
      </c>
      <c r="Z23" s="70">
        <f>'[1]cálculos teóricos'!I138</f>
        <v>10.865044323181046</v>
      </c>
      <c r="AA23" s="71">
        <f t="shared" si="3"/>
        <v>40.496843538984997</v>
      </c>
      <c r="AB23" s="161"/>
      <c r="AC23" s="162"/>
    </row>
    <row r="24" spans="1:29" ht="18" customHeight="1">
      <c r="A24" s="84">
        <v>16</v>
      </c>
      <c r="B24" s="75">
        <v>14</v>
      </c>
      <c r="C24" s="73">
        <f>'[1]cálculos teóricos'!K139</f>
        <v>0.96381043045975534</v>
      </c>
      <c r="D24" s="58">
        <f t="shared" si="4"/>
        <v>196.51034485600906</v>
      </c>
      <c r="E24" s="59">
        <f t="shared" si="5"/>
        <v>8.2274951184313867</v>
      </c>
      <c r="F24" s="60">
        <f t="shared" si="6"/>
        <v>10.613451378039233</v>
      </c>
      <c r="G24" s="61">
        <f>'[1]cálculos teóricos'!T139</f>
        <v>24.698975953794339</v>
      </c>
      <c r="H24" s="74">
        <f t="shared" si="7"/>
        <v>42.971220336804123</v>
      </c>
      <c r="I24" s="78"/>
      <c r="J24" s="80"/>
      <c r="K24" s="80"/>
      <c r="L24" s="80">
        <v>0.1</v>
      </c>
      <c r="M24" s="80"/>
      <c r="N24" s="80"/>
      <c r="O24" s="77">
        <v>0.7</v>
      </c>
      <c r="P24" s="81">
        <v>1</v>
      </c>
      <c r="Q24" s="81">
        <v>1</v>
      </c>
      <c r="R24" s="80">
        <v>0.6</v>
      </c>
      <c r="S24" s="80">
        <v>0.8</v>
      </c>
      <c r="T24" s="80"/>
      <c r="U24" s="80"/>
      <c r="V24" s="77"/>
      <c r="W24" s="117">
        <f t="shared" si="0"/>
        <v>0.79999999999999993</v>
      </c>
      <c r="X24" s="118">
        <f t="shared" si="1"/>
        <v>3.4000000000000004</v>
      </c>
      <c r="Y24" s="69">
        <f t="shared" si="2"/>
        <v>4.2</v>
      </c>
      <c r="Z24" s="70">
        <f>'[1]cálculos teóricos'!I139</f>
        <v>10.849358676752436</v>
      </c>
      <c r="AA24" s="71">
        <f t="shared" si="3"/>
        <v>38.711965611382993</v>
      </c>
      <c r="AB24" s="161"/>
      <c r="AC24" s="162"/>
    </row>
    <row r="25" spans="1:29" ht="18" customHeight="1">
      <c r="A25" s="84">
        <v>17</v>
      </c>
      <c r="B25" s="75">
        <v>21.1</v>
      </c>
      <c r="C25" s="73">
        <f>'[1]cálculos teóricos'!K140</f>
        <v>0.96304545199151148</v>
      </c>
      <c r="D25" s="58">
        <f t="shared" si="4"/>
        <v>295.93409248565376</v>
      </c>
      <c r="E25" s="59">
        <f t="shared" si="5"/>
        <v>12.39016858418935</v>
      </c>
      <c r="F25" s="60">
        <f t="shared" si="6"/>
        <v>15.816793210236689</v>
      </c>
      <c r="G25" s="61">
        <f>'[1]cálculos teóricos'!T140</f>
        <v>24.564078610878632</v>
      </c>
      <c r="H25" s="74">
        <f t="shared" si="7"/>
        <v>64.389930763500928</v>
      </c>
      <c r="I25" s="78"/>
      <c r="J25" s="80"/>
      <c r="K25" s="80"/>
      <c r="L25" s="80"/>
      <c r="M25" s="80">
        <v>0.6</v>
      </c>
      <c r="N25" s="80">
        <v>1</v>
      </c>
      <c r="O25" s="77">
        <v>1</v>
      </c>
      <c r="P25" s="81">
        <v>1</v>
      </c>
      <c r="Q25" s="81">
        <v>1</v>
      </c>
      <c r="R25" s="80">
        <v>1</v>
      </c>
      <c r="S25" s="80">
        <v>1</v>
      </c>
      <c r="T25" s="80">
        <v>0.9</v>
      </c>
      <c r="U25" s="80"/>
      <c r="V25" s="77"/>
      <c r="W25" s="117">
        <f t="shared" si="0"/>
        <v>2.6</v>
      </c>
      <c r="X25" s="118">
        <f t="shared" si="1"/>
        <v>4.9000000000000004</v>
      </c>
      <c r="Y25" s="69">
        <f t="shared" si="2"/>
        <v>7.5</v>
      </c>
      <c r="Z25" s="70">
        <f>'[1]cálculos teóricos'!I140</f>
        <v>10.833974786365069</v>
      </c>
      <c r="AA25" s="71">
        <f t="shared" si="3"/>
        <v>69.226670246999362</v>
      </c>
      <c r="AB25" s="161"/>
      <c r="AC25" s="162"/>
    </row>
    <row r="26" spans="1:29" ht="18" customHeight="1">
      <c r="A26" s="84">
        <v>18</v>
      </c>
      <c r="B26" s="75">
        <v>15.2</v>
      </c>
      <c r="C26" s="73">
        <f>'[1]cálculos teóricos'!K141</f>
        <v>0.96229472076527511</v>
      </c>
      <c r="D26" s="58">
        <f t="shared" si="4"/>
        <v>213.01856332114929</v>
      </c>
      <c r="E26" s="59">
        <f t="shared" si="5"/>
        <v>8.918661209129878</v>
      </c>
      <c r="F26" s="60">
        <f t="shared" si="6"/>
        <v>11.477408991412348</v>
      </c>
      <c r="G26" s="61">
        <f>'[1]cálculos teóricos'!T141</f>
        <v>24.432068443253335</v>
      </c>
      <c r="H26" s="74">
        <f t="shared" si="7"/>
        <v>46.976820722609418</v>
      </c>
      <c r="I26" s="78"/>
      <c r="J26" s="80"/>
      <c r="K26" s="80"/>
      <c r="L26" s="80">
        <v>0.1</v>
      </c>
      <c r="M26" s="80">
        <v>0.3</v>
      </c>
      <c r="N26" s="80">
        <v>0.7</v>
      </c>
      <c r="O26" s="77">
        <v>0.6</v>
      </c>
      <c r="P26" s="81">
        <v>0.7</v>
      </c>
      <c r="Q26" s="81">
        <v>0.5</v>
      </c>
      <c r="R26" s="80">
        <v>0.5</v>
      </c>
      <c r="S26" s="80">
        <v>1</v>
      </c>
      <c r="T26" s="80"/>
      <c r="U26" s="80"/>
      <c r="V26" s="77"/>
      <c r="W26" s="117">
        <f t="shared" si="0"/>
        <v>1.7000000000000002</v>
      </c>
      <c r="X26" s="118">
        <f t="shared" si="1"/>
        <v>2.7</v>
      </c>
      <c r="Y26" s="69">
        <f t="shared" si="2"/>
        <v>4.4000000000000004</v>
      </c>
      <c r="Z26" s="70">
        <f>'[1]cálculos teóricos'!I141</f>
        <v>10.818900261111278</v>
      </c>
      <c r="AA26" s="71">
        <f t="shared" si="3"/>
        <v>40.669568013450274</v>
      </c>
      <c r="AB26" s="161"/>
      <c r="AC26" s="162"/>
    </row>
    <row r="27" spans="1:29" ht="18" customHeight="1">
      <c r="A27" s="84">
        <v>19</v>
      </c>
      <c r="B27" s="75">
        <v>23.4</v>
      </c>
      <c r="C27" s="73">
        <f>'[1]cálculos teóricos'!K142</f>
        <v>0.96155873212279996</v>
      </c>
      <c r="D27" s="58">
        <f t="shared" si="4"/>
        <v>327.68565792932731</v>
      </c>
      <c r="E27" s="59">
        <f t="shared" si="5"/>
        <v>13.719543126185076</v>
      </c>
      <c r="F27" s="60">
        <f t="shared" si="6"/>
        <v>17.478511387731345</v>
      </c>
      <c r="G27" s="61">
        <f>'[1]cálculos teóricos'!T142</f>
        <v>24.3030040817398</v>
      </c>
      <c r="H27" s="74">
        <f t="shared" si="7"/>
        <v>71.919139415624443</v>
      </c>
      <c r="I27" s="78"/>
      <c r="J27" s="80"/>
      <c r="K27" s="80">
        <v>1</v>
      </c>
      <c r="L27" s="80">
        <v>1</v>
      </c>
      <c r="M27" s="80">
        <v>1</v>
      </c>
      <c r="N27" s="80">
        <v>1</v>
      </c>
      <c r="O27" s="77">
        <v>1</v>
      </c>
      <c r="P27" s="81">
        <v>1</v>
      </c>
      <c r="Q27" s="81">
        <v>1</v>
      </c>
      <c r="R27" s="80">
        <v>1</v>
      </c>
      <c r="S27" s="80">
        <v>1</v>
      </c>
      <c r="T27" s="80">
        <v>0.9</v>
      </c>
      <c r="U27" s="80"/>
      <c r="V27" s="77"/>
      <c r="W27" s="117">
        <f t="shared" si="0"/>
        <v>5</v>
      </c>
      <c r="X27" s="118">
        <f t="shared" si="1"/>
        <v>4.9000000000000004</v>
      </c>
      <c r="Y27" s="69">
        <f t="shared" si="2"/>
        <v>9.9</v>
      </c>
      <c r="Z27" s="70">
        <f>'[1]cálculos teóricos'!I142</f>
        <v>10.804142716228</v>
      </c>
      <c r="AA27" s="71">
        <f t="shared" si="3"/>
        <v>91.631518205790059</v>
      </c>
      <c r="AB27" s="161"/>
      <c r="AC27" s="162"/>
    </row>
    <row r="28" spans="1:29" ht="18" customHeight="1">
      <c r="A28" s="84">
        <v>20</v>
      </c>
      <c r="B28" s="75">
        <v>22.7</v>
      </c>
      <c r="C28" s="73">
        <f>'[1]cálculos teóricos'!K143</f>
        <v>0.9608379758165817</v>
      </c>
      <c r="D28" s="58">
        <f t="shared" si="4"/>
        <v>317.64481964026868</v>
      </c>
      <c r="E28" s="59">
        <f t="shared" si="5"/>
        <v>13.29915330869877</v>
      </c>
      <c r="F28" s="60">
        <f t="shared" si="6"/>
        <v>16.953024115873461</v>
      </c>
      <c r="G28" s="61">
        <f>'[1]cálculos teóricos'!T143</f>
        <v>24.176942949769266</v>
      </c>
      <c r="H28" s="74">
        <f t="shared" si="7"/>
        <v>70.12062753796279</v>
      </c>
      <c r="I28" s="78"/>
      <c r="J28" s="80"/>
      <c r="K28" s="80">
        <v>0.7</v>
      </c>
      <c r="L28" s="80">
        <v>1</v>
      </c>
      <c r="M28" s="80">
        <v>1</v>
      </c>
      <c r="N28" s="80">
        <v>1</v>
      </c>
      <c r="O28" s="77">
        <v>1</v>
      </c>
      <c r="P28" s="81">
        <v>1</v>
      </c>
      <c r="Q28" s="81">
        <v>1</v>
      </c>
      <c r="R28" s="80">
        <v>1</v>
      </c>
      <c r="S28" s="80">
        <v>1</v>
      </c>
      <c r="T28" s="80">
        <v>0.8</v>
      </c>
      <c r="U28" s="80"/>
      <c r="V28" s="77"/>
      <c r="W28" s="117">
        <f t="shared" si="0"/>
        <v>4.7</v>
      </c>
      <c r="X28" s="118">
        <f t="shared" si="1"/>
        <v>4.8</v>
      </c>
      <c r="Y28" s="69">
        <f t="shared" si="2"/>
        <v>9.5</v>
      </c>
      <c r="Z28" s="70">
        <f>'[1]cálculos teóricos'!I143</f>
        <v>10.78970976186449</v>
      </c>
      <c r="AA28" s="71">
        <f t="shared" si="3"/>
        <v>88.046853990244642</v>
      </c>
      <c r="AB28" s="161"/>
      <c r="AC28" s="162"/>
    </row>
    <row r="29" spans="1:29" ht="18" customHeight="1">
      <c r="A29" s="84">
        <v>21</v>
      </c>
      <c r="B29" s="75">
        <v>22.6</v>
      </c>
      <c r="C29" s="73">
        <f>'[1]cálculos teóricos'!K144</f>
        <v>0.96013293543210909</v>
      </c>
      <c r="D29" s="58">
        <f t="shared" si="4"/>
        <v>316.01344971674081</v>
      </c>
      <c r="E29" s="59">
        <f t="shared" si="5"/>
        <v>13.230851112740504</v>
      </c>
      <c r="F29" s="60">
        <f t="shared" si="6"/>
        <v>16.86764637092563</v>
      </c>
      <c r="G29" s="61">
        <f>'[1]cálculos teóricos'!T144</f>
        <v>24.053941222240866</v>
      </c>
      <c r="H29" s="74">
        <f t="shared" si="7"/>
        <v>70.124252051174849</v>
      </c>
      <c r="I29" s="78"/>
      <c r="J29" s="80"/>
      <c r="K29" s="80"/>
      <c r="L29" s="80">
        <v>0.9</v>
      </c>
      <c r="M29" s="80">
        <v>1</v>
      </c>
      <c r="N29" s="80">
        <v>1</v>
      </c>
      <c r="O29" s="77">
        <v>1</v>
      </c>
      <c r="P29" s="81">
        <v>1</v>
      </c>
      <c r="Q29" s="81">
        <v>1</v>
      </c>
      <c r="R29" s="80">
        <v>1</v>
      </c>
      <c r="S29" s="80">
        <v>1</v>
      </c>
      <c r="T29" s="80">
        <v>0.8</v>
      </c>
      <c r="U29" s="80"/>
      <c r="V29" s="77"/>
      <c r="W29" s="117">
        <f t="shared" si="0"/>
        <v>3.9</v>
      </c>
      <c r="X29" s="118">
        <f t="shared" si="1"/>
        <v>4.8</v>
      </c>
      <c r="Y29" s="69">
        <f t="shared" si="2"/>
        <v>8.6999999999999993</v>
      </c>
      <c r="Z29" s="70">
        <f>'[1]cálculos teóricos'!I144</f>
        <v>10.775608991418745</v>
      </c>
      <c r="AA29" s="71">
        <f t="shared" si="3"/>
        <v>80.737896177639001</v>
      </c>
      <c r="AB29" s="161"/>
      <c r="AC29" s="162"/>
    </row>
    <row r="30" spans="1:29" ht="18" customHeight="1">
      <c r="A30" s="84">
        <v>22</v>
      </c>
      <c r="B30" s="75">
        <v>5.3</v>
      </c>
      <c r="C30" s="73">
        <f>'[1]cálculos teóricos'!K145</f>
        <v>0.95944408780698176</v>
      </c>
      <c r="D30" s="58">
        <f t="shared" si="4"/>
        <v>74.05617905571799</v>
      </c>
      <c r="E30" s="59">
        <f t="shared" si="5"/>
        <v>3.1005841047048004</v>
      </c>
      <c r="F30" s="60">
        <f t="shared" si="6"/>
        <v>4.2048126108810004</v>
      </c>
      <c r="G30" s="61">
        <f>'[1]cálculos teóricos'!T145</f>
        <v>23.934053785122181</v>
      </c>
      <c r="H30" s="74">
        <f t="shared" si="7"/>
        <v>17.568326070591453</v>
      </c>
      <c r="I30" s="78"/>
      <c r="J30" s="80"/>
      <c r="K30" s="80">
        <v>0.1</v>
      </c>
      <c r="L30" s="80"/>
      <c r="M30" s="80"/>
      <c r="N30" s="80"/>
      <c r="O30" s="77"/>
      <c r="P30" s="81"/>
      <c r="Q30" s="81"/>
      <c r="R30" s="80"/>
      <c r="S30" s="80"/>
      <c r="T30" s="80"/>
      <c r="U30" s="156"/>
      <c r="V30" s="77"/>
      <c r="W30" s="117">
        <f t="shared" si="0"/>
        <v>0.1</v>
      </c>
      <c r="X30" s="118">
        <f t="shared" si="1"/>
        <v>0</v>
      </c>
      <c r="Y30" s="69">
        <f t="shared" si="2"/>
        <v>0.1</v>
      </c>
      <c r="Z30" s="70">
        <f>'[1]cálculos teóricos'!I145</f>
        <v>10.761847969468413</v>
      </c>
      <c r="AA30" s="71">
        <f t="shared" si="3"/>
        <v>0.9292084434169865</v>
      </c>
      <c r="AB30" s="161"/>
      <c r="AC30" s="162"/>
    </row>
    <row r="31" spans="1:29" ht="18" customHeight="1">
      <c r="A31" s="84">
        <v>23</v>
      </c>
      <c r="B31" s="75">
        <v>10.4</v>
      </c>
      <c r="C31" s="73">
        <f>'[1]cálculos teóricos'!K146</f>
        <v>0.95877190244810251</v>
      </c>
      <c r="D31" s="58">
        <f t="shared" si="4"/>
        <v>145.21597585355059</v>
      </c>
      <c r="E31" s="59">
        <f t="shared" si="5"/>
        <v>6.0799024770364554</v>
      </c>
      <c r="F31" s="60">
        <f t="shared" si="6"/>
        <v>7.9289605762955704</v>
      </c>
      <c r="G31" s="61">
        <f>'[1]cálculos teóricos'!T146</f>
        <v>23.81733419585737</v>
      </c>
      <c r="H31" s="74">
        <f t="shared" si="7"/>
        <v>33.290713860305495</v>
      </c>
      <c r="I31" s="78"/>
      <c r="J31" s="80"/>
      <c r="K31" s="80">
        <v>0.4</v>
      </c>
      <c r="L31" s="80">
        <v>0.9</v>
      </c>
      <c r="M31" s="80">
        <v>1</v>
      </c>
      <c r="N31" s="80">
        <v>0.9</v>
      </c>
      <c r="O31" s="77">
        <v>0.3</v>
      </c>
      <c r="P31" s="81">
        <v>0.1</v>
      </c>
      <c r="Q31" s="81"/>
      <c r="R31" s="80"/>
      <c r="S31" s="80"/>
      <c r="T31" s="80"/>
      <c r="U31" s="80"/>
      <c r="V31" s="77"/>
      <c r="W31" s="117">
        <f t="shared" si="0"/>
        <v>3.4999999999999996</v>
      </c>
      <c r="X31" s="118">
        <f t="shared" si="1"/>
        <v>0.1</v>
      </c>
      <c r="Y31" s="69">
        <f t="shared" si="2"/>
        <v>3.5999999999999996</v>
      </c>
      <c r="Z31" s="70">
        <f>'[1]cálculos teóricos'!I146</f>
        <v>10.748434219324782</v>
      </c>
      <c r="AA31" s="71">
        <f t="shared" si="3"/>
        <v>33.493250519480334</v>
      </c>
      <c r="AB31" s="161"/>
      <c r="AC31" s="162"/>
    </row>
    <row r="32" spans="1:29" ht="18" customHeight="1">
      <c r="A32" s="84">
        <v>24</v>
      </c>
      <c r="B32" s="75">
        <v>22.8</v>
      </c>
      <c r="C32" s="73">
        <f>'[1]cálculos teóricos'!K147</f>
        <v>0.95811684094818839</v>
      </c>
      <c r="D32" s="58">
        <f t="shared" si="4"/>
        <v>318.14058917979588</v>
      </c>
      <c r="E32" s="59">
        <f t="shared" si="5"/>
        <v>13.319910187779694</v>
      </c>
      <c r="F32" s="60">
        <f t="shared" si="6"/>
        <v>16.978970214724615</v>
      </c>
      <c r="G32" s="61">
        <f>'[1]cálculos teóricos'!T147</f>
        <v>23.703834644645326</v>
      </c>
      <c r="H32" s="74">
        <f t="shared" si="7"/>
        <v>71.629634906182361</v>
      </c>
      <c r="I32" s="78"/>
      <c r="J32" s="80"/>
      <c r="K32" s="80">
        <v>1</v>
      </c>
      <c r="L32" s="80">
        <v>1</v>
      </c>
      <c r="M32" s="80">
        <v>1</v>
      </c>
      <c r="N32" s="80">
        <v>1</v>
      </c>
      <c r="O32" s="77">
        <v>1</v>
      </c>
      <c r="P32" s="81">
        <v>1</v>
      </c>
      <c r="Q32" s="81">
        <v>1</v>
      </c>
      <c r="R32" s="80">
        <v>1</v>
      </c>
      <c r="S32" s="80">
        <v>1</v>
      </c>
      <c r="T32" s="80">
        <v>1</v>
      </c>
      <c r="U32" s="80"/>
      <c r="V32" s="77"/>
      <c r="W32" s="117">
        <f t="shared" si="0"/>
        <v>5</v>
      </c>
      <c r="X32" s="118">
        <f t="shared" si="1"/>
        <v>5</v>
      </c>
      <c r="Y32" s="69">
        <f t="shared" si="2"/>
        <v>10</v>
      </c>
      <c r="Z32" s="70">
        <f>'[1]cálculos teóricos'!I147</f>
        <v>10.735375210241287</v>
      </c>
      <c r="AA32" s="71">
        <f t="shared" si="3"/>
        <v>93.149981292318898</v>
      </c>
      <c r="AB32" s="161"/>
      <c r="AC32" s="162"/>
    </row>
    <row r="33" spans="1:29" ht="18" customHeight="1">
      <c r="A33" s="163">
        <v>25</v>
      </c>
      <c r="B33" s="75">
        <v>20.5</v>
      </c>
      <c r="C33" s="73">
        <f>'[1]cálculos teóricos'!K148</f>
        <v>0.95747935640287785</v>
      </c>
      <c r="D33" s="58">
        <f t="shared" si="4"/>
        <v>285.85713744295288</v>
      </c>
      <c r="E33" s="59">
        <f t="shared" si="5"/>
        <v>11.968266630461551</v>
      </c>
      <c r="F33" s="60">
        <f t="shared" si="6"/>
        <v>15.289415768076941</v>
      </c>
      <c r="G33" s="61">
        <f>'[1]cálculos teóricos'!T148</f>
        <v>23.593605916647533</v>
      </c>
      <c r="H33" s="74">
        <f t="shared" si="7"/>
        <v>64.803217541617087</v>
      </c>
      <c r="I33" s="78"/>
      <c r="J33" s="80"/>
      <c r="K33" s="80">
        <v>0.4</v>
      </c>
      <c r="L33" s="80">
        <v>1</v>
      </c>
      <c r="M33" s="80">
        <v>1</v>
      </c>
      <c r="N33" s="80">
        <v>1</v>
      </c>
      <c r="O33" s="77">
        <v>1</v>
      </c>
      <c r="P33" s="81">
        <v>1</v>
      </c>
      <c r="Q33" s="81">
        <v>1</v>
      </c>
      <c r="R33" s="80">
        <v>1</v>
      </c>
      <c r="S33" s="80">
        <v>1</v>
      </c>
      <c r="T33" s="80">
        <v>0.6</v>
      </c>
      <c r="U33" s="80"/>
      <c r="V33" s="77"/>
      <c r="W33" s="117">
        <f t="shared" si="0"/>
        <v>4.4000000000000004</v>
      </c>
      <c r="X33" s="118">
        <f t="shared" si="1"/>
        <v>4.5999999999999996</v>
      </c>
      <c r="Y33" s="69">
        <f t="shared" si="2"/>
        <v>9</v>
      </c>
      <c r="Z33" s="70">
        <f>'[1]cálculos teóricos'!I148</f>
        <v>10.722678344310896</v>
      </c>
      <c r="AA33" s="71">
        <f t="shared" si="3"/>
        <v>83.934253280805592</v>
      </c>
      <c r="AB33" s="161"/>
      <c r="AC33" s="162"/>
    </row>
    <row r="34" spans="1:29" ht="18" customHeight="1">
      <c r="A34" s="84">
        <v>26</v>
      </c>
      <c r="B34" s="75">
        <v>20.8</v>
      </c>
      <c r="C34" s="73">
        <f>'[1]cálculos teóricos'!K149</f>
        <v>0.95685989282974016</v>
      </c>
      <c r="D34" s="58">
        <f t="shared" si="4"/>
        <v>289.85276422389916</v>
      </c>
      <c r="E34" s="59">
        <f t="shared" si="5"/>
        <v>12.13555553252621</v>
      </c>
      <c r="F34" s="60">
        <f t="shared" si="6"/>
        <v>15.498526895657763</v>
      </c>
      <c r="G34" s="61">
        <f>'[1]cálculos teóricos'!T149</f>
        <v>23.486697355182486</v>
      </c>
      <c r="H34" s="74">
        <f t="shared" si="7"/>
        <v>65.988532407422184</v>
      </c>
      <c r="I34" s="78"/>
      <c r="J34" s="80"/>
      <c r="K34" s="80">
        <v>0.5</v>
      </c>
      <c r="L34" s="80">
        <v>1</v>
      </c>
      <c r="M34" s="80">
        <v>1</v>
      </c>
      <c r="N34" s="80">
        <v>1</v>
      </c>
      <c r="O34" s="77">
        <v>1</v>
      </c>
      <c r="P34" s="81">
        <v>1</v>
      </c>
      <c r="Q34" s="81">
        <v>1</v>
      </c>
      <c r="R34" s="80">
        <v>1</v>
      </c>
      <c r="S34" s="80">
        <v>0.9</v>
      </c>
      <c r="T34" s="80">
        <v>0.3</v>
      </c>
      <c r="U34" s="80"/>
      <c r="V34" s="77"/>
      <c r="W34" s="117">
        <f t="shared" si="0"/>
        <v>4.5</v>
      </c>
      <c r="X34" s="118">
        <f t="shared" si="1"/>
        <v>4.2</v>
      </c>
      <c r="Y34" s="69">
        <f t="shared" si="2"/>
        <v>8.6999999999999993</v>
      </c>
      <c r="Z34" s="70">
        <f>'[1]cálculos teóricos'!I149</f>
        <v>10.710350943089647</v>
      </c>
      <c r="AA34" s="71">
        <f t="shared" si="3"/>
        <v>81.229831274700359</v>
      </c>
      <c r="AB34" s="161"/>
      <c r="AC34" s="162"/>
    </row>
    <row r="35" spans="1:29" ht="18" customHeight="1">
      <c r="A35" s="84">
        <v>27</v>
      </c>
      <c r="B35" s="75">
        <v>19.600000000000001</v>
      </c>
      <c r="C35" s="73">
        <f>'[1]cálculos teóricos'!K150</f>
        <v>0.95625888459052066</v>
      </c>
      <c r="D35" s="58">
        <f t="shared" si="4"/>
        <v>272.95893480838737</v>
      </c>
      <c r="E35" s="59">
        <f t="shared" si="5"/>
        <v>11.428244682557564</v>
      </c>
      <c r="F35" s="60">
        <f t="shared" si="6"/>
        <v>14.614388333196953</v>
      </c>
      <c r="G35" s="61">
        <f>'[1]cálculos teóricos'!T150</f>
        <v>23.38315682596054</v>
      </c>
      <c r="H35" s="74">
        <f t="shared" si="7"/>
        <v>62.499637846040144</v>
      </c>
      <c r="I35" s="78"/>
      <c r="J35" s="80"/>
      <c r="K35" s="80">
        <v>0.4</v>
      </c>
      <c r="L35" s="80">
        <v>1</v>
      </c>
      <c r="M35" s="80">
        <v>1</v>
      </c>
      <c r="N35" s="80">
        <v>1</v>
      </c>
      <c r="O35" s="77">
        <v>1</v>
      </c>
      <c r="P35" s="81">
        <v>1</v>
      </c>
      <c r="Q35" s="81">
        <v>1</v>
      </c>
      <c r="R35" s="80">
        <v>1</v>
      </c>
      <c r="S35" s="80">
        <v>1</v>
      </c>
      <c r="T35" s="80">
        <v>0.6</v>
      </c>
      <c r="U35" s="80"/>
      <c r="V35" s="77"/>
      <c r="W35" s="117">
        <f t="shared" si="0"/>
        <v>4.4000000000000004</v>
      </c>
      <c r="X35" s="118">
        <f t="shared" si="1"/>
        <v>4.5999999999999996</v>
      </c>
      <c r="Y35" s="69">
        <f t="shared" si="2"/>
        <v>9</v>
      </c>
      <c r="Z35" s="70">
        <f>'[1]cálculos teóricos'!I150</f>
        <v>10.698400233986028</v>
      </c>
      <c r="AA35" s="71">
        <f t="shared" si="3"/>
        <v>84.124727091526694</v>
      </c>
      <c r="AB35" s="161"/>
      <c r="AC35" s="162"/>
    </row>
    <row r="36" spans="1:29" ht="18" customHeight="1">
      <c r="A36" s="84">
        <v>28</v>
      </c>
      <c r="B36" s="75">
        <v>20.2</v>
      </c>
      <c r="C36" s="73">
        <f>'[1]cálculos teóricos'!K151</f>
        <v>0.95567675581796974</v>
      </c>
      <c r="D36" s="58">
        <f t="shared" si="4"/>
        <v>281.14356835377106</v>
      </c>
      <c r="E36" s="59">
        <f t="shared" si="5"/>
        <v>11.770918919835685</v>
      </c>
      <c r="F36" s="60">
        <f t="shared" si="6"/>
        <v>15.042731129794609</v>
      </c>
      <c r="G36" s="61">
        <f>'[1]cálculos teóricos'!T151</f>
        <v>23.283030682409645</v>
      </c>
      <c r="H36" s="74">
        <f t="shared" si="7"/>
        <v>64.608131711819667</v>
      </c>
      <c r="I36" s="78"/>
      <c r="J36" s="80"/>
      <c r="K36" s="80">
        <v>0.8</v>
      </c>
      <c r="L36" s="80">
        <v>1</v>
      </c>
      <c r="M36" s="80">
        <v>1</v>
      </c>
      <c r="N36" s="80">
        <v>1</v>
      </c>
      <c r="O36" s="77">
        <v>1</v>
      </c>
      <c r="P36" s="81">
        <v>1</v>
      </c>
      <c r="Q36" s="81">
        <v>1</v>
      </c>
      <c r="R36" s="80">
        <v>1</v>
      </c>
      <c r="S36" s="80">
        <v>1</v>
      </c>
      <c r="T36" s="80">
        <v>0.6</v>
      </c>
      <c r="U36" s="80"/>
      <c r="V36" s="77"/>
      <c r="W36" s="117">
        <f t="shared" si="0"/>
        <v>4.8</v>
      </c>
      <c r="X36" s="118">
        <f t="shared" si="1"/>
        <v>4.5999999999999996</v>
      </c>
      <c r="Y36" s="69">
        <f t="shared" si="2"/>
        <v>9.3999999999999986</v>
      </c>
      <c r="Z36" s="70">
        <f>'[1]cálculos teóricos'!I151</f>
        <v>10.686833336458804</v>
      </c>
      <c r="AA36" s="71">
        <f t="shared" si="3"/>
        <v>87.958703051270646</v>
      </c>
      <c r="AB36" s="161"/>
      <c r="AC36" s="162"/>
    </row>
    <row r="37" spans="1:29" ht="18" customHeight="1">
      <c r="A37" s="84">
        <v>29</v>
      </c>
      <c r="B37" s="75">
        <v>16.2</v>
      </c>
      <c r="C37" s="73">
        <f>'[1]cálculos teóricos'!K152</f>
        <v>0.95511391984862659</v>
      </c>
      <c r="D37" s="58">
        <f t="shared" si="4"/>
        <v>225.33878546179068</v>
      </c>
      <c r="E37" s="59">
        <f t="shared" si="5"/>
        <v>9.4344842697142521</v>
      </c>
      <c r="F37" s="60">
        <f t="shared" si="6"/>
        <v>12.122187817142814</v>
      </c>
      <c r="G37" s="61">
        <f>'[1]cálculos teóricos'!T152</f>
        <v>23.186363732139114</v>
      </c>
      <c r="H37" s="74">
        <f t="shared" si="7"/>
        <v>52.281539085578956</v>
      </c>
      <c r="I37" s="78"/>
      <c r="J37" s="80"/>
      <c r="K37" s="80">
        <v>0.8</v>
      </c>
      <c r="L37" s="80">
        <v>0.8</v>
      </c>
      <c r="M37" s="80">
        <v>1</v>
      </c>
      <c r="N37" s="80">
        <v>1</v>
      </c>
      <c r="O37" s="77">
        <v>1</v>
      </c>
      <c r="P37" s="81">
        <v>0.8</v>
      </c>
      <c r="Q37" s="81">
        <v>0.5</v>
      </c>
      <c r="R37" s="80"/>
      <c r="S37" s="80">
        <v>0.6</v>
      </c>
      <c r="T37" s="80">
        <v>0.4</v>
      </c>
      <c r="U37" s="80"/>
      <c r="V37" s="77"/>
      <c r="W37" s="117">
        <f t="shared" si="0"/>
        <v>4.5999999999999996</v>
      </c>
      <c r="X37" s="118">
        <f t="shared" si="1"/>
        <v>2.2999999999999998</v>
      </c>
      <c r="Y37" s="69">
        <f t="shared" si="2"/>
        <v>6.8999999999999995</v>
      </c>
      <c r="Z37" s="70">
        <f>'[1]cálculos teóricos'!I152</f>
        <v>10.675657248068191</v>
      </c>
      <c r="AA37" s="71">
        <f t="shared" si="3"/>
        <v>64.633022957425752</v>
      </c>
      <c r="AB37" s="161"/>
      <c r="AC37" s="162"/>
    </row>
    <row r="38" spans="1:29" ht="18" customHeight="1" thickBot="1">
      <c r="A38" s="79">
        <v>30</v>
      </c>
      <c r="B38" s="75">
        <v>6.8</v>
      </c>
      <c r="C38" s="73">
        <f>'[1]cálculos teóricos'!K153</f>
        <v>0.95457077866293116</v>
      </c>
      <c r="D38" s="58">
        <f t="shared" si="4"/>
        <v>94.532862438391675</v>
      </c>
      <c r="E38" s="59">
        <f t="shared" si="5"/>
        <v>3.9579018845705827</v>
      </c>
      <c r="F38" s="60">
        <f t="shared" si="6"/>
        <v>5.2764598357132284</v>
      </c>
      <c r="G38" s="61">
        <f>'[1]cálculos teóricos'!T153</f>
        <v>23.093199204585154</v>
      </c>
      <c r="H38" s="74">
        <f t="shared" si="7"/>
        <v>22.84854423576612</v>
      </c>
      <c r="I38" s="78"/>
      <c r="J38" s="80"/>
      <c r="K38" s="80"/>
      <c r="L38" s="80"/>
      <c r="M38" s="80"/>
      <c r="N38" s="80"/>
      <c r="O38" s="77"/>
      <c r="P38" s="81"/>
      <c r="Q38" s="81"/>
      <c r="R38" s="80"/>
      <c r="S38" s="80">
        <v>0.5</v>
      </c>
      <c r="T38" s="80"/>
      <c r="U38" s="80"/>
      <c r="V38" s="77"/>
      <c r="W38" s="117">
        <f t="shared" si="0"/>
        <v>0</v>
      </c>
      <c r="X38" s="118">
        <f t="shared" si="1"/>
        <v>0.5</v>
      </c>
      <c r="Y38" s="99">
        <f t="shared" si="2"/>
        <v>0.5</v>
      </c>
      <c r="Z38" s="70">
        <f>'[1]cálculos teóricos'!I153</f>
        <v>10.66487883042762</v>
      </c>
      <c r="AA38" s="71">
        <f t="shared" si="3"/>
        <v>4.6882858019302223</v>
      </c>
      <c r="AB38" s="161"/>
      <c r="AC38" s="162"/>
    </row>
    <row r="39" spans="1:29" ht="18" customHeight="1" thickTop="1" thickBot="1">
      <c r="A39" s="86">
        <v>31</v>
      </c>
      <c r="B39" s="87">
        <v>10.5</v>
      </c>
      <c r="C39" s="88">
        <f>'[1]cálculos teóricos'!K154</f>
        <v>0.95404772233404822</v>
      </c>
      <c r="D39" s="89">
        <f t="shared" si="4"/>
        <v>145.88987704422507</v>
      </c>
      <c r="E39" s="90">
        <f t="shared" si="5"/>
        <v>6.1081173720876158</v>
      </c>
      <c r="F39" s="91">
        <f t="shared" si="6"/>
        <v>7.9642291951095192</v>
      </c>
      <c r="G39" s="92">
        <f>'[1]cálculos teóricos'!T154</f>
        <v>23.003578719878121</v>
      </c>
      <c r="H39" s="93">
        <f t="shared" si="7"/>
        <v>34.621696441638349</v>
      </c>
      <c r="I39" s="94"/>
      <c r="J39" s="87"/>
      <c r="K39" s="87"/>
      <c r="L39" s="87"/>
      <c r="M39" s="87">
        <v>0.2</v>
      </c>
      <c r="N39" s="87">
        <v>0.3</v>
      </c>
      <c r="O39" s="95">
        <v>0.3</v>
      </c>
      <c r="P39" s="94"/>
      <c r="Q39" s="94"/>
      <c r="R39" s="87"/>
      <c r="S39" s="87">
        <v>0.2</v>
      </c>
      <c r="T39" s="87"/>
      <c r="U39" s="87"/>
      <c r="V39" s="95"/>
      <c r="W39" s="117">
        <f t="shared" si="0"/>
        <v>0.8</v>
      </c>
      <c r="X39" s="118">
        <f t="shared" si="1"/>
        <v>0.2</v>
      </c>
      <c r="Y39" s="127">
        <f t="shared" si="2"/>
        <v>1</v>
      </c>
      <c r="Z39" s="100">
        <f>'[1]cálculos teóricos'!I154</f>
        <v>10.654504795105451</v>
      </c>
      <c r="AA39" s="101">
        <f t="shared" si="3"/>
        <v>9.3857013463393226</v>
      </c>
      <c r="AB39" s="161"/>
      <c r="AC39" s="162"/>
    </row>
    <row r="40" spans="1:29" s="107" customFormat="1" ht="15.75" thickTop="1">
      <c r="A40" s="102"/>
      <c r="B40" s="102"/>
      <c r="C40" s="102"/>
      <c r="D40" s="102"/>
      <c r="E40" s="102"/>
      <c r="F40" s="102"/>
      <c r="G40" s="102"/>
      <c r="H40" s="102"/>
      <c r="I40" s="5">
        <f>SUM(I9:I39)</f>
        <v>0</v>
      </c>
      <c r="J40" s="5">
        <f t="shared" ref="J40:V40" si="8">SUM(J9:J39)</f>
        <v>0.6</v>
      </c>
      <c r="K40" s="5">
        <f t="shared" si="8"/>
        <v>11.800000000000002</v>
      </c>
      <c r="L40" s="5">
        <f t="shared" si="8"/>
        <v>19.8</v>
      </c>
      <c r="M40" s="5">
        <f t="shared" si="8"/>
        <v>22.5</v>
      </c>
      <c r="N40" s="5">
        <f t="shared" si="8"/>
        <v>23.2</v>
      </c>
      <c r="O40" s="5">
        <f t="shared" si="8"/>
        <v>22.7</v>
      </c>
      <c r="P40" s="5">
        <f t="shared" si="8"/>
        <v>22.000000000000004</v>
      </c>
      <c r="Q40" s="5">
        <f t="shared" si="8"/>
        <v>21</v>
      </c>
      <c r="R40" s="5">
        <f t="shared" si="8"/>
        <v>20.3</v>
      </c>
      <c r="S40" s="5">
        <f t="shared" si="8"/>
        <v>23.1</v>
      </c>
      <c r="T40" s="5">
        <f t="shared" si="8"/>
        <v>13.000000000000002</v>
      </c>
      <c r="U40" s="5">
        <f t="shared" si="8"/>
        <v>0</v>
      </c>
      <c r="V40" s="5">
        <f t="shared" si="8"/>
        <v>0</v>
      </c>
      <c r="W40" s="105">
        <f>SUM(I40:O40)</f>
        <v>100.60000000000001</v>
      </c>
      <c r="X40" s="105">
        <f>SUM(P40:V40)</f>
        <v>99.4</v>
      </c>
      <c r="Y40" s="105">
        <f>W40+X40</f>
        <v>200</v>
      </c>
      <c r="Z40" s="103"/>
      <c r="AA40" s="103"/>
      <c r="AB40" s="102"/>
    </row>
    <row r="41" spans="1:29" s="107" customFormat="1" ht="15">
      <c r="A41" s="102"/>
      <c r="B41" s="102" t="s">
        <v>50</v>
      </c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</row>
    <row r="42" spans="1:29" s="107" customFormat="1" ht="1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</row>
    <row r="43" spans="1:29" s="107" customFormat="1" ht="15">
      <c r="A43" s="102"/>
      <c r="B43" s="102" t="s">
        <v>51</v>
      </c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</row>
    <row r="44" spans="1:29" s="107" customFormat="1" ht="15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</row>
    <row r="45" spans="1:29" s="107" customFormat="1" ht="15">
      <c r="A45" s="102"/>
      <c r="B45" s="102" t="s">
        <v>52</v>
      </c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</row>
    <row r="46" spans="1:29" s="107" customFormat="1" ht="1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</row>
    <row r="47" spans="1:29" s="107" customFormat="1" ht="15">
      <c r="A47" s="102"/>
      <c r="B47" s="102" t="s">
        <v>53</v>
      </c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</row>
    <row r="48" spans="1:29" s="107" customFormat="1" ht="15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</row>
    <row r="49" spans="1:28" s="107" customFormat="1" ht="15">
      <c r="A49" s="102"/>
      <c r="B49" s="102" t="s">
        <v>54</v>
      </c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2" t="s">
        <v>55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2" t="s">
        <v>56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7" t="s">
        <v>57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55"/>
  <sheetViews>
    <sheetView zoomScale="75" zoomScaleNormal="75" workbookViewId="0">
      <selection activeCell="A8" sqref="A8"/>
    </sheetView>
  </sheetViews>
  <sheetFormatPr defaultColWidth="11.42578125" defaultRowHeight="12.75"/>
  <cols>
    <col min="1" max="1" width="8.7109375" style="7" customWidth="1"/>
    <col min="2" max="8" width="12.7109375" style="7" customWidth="1"/>
    <col min="9" max="25" width="8.7109375" style="7" customWidth="1"/>
    <col min="26" max="27" width="12.7109375" style="7" customWidth="1"/>
    <col min="28" max="16384" width="11.42578125" style="7"/>
  </cols>
  <sheetData>
    <row r="1" spans="1:28" ht="18" customHeight="1">
      <c r="A1" s="1" t="s">
        <v>75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6"/>
      <c r="Y1" s="6"/>
      <c r="Z1" s="6"/>
      <c r="AA1" s="6"/>
      <c r="AB1" s="3"/>
    </row>
    <row r="2" spans="1:28" ht="18" customHeight="1">
      <c r="A2" s="3"/>
      <c r="B2" s="8" t="s">
        <v>59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8" t="s">
        <v>59</v>
      </c>
      <c r="W2" s="3"/>
      <c r="X2" s="3"/>
      <c r="Y2" s="3"/>
      <c r="Z2" s="3"/>
      <c r="AA2" s="3"/>
      <c r="AB2" s="3"/>
    </row>
    <row r="3" spans="1:28" ht="18" customHeight="1">
      <c r="A3" s="3"/>
      <c r="B3" s="8" t="s">
        <v>69</v>
      </c>
      <c r="C3" s="3"/>
      <c r="D3" s="3"/>
      <c r="E3" s="3"/>
      <c r="F3" s="3"/>
      <c r="G3" s="4" t="s">
        <v>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8" t="s">
        <v>69</v>
      </c>
      <c r="W3" s="3"/>
      <c r="X3" s="3"/>
      <c r="Y3" s="6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8" customHeight="1" thickTop="1" thickBot="1">
      <c r="A5" s="10" t="s">
        <v>7</v>
      </c>
      <c r="B5" s="11"/>
      <c r="C5" s="12" t="s">
        <v>8</v>
      </c>
      <c r="D5" s="13"/>
      <c r="E5" s="14"/>
      <c r="F5" s="13"/>
      <c r="G5" s="13"/>
      <c r="H5" s="15"/>
      <c r="I5" s="16" t="s">
        <v>9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2"/>
      <c r="Y5" s="17"/>
      <c r="Z5" s="14"/>
      <c r="AA5" s="18"/>
      <c r="AB5" s="3"/>
    </row>
    <row r="6" spans="1:28" ht="18" customHeight="1">
      <c r="A6" s="19"/>
      <c r="B6" s="20" t="s">
        <v>10</v>
      </c>
      <c r="C6" s="21" t="s">
        <v>11</v>
      </c>
      <c r="D6" s="22" t="s">
        <v>12</v>
      </c>
      <c r="E6" s="21" t="s">
        <v>12</v>
      </c>
      <c r="F6" s="23" t="s">
        <v>13</v>
      </c>
      <c r="G6" s="23" t="s">
        <v>14</v>
      </c>
      <c r="H6" s="23" t="s">
        <v>15</v>
      </c>
      <c r="I6" s="24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6"/>
      <c r="V6" s="27"/>
      <c r="W6" s="28"/>
      <c r="X6" s="29"/>
      <c r="Y6" s="30"/>
      <c r="Z6" s="31" t="s">
        <v>16</v>
      </c>
      <c r="AA6" s="32" t="s">
        <v>17</v>
      </c>
      <c r="AB6" s="3"/>
    </row>
    <row r="7" spans="1:28" ht="18" customHeight="1" thickBot="1">
      <c r="A7" s="33"/>
      <c r="B7" s="34" t="s">
        <v>18</v>
      </c>
      <c r="C7" s="35" t="s">
        <v>19</v>
      </c>
      <c r="D7" s="22" t="s">
        <v>20</v>
      </c>
      <c r="E7" s="23" t="s">
        <v>20</v>
      </c>
      <c r="F7" s="23" t="s">
        <v>21</v>
      </c>
      <c r="G7" s="23" t="s">
        <v>22</v>
      </c>
      <c r="H7" s="23" t="s">
        <v>23</v>
      </c>
      <c r="I7" s="36" t="s">
        <v>24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7"/>
      <c r="W7" s="38"/>
      <c r="X7" s="39" t="s">
        <v>25</v>
      </c>
      <c r="Y7" s="40"/>
      <c r="Z7" s="41" t="s">
        <v>26</v>
      </c>
      <c r="AA7" s="42" t="s">
        <v>27</v>
      </c>
      <c r="AB7" s="3"/>
    </row>
    <row r="8" spans="1:28" ht="18" customHeight="1" thickBot="1">
      <c r="A8" s="129"/>
      <c r="B8" s="44" t="s">
        <v>28</v>
      </c>
      <c r="C8" s="45" t="s">
        <v>29</v>
      </c>
      <c r="D8" s="45" t="s">
        <v>30</v>
      </c>
      <c r="E8" s="46" t="s">
        <v>31</v>
      </c>
      <c r="F8" s="46" t="s">
        <v>31</v>
      </c>
      <c r="G8" s="45" t="s">
        <v>31</v>
      </c>
      <c r="H8" s="23" t="s">
        <v>32</v>
      </c>
      <c r="I8" s="47" t="s">
        <v>33</v>
      </c>
      <c r="J8" s="48" t="s">
        <v>34</v>
      </c>
      <c r="K8" s="48" t="s">
        <v>35</v>
      </c>
      <c r="L8" s="48" t="s">
        <v>36</v>
      </c>
      <c r="M8" s="48" t="s">
        <v>37</v>
      </c>
      <c r="N8" s="48" t="s">
        <v>38</v>
      </c>
      <c r="O8" s="49" t="s">
        <v>39</v>
      </c>
      <c r="P8" s="48" t="s">
        <v>40</v>
      </c>
      <c r="Q8" s="48" t="s">
        <v>41</v>
      </c>
      <c r="R8" s="48" t="s">
        <v>42</v>
      </c>
      <c r="S8" s="48" t="s">
        <v>43</v>
      </c>
      <c r="T8" s="48" t="s">
        <v>44</v>
      </c>
      <c r="U8" s="48" t="s">
        <v>45</v>
      </c>
      <c r="V8" s="50" t="s">
        <v>46</v>
      </c>
      <c r="W8" s="53" t="s">
        <v>47</v>
      </c>
      <c r="X8" s="111" t="s">
        <v>48</v>
      </c>
      <c r="Y8" s="164" t="s">
        <v>49</v>
      </c>
      <c r="Z8" s="53" t="s">
        <v>49</v>
      </c>
      <c r="AA8" s="54" t="s">
        <v>49</v>
      </c>
      <c r="AB8" s="3"/>
    </row>
    <row r="9" spans="1:28" ht="18" customHeight="1">
      <c r="A9" s="72">
        <v>1</v>
      </c>
      <c r="B9" s="56">
        <v>18.100000000000001</v>
      </c>
      <c r="C9" s="73">
        <f>'[1]cálculos teóricos'!K155</f>
        <v>0.95354512848678641</v>
      </c>
      <c r="D9" s="58">
        <f>IF(B9&gt;0,B9*C9*14.25*1.022,-999)</f>
        <v>251.35387606478344</v>
      </c>
      <c r="E9" s="59">
        <f>IF(B9&gt;0,D9*4.1868/100,-999)</f>
        <v>10.523684083080353</v>
      </c>
      <c r="F9" s="60">
        <f>IF(B9&gt;0,(7.86+1.25*D9)*4.1868/100,-999)</f>
        <v>13.483687583850442</v>
      </c>
      <c r="G9" s="61">
        <f>'[1]cálculos teóricos'!T155</f>
        <v>22.917542258968254</v>
      </c>
      <c r="H9" s="62">
        <f>IF(B9&gt;0,100*F9/G9,-999)</f>
        <v>58.835661483612668</v>
      </c>
      <c r="I9" s="165"/>
      <c r="J9" s="63"/>
      <c r="K9" s="63"/>
      <c r="L9" s="166"/>
      <c r="M9" s="166"/>
      <c r="N9" s="166">
        <v>0.7</v>
      </c>
      <c r="O9" s="167">
        <v>1</v>
      </c>
      <c r="P9" s="166">
        <v>1</v>
      </c>
      <c r="Q9" s="166">
        <v>1</v>
      </c>
      <c r="R9" s="166">
        <v>0.8</v>
      </c>
      <c r="S9" s="63">
        <v>0.9</v>
      </c>
      <c r="T9" s="63">
        <v>0.2</v>
      </c>
      <c r="U9" s="63"/>
      <c r="V9" s="64"/>
      <c r="W9" s="118">
        <f>SUM(I9:O9)</f>
        <v>1.7</v>
      </c>
      <c r="X9" s="118">
        <f>SUM(P9:V9)</f>
        <v>3.9</v>
      </c>
      <c r="Y9" s="119">
        <f>W9+X9</f>
        <v>5.6</v>
      </c>
      <c r="Z9" s="70">
        <f>'[1]cálculos teóricos'!I155</f>
        <v>10.64454168952793</v>
      </c>
      <c r="AA9" s="71">
        <f>100*Y9/Z9</f>
        <v>52.609122716004428</v>
      </c>
      <c r="AB9" s="3"/>
    </row>
    <row r="10" spans="1:28" ht="18" customHeight="1">
      <c r="A10" s="72">
        <v>2</v>
      </c>
      <c r="B10" s="56">
        <v>20.6</v>
      </c>
      <c r="C10" s="73">
        <f>'[1]cálculos teóricos'!K156</f>
        <v>0.95306336176798911</v>
      </c>
      <c r="D10" s="58">
        <f>IF(B10&gt;0,B10*C10*14.25*1.022,-999)</f>
        <v>285.92672834362708</v>
      </c>
      <c r="E10" s="59">
        <f>IF(B10&gt;0,D10*4.1868/100,-999)</f>
        <v>11.971180262290977</v>
      </c>
      <c r="F10" s="60">
        <f>IF(B10&gt;0,(7.86+1.25*D10)*4.1868/100,-999)</f>
        <v>15.293057807863722</v>
      </c>
      <c r="G10" s="61">
        <f>'[1]cálculos teóricos'!T156</f>
        <v>22.835128135042794</v>
      </c>
      <c r="H10" s="74">
        <f>IF(B10&gt;0,100*F10/G10,-999)</f>
        <v>66.971631240356345</v>
      </c>
      <c r="I10" s="168"/>
      <c r="J10" s="78"/>
      <c r="K10" s="75">
        <v>0.6</v>
      </c>
      <c r="L10" s="75">
        <v>1</v>
      </c>
      <c r="M10" s="78">
        <v>1</v>
      </c>
      <c r="N10" s="78">
        <v>1</v>
      </c>
      <c r="O10" s="76">
        <v>1</v>
      </c>
      <c r="P10" s="78">
        <v>1</v>
      </c>
      <c r="Q10" s="78">
        <v>1</v>
      </c>
      <c r="R10" s="78">
        <v>1</v>
      </c>
      <c r="S10" s="75">
        <v>0.9</v>
      </c>
      <c r="T10" s="81">
        <v>0.1</v>
      </c>
      <c r="U10" s="81"/>
      <c r="V10" s="77"/>
      <c r="W10" s="118">
        <f t="shared" ref="W10:W38" si="0">SUM(I10:O10)</f>
        <v>4.5999999999999996</v>
      </c>
      <c r="X10" s="118">
        <f t="shared" ref="X10:X38" si="1">SUM(P10:V10)</f>
        <v>4</v>
      </c>
      <c r="Y10" s="169">
        <f t="shared" ref="Y10:Y19" si="2">W10+X10</f>
        <v>8.6</v>
      </c>
      <c r="Z10" s="70">
        <f>'[1]cálculos teóricos'!I156</f>
        <v>10.634995882936208</v>
      </c>
      <c r="AA10" s="71">
        <f t="shared" ref="AA10:AA38" si="3">100*Y10/Z10</f>
        <v>80.865099475954224</v>
      </c>
      <c r="AB10" s="3"/>
    </row>
    <row r="11" spans="1:28" ht="18" customHeight="1">
      <c r="A11" s="72">
        <v>3</v>
      </c>
      <c r="B11" s="56">
        <v>17.399999999999999</v>
      </c>
      <c r="C11" s="73">
        <f>'[1]cálculos teóricos'!K157</f>
        <v>0.95260277332976384</v>
      </c>
      <c r="D11" s="58">
        <f t="shared" ref="D11:D38" si="4">IF(B11&gt;0,B11*C11*14.25*1.022,-999)</f>
        <v>241.39421051535146</v>
      </c>
      <c r="E11" s="59">
        <f t="shared" ref="E11:E38" si="5">IF(B11&gt;0,D11*4.1868/100,-999)</f>
        <v>10.106692805856735</v>
      </c>
      <c r="F11" s="60">
        <f t="shared" ref="F11:F38" si="6">IF(B11&gt;0,(7.86+1.25*D11)*4.1868/100,-999)</f>
        <v>12.96244848732092</v>
      </c>
      <c r="G11" s="61">
        <f>'[1]cálculos teóricos'!T157</f>
        <v>22.756372966264053</v>
      </c>
      <c r="H11" s="74">
        <f t="shared" ref="H11:H38" si="7">IF(B11&gt;0,100*F11/G11,-999)</f>
        <v>56.961838806814839</v>
      </c>
      <c r="I11" s="168"/>
      <c r="J11" s="78"/>
      <c r="K11" s="75">
        <v>0.6</v>
      </c>
      <c r="L11" s="75">
        <v>1</v>
      </c>
      <c r="M11" s="78">
        <v>1</v>
      </c>
      <c r="N11" s="78">
        <v>1</v>
      </c>
      <c r="O11" s="76">
        <v>1</v>
      </c>
      <c r="P11" s="78">
        <v>1</v>
      </c>
      <c r="Q11" s="78">
        <v>0.9</v>
      </c>
      <c r="R11" s="78">
        <v>0.8</v>
      </c>
      <c r="S11" s="75">
        <v>1</v>
      </c>
      <c r="T11" s="81">
        <v>0.3</v>
      </c>
      <c r="U11" s="81"/>
      <c r="V11" s="77"/>
      <c r="W11" s="118">
        <f t="shared" si="0"/>
        <v>4.5999999999999996</v>
      </c>
      <c r="X11" s="118">
        <f t="shared" si="1"/>
        <v>4</v>
      </c>
      <c r="Y11" s="69">
        <f t="shared" si="2"/>
        <v>8.6</v>
      </c>
      <c r="Z11" s="70">
        <f>'[1]cálculos teóricos'!I157</f>
        <v>10.625873552451839</v>
      </c>
      <c r="AA11" s="71">
        <f t="shared" si="3"/>
        <v>80.934522301139339</v>
      </c>
      <c r="AB11" s="3"/>
    </row>
    <row r="12" spans="1:28" ht="18" customHeight="1">
      <c r="A12" s="72">
        <v>4</v>
      </c>
      <c r="B12" s="56">
        <v>19.7</v>
      </c>
      <c r="C12" s="73">
        <f>'[1]cálculos teóricos'!K158</f>
        <v>0.95216370032690345</v>
      </c>
      <c r="D12" s="58">
        <f t="shared" si="4"/>
        <v>273.17667017930387</v>
      </c>
      <c r="E12" s="59">
        <f t="shared" si="5"/>
        <v>11.437360827067094</v>
      </c>
      <c r="F12" s="60">
        <f t="shared" si="6"/>
        <v>14.62578351383387</v>
      </c>
      <c r="G12" s="61">
        <f>'[1]cálculos teóricos'!T158</f>
        <v>22.681311649854528</v>
      </c>
      <c r="H12" s="74">
        <f t="shared" si="7"/>
        <v>64.48385234337924</v>
      </c>
      <c r="I12" s="168"/>
      <c r="J12" s="78"/>
      <c r="K12" s="75">
        <v>0.2</v>
      </c>
      <c r="L12" s="75">
        <v>1</v>
      </c>
      <c r="M12" s="78">
        <v>1</v>
      </c>
      <c r="N12" s="78">
        <v>1</v>
      </c>
      <c r="O12" s="76">
        <v>1</v>
      </c>
      <c r="P12" s="78">
        <v>1</v>
      </c>
      <c r="Q12" s="78">
        <v>1</v>
      </c>
      <c r="R12" s="78">
        <v>1</v>
      </c>
      <c r="S12" s="75">
        <v>1</v>
      </c>
      <c r="T12" s="81">
        <v>0.7</v>
      </c>
      <c r="U12" s="81"/>
      <c r="V12" s="77"/>
      <c r="W12" s="118">
        <f t="shared" si="0"/>
        <v>4.2</v>
      </c>
      <c r="X12" s="118">
        <f t="shared" si="1"/>
        <v>4.7</v>
      </c>
      <c r="Y12" s="69">
        <f t="shared" si="2"/>
        <v>8.9</v>
      </c>
      <c r="Z12" s="70">
        <f>'[1]cálculos teóricos'!I158</f>
        <v>10.617180669306048</v>
      </c>
      <c r="AA12" s="71">
        <f t="shared" si="3"/>
        <v>83.826396829900744</v>
      </c>
      <c r="AB12" s="3"/>
    </row>
    <row r="13" spans="1:28" ht="18" customHeight="1">
      <c r="A13" s="72">
        <v>5</v>
      </c>
      <c r="B13" s="56">
        <v>21.5</v>
      </c>
      <c r="C13" s="73">
        <f>'[1]cálculos teóricos'!K159</f>
        <v>0.95174646542982722</v>
      </c>
      <c r="D13" s="58">
        <f t="shared" si="4"/>
        <v>298.00633245967668</v>
      </c>
      <c r="E13" s="59">
        <f t="shared" si="5"/>
        <v>12.476929127421743</v>
      </c>
      <c r="F13" s="60">
        <f t="shared" si="6"/>
        <v>15.92524388927718</v>
      </c>
      <c r="G13" s="61">
        <f>'[1]cálculos teóricos'!T159</f>
        <v>22.609977337551737</v>
      </c>
      <c r="H13" s="74">
        <f t="shared" si="7"/>
        <v>70.434585809282396</v>
      </c>
      <c r="I13" s="168"/>
      <c r="J13" s="78"/>
      <c r="K13" s="75">
        <v>0.8</v>
      </c>
      <c r="L13" s="75">
        <v>1</v>
      </c>
      <c r="M13" s="78">
        <v>1</v>
      </c>
      <c r="N13" s="78">
        <v>1</v>
      </c>
      <c r="O13" s="76">
        <v>1</v>
      </c>
      <c r="P13" s="78">
        <v>1</v>
      </c>
      <c r="Q13" s="78">
        <v>1</v>
      </c>
      <c r="R13" s="78">
        <v>1</v>
      </c>
      <c r="S13" s="75">
        <v>1</v>
      </c>
      <c r="T13" s="81">
        <v>0.7</v>
      </c>
      <c r="U13" s="81"/>
      <c r="V13" s="77"/>
      <c r="W13" s="118">
        <f t="shared" si="0"/>
        <v>4.8</v>
      </c>
      <c r="X13" s="118">
        <f t="shared" si="1"/>
        <v>4.7</v>
      </c>
      <c r="Y13" s="69">
        <f t="shared" si="2"/>
        <v>9.5</v>
      </c>
      <c r="Z13" s="70">
        <f>'[1]cálculos teóricos'!I159</f>
        <v>10.608922985289027</v>
      </c>
      <c r="AA13" s="71">
        <f t="shared" si="3"/>
        <v>89.547261424871053</v>
      </c>
      <c r="AB13" s="3"/>
    </row>
    <row r="14" spans="1:28" ht="18" customHeight="1">
      <c r="A14" s="72">
        <v>6</v>
      </c>
      <c r="B14" s="56">
        <v>13.6</v>
      </c>
      <c r="C14" s="73">
        <f>'[1]cálculos teóricos'!K160</f>
        <v>0.95135137635435019</v>
      </c>
      <c r="D14" s="58">
        <f t="shared" si="4"/>
        <v>188.42807846569747</v>
      </c>
      <c r="E14" s="59">
        <f t="shared" si="5"/>
        <v>7.8891067892018212</v>
      </c>
      <c r="F14" s="60">
        <f t="shared" si="6"/>
        <v>10.190465966502277</v>
      </c>
      <c r="G14" s="61">
        <f>'[1]cálculos teóricos'!T160</f>
        <v>22.542401412452758</v>
      </c>
      <c r="H14" s="74">
        <f t="shared" si="7"/>
        <v>45.20576925257356</v>
      </c>
      <c r="I14" s="168"/>
      <c r="J14" s="78"/>
      <c r="K14" s="75"/>
      <c r="L14" s="75"/>
      <c r="M14" s="75"/>
      <c r="N14" s="75"/>
      <c r="O14" s="76"/>
      <c r="P14" s="78">
        <v>0.8</v>
      </c>
      <c r="Q14" s="78">
        <v>1</v>
      </c>
      <c r="R14" s="75">
        <v>1</v>
      </c>
      <c r="S14" s="75">
        <v>0.6</v>
      </c>
      <c r="T14" s="81">
        <v>0.5</v>
      </c>
      <c r="U14" s="81"/>
      <c r="V14" s="77"/>
      <c r="W14" s="118">
        <f t="shared" si="0"/>
        <v>0</v>
      </c>
      <c r="X14" s="118">
        <f t="shared" si="1"/>
        <v>3.9</v>
      </c>
      <c r="Y14" s="69">
        <f t="shared" si="2"/>
        <v>3.9</v>
      </c>
      <c r="Z14" s="70">
        <f>'[1]cálculos teóricos'!I160</f>
        <v>10.601106019475857</v>
      </c>
      <c r="AA14" s="71">
        <f t="shared" si="3"/>
        <v>36.788614252466694</v>
      </c>
      <c r="AB14" s="3"/>
    </row>
    <row r="15" spans="1:28" ht="18" customHeight="1">
      <c r="A15" s="72">
        <v>7</v>
      </c>
      <c r="B15" s="56">
        <v>5.4</v>
      </c>
      <c r="C15" s="73">
        <f>'[1]cálculos teóricos'!K161</f>
        <v>0.9509787254095502</v>
      </c>
      <c r="D15" s="58">
        <f t="shared" si="4"/>
        <v>74.787724804510731</v>
      </c>
      <c r="E15" s="59">
        <f t="shared" si="5"/>
        <v>3.1312124621152555</v>
      </c>
      <c r="F15" s="60">
        <f t="shared" si="6"/>
        <v>4.2430980576440689</v>
      </c>
      <c r="G15" s="61">
        <f>'[1]cálculos teóricos'!T161</f>
        <v>22.478613467264381</v>
      </c>
      <c r="H15" s="74">
        <f t="shared" si="7"/>
        <v>18.876155612637294</v>
      </c>
      <c r="I15" s="168"/>
      <c r="J15" s="78"/>
      <c r="K15" s="75"/>
      <c r="L15" s="75"/>
      <c r="M15" s="75"/>
      <c r="N15" s="75"/>
      <c r="O15" s="76"/>
      <c r="P15" s="78"/>
      <c r="Q15" s="78"/>
      <c r="R15" s="75"/>
      <c r="S15" s="81"/>
      <c r="T15" s="81"/>
      <c r="U15" s="81"/>
      <c r="V15" s="77"/>
      <c r="W15" s="118">
        <f t="shared" si="0"/>
        <v>0</v>
      </c>
      <c r="X15" s="118">
        <f t="shared" si="1"/>
        <v>0</v>
      </c>
      <c r="Y15" s="69">
        <f t="shared" si="2"/>
        <v>0</v>
      </c>
      <c r="Z15" s="70">
        <f>'[1]cálculos teóricos'!I161</f>
        <v>10.593735045285838</v>
      </c>
      <c r="AA15" s="71">
        <f t="shared" si="3"/>
        <v>0</v>
      </c>
      <c r="AB15" s="3"/>
    </row>
    <row r="16" spans="1:28" ht="18" customHeight="1">
      <c r="A16" s="79">
        <v>8</v>
      </c>
      <c r="B16" s="75">
        <v>7.9</v>
      </c>
      <c r="C16" s="73">
        <f>'[1]cálculos teóricos'!K162</f>
        <v>0.95062878906497217</v>
      </c>
      <c r="D16" s="58">
        <f t="shared" si="4"/>
        <v>109.37141071942702</v>
      </c>
      <c r="E16" s="59">
        <f t="shared" si="5"/>
        <v>4.5791622240009699</v>
      </c>
      <c r="F16" s="60">
        <f t="shared" si="6"/>
        <v>6.0530352600012129</v>
      </c>
      <c r="G16" s="61">
        <f>'[1]cálculos teóricos'!T162</f>
        <v>22.418641283973457</v>
      </c>
      <c r="H16" s="74">
        <f t="shared" si="7"/>
        <v>27.000009426656831</v>
      </c>
      <c r="I16" s="170"/>
      <c r="J16" s="81"/>
      <c r="K16" s="80"/>
      <c r="L16" s="75"/>
      <c r="M16" s="75">
        <v>0.1</v>
      </c>
      <c r="N16" s="75">
        <v>0.1</v>
      </c>
      <c r="O16" s="76">
        <v>0.2</v>
      </c>
      <c r="P16" s="78"/>
      <c r="Q16" s="78"/>
      <c r="R16" s="80"/>
      <c r="S16" s="80"/>
      <c r="T16" s="80"/>
      <c r="U16" s="80"/>
      <c r="V16" s="77"/>
      <c r="W16" s="118">
        <f t="shared" si="0"/>
        <v>0.4</v>
      </c>
      <c r="X16" s="118">
        <f t="shared" si="1"/>
        <v>0</v>
      </c>
      <c r="Y16" s="69">
        <f t="shared" si="2"/>
        <v>0.4</v>
      </c>
      <c r="Z16" s="70">
        <f>'[1]cálculos teóricos'!I162</f>
        <v>10.586815077931689</v>
      </c>
      <c r="AA16" s="71">
        <f t="shared" si="3"/>
        <v>3.7782845648622274</v>
      </c>
      <c r="AB16" s="3"/>
    </row>
    <row r="17" spans="1:28" ht="18" customHeight="1">
      <c r="A17" s="79">
        <v>9</v>
      </c>
      <c r="B17" s="75">
        <v>12.6</v>
      </c>
      <c r="C17" s="73">
        <f>'[1]cálculos teóricos'!K163</f>
        <v>0.95030182753836612</v>
      </c>
      <c r="D17" s="58">
        <f t="shared" si="4"/>
        <v>174.38048038347293</v>
      </c>
      <c r="E17" s="59">
        <f t="shared" si="5"/>
        <v>7.3009619526952436</v>
      </c>
      <c r="F17" s="60">
        <f t="shared" si="6"/>
        <v>9.4552849208690546</v>
      </c>
      <c r="G17" s="61">
        <f>'[1]cálculos teóricos'!T163</f>
        <v>22.362510814947974</v>
      </c>
      <c r="H17" s="74">
        <f t="shared" si="7"/>
        <v>42.281857342015336</v>
      </c>
      <c r="I17" s="170"/>
      <c r="J17" s="81"/>
      <c r="K17" s="80"/>
      <c r="L17" s="80">
        <v>0.1</v>
      </c>
      <c r="M17" s="80">
        <v>0.8</v>
      </c>
      <c r="N17" s="80">
        <v>0.1</v>
      </c>
      <c r="O17" s="77">
        <v>0.2</v>
      </c>
      <c r="P17" s="81">
        <v>0.2</v>
      </c>
      <c r="Q17" s="81">
        <v>0.7</v>
      </c>
      <c r="R17" s="80">
        <v>1</v>
      </c>
      <c r="S17" s="80">
        <v>1</v>
      </c>
      <c r="T17" s="80">
        <v>0.6</v>
      </c>
      <c r="U17" s="80"/>
      <c r="V17" s="77"/>
      <c r="W17" s="118">
        <f t="shared" si="0"/>
        <v>1.2</v>
      </c>
      <c r="X17" s="118">
        <f t="shared" si="1"/>
        <v>3.5</v>
      </c>
      <c r="Y17" s="69">
        <f t="shared" si="2"/>
        <v>4.7</v>
      </c>
      <c r="Z17" s="70">
        <f>'[1]cálculos teóricos'!I163</f>
        <v>10.580350862314617</v>
      </c>
      <c r="AA17" s="71">
        <f t="shared" si="3"/>
        <v>44.421967297328372</v>
      </c>
      <c r="AB17" s="3"/>
    </row>
    <row r="18" spans="1:28" ht="18" customHeight="1">
      <c r="A18" s="79">
        <v>10</v>
      </c>
      <c r="B18" s="75">
        <v>5.4</v>
      </c>
      <c r="C18" s="73">
        <f>'[1]cálculos teóricos'!K164</f>
        <v>0.94999808440510503</v>
      </c>
      <c r="D18" s="58">
        <f t="shared" si="4"/>
        <v>74.710604352062248</v>
      </c>
      <c r="E18" s="59">
        <f t="shared" si="5"/>
        <v>3.1279835830121421</v>
      </c>
      <c r="F18" s="60">
        <f t="shared" si="6"/>
        <v>4.2390619587651779</v>
      </c>
      <c r="G18" s="61">
        <f>'[1]cálculos teóricos'!T164</f>
        <v>22.310246165477785</v>
      </c>
      <c r="H18" s="74">
        <f t="shared" si="7"/>
        <v>19.000516297863971</v>
      </c>
      <c r="I18" s="170"/>
      <c r="J18" s="81"/>
      <c r="K18" s="80"/>
      <c r="L18" s="80"/>
      <c r="M18" s="80"/>
      <c r="N18" s="80"/>
      <c r="O18" s="77"/>
      <c r="P18" s="78"/>
      <c r="Q18" s="81"/>
      <c r="R18" s="80"/>
      <c r="S18" s="80"/>
      <c r="T18" s="80"/>
      <c r="U18" s="80"/>
      <c r="V18" s="77"/>
      <c r="W18" s="118">
        <f t="shared" si="0"/>
        <v>0</v>
      </c>
      <c r="X18" s="118">
        <f t="shared" si="1"/>
        <v>0</v>
      </c>
      <c r="Y18" s="69">
        <f t="shared" si="2"/>
        <v>0</v>
      </c>
      <c r="Z18" s="70">
        <f>'[1]cálculos teóricos'!I164</f>
        <v>10.57434686142002</v>
      </c>
      <c r="AA18" s="71">
        <f t="shared" si="3"/>
        <v>0</v>
      </c>
      <c r="AB18" s="3"/>
    </row>
    <row r="19" spans="1:28" ht="18" customHeight="1">
      <c r="A19" s="79">
        <v>11</v>
      </c>
      <c r="B19" s="75">
        <v>6.6</v>
      </c>
      <c r="C19" s="73">
        <f>'[1]cálculos teóricos'!K165</f>
        <v>0.94971778623038505</v>
      </c>
      <c r="D19" s="58">
        <f t="shared" si="4"/>
        <v>91.286018866456999</v>
      </c>
      <c r="E19" s="59">
        <f t="shared" si="5"/>
        <v>3.8219630379008214</v>
      </c>
      <c r="F19" s="60">
        <f t="shared" si="6"/>
        <v>5.1065362773760263</v>
      </c>
      <c r="G19" s="61">
        <f>'[1]cálculos teóricos'!T165</f>
        <v>22.261869577761775</v>
      </c>
      <c r="H19" s="74">
        <f t="shared" si="7"/>
        <v>22.938487980709127</v>
      </c>
      <c r="I19" s="170"/>
      <c r="J19" s="81"/>
      <c r="K19" s="80"/>
      <c r="L19" s="80"/>
      <c r="M19" s="80"/>
      <c r="N19" s="80"/>
      <c r="O19" s="77"/>
      <c r="P19" s="78"/>
      <c r="Q19" s="81"/>
      <c r="R19" s="80"/>
      <c r="S19" s="80"/>
      <c r="T19" s="80"/>
      <c r="U19" s="80"/>
      <c r="V19" s="77"/>
      <c r="W19" s="118">
        <f t="shared" si="0"/>
        <v>0</v>
      </c>
      <c r="X19" s="118">
        <f t="shared" si="1"/>
        <v>0</v>
      </c>
      <c r="Y19" s="69">
        <f t="shared" si="2"/>
        <v>0</v>
      </c>
      <c r="Z19" s="70">
        <f>'[1]cálculos teóricos'!I165</f>
        <v>10.568807245267474</v>
      </c>
      <c r="AA19" s="71">
        <f t="shared" si="3"/>
        <v>0</v>
      </c>
      <c r="AB19" s="3"/>
    </row>
    <row r="20" spans="1:28" ht="18" customHeight="1">
      <c r="A20" s="79">
        <v>12</v>
      </c>
      <c r="B20" s="75">
        <v>19</v>
      </c>
      <c r="C20" s="73">
        <f>'[1]cálculos teóricos'!K166</f>
        <v>0.94946114222524891</v>
      </c>
      <c r="D20" s="58">
        <f t="shared" si="4"/>
        <v>262.72206955115087</v>
      </c>
      <c r="E20" s="59">
        <f t="shared" si="5"/>
        <v>10.999647607967583</v>
      </c>
      <c r="F20" s="60">
        <f t="shared" si="6"/>
        <v>14.078641989959483</v>
      </c>
      <c r="G20" s="61">
        <f>'[1]cálculos teóricos'!T166</f>
        <v>22.217401416345737</v>
      </c>
      <c r="H20" s="74">
        <f t="shared" si="7"/>
        <v>63.367635692991421</v>
      </c>
      <c r="I20" s="170"/>
      <c r="J20" s="81"/>
      <c r="K20" s="80"/>
      <c r="L20" s="80">
        <v>0.2</v>
      </c>
      <c r="M20" s="80">
        <v>0.9</v>
      </c>
      <c r="N20" s="80">
        <v>1</v>
      </c>
      <c r="O20" s="77">
        <v>1</v>
      </c>
      <c r="P20" s="78">
        <v>1</v>
      </c>
      <c r="Q20" s="81">
        <v>1</v>
      </c>
      <c r="R20" s="80">
        <v>1</v>
      </c>
      <c r="S20" s="80">
        <v>0.9</v>
      </c>
      <c r="T20" s="80">
        <v>0.5</v>
      </c>
      <c r="U20" s="80"/>
      <c r="V20" s="77"/>
      <c r="W20" s="118">
        <f t="shared" si="0"/>
        <v>3.1</v>
      </c>
      <c r="X20" s="118">
        <f t="shared" si="1"/>
        <v>4.4000000000000004</v>
      </c>
      <c r="Y20" s="69">
        <f>W20+X20</f>
        <v>7.5</v>
      </c>
      <c r="Z20" s="70">
        <f>'[1]cálculos teóricos'!I166</f>
        <v>10.563735880466673</v>
      </c>
      <c r="AA20" s="71">
        <f t="shared" si="3"/>
        <v>70.997609982545995</v>
      </c>
      <c r="AB20" s="3"/>
    </row>
    <row r="21" spans="1:28" ht="18" customHeight="1">
      <c r="A21" s="79">
        <v>13</v>
      </c>
      <c r="B21" s="171">
        <v>21.9</v>
      </c>
      <c r="C21" s="73">
        <f>'[1]cálculos teóricos'!K167</f>
        <v>0.9492283439274154</v>
      </c>
      <c r="D21" s="58">
        <f t="shared" si="4"/>
        <v>302.7475050106334</v>
      </c>
      <c r="E21" s="59">
        <f t="shared" si="5"/>
        <v>12.675432539785199</v>
      </c>
      <c r="F21" s="60">
        <f t="shared" si="6"/>
        <v>16.173373154731497</v>
      </c>
      <c r="G21" s="61">
        <f>'[1]cálculos teóricos'!T167</f>
        <v>22.176860155014239</v>
      </c>
      <c r="H21" s="74">
        <f t="shared" si="7"/>
        <v>72.929048754788042</v>
      </c>
      <c r="I21" s="170"/>
      <c r="J21" s="81"/>
      <c r="K21" s="80">
        <v>0.6</v>
      </c>
      <c r="L21" s="80">
        <v>1</v>
      </c>
      <c r="M21" s="80">
        <v>1</v>
      </c>
      <c r="N21" s="80">
        <v>1</v>
      </c>
      <c r="O21" s="77">
        <v>1</v>
      </c>
      <c r="P21" s="78">
        <v>1</v>
      </c>
      <c r="Q21" s="81">
        <v>1</v>
      </c>
      <c r="R21" s="80">
        <v>1</v>
      </c>
      <c r="S21" s="80">
        <v>1</v>
      </c>
      <c r="T21" s="80">
        <v>0.5</v>
      </c>
      <c r="U21" s="80"/>
      <c r="V21" s="77"/>
      <c r="W21" s="118">
        <f t="shared" si="0"/>
        <v>4.5999999999999996</v>
      </c>
      <c r="X21" s="118">
        <f t="shared" si="1"/>
        <v>4.5</v>
      </c>
      <c r="Y21" s="69">
        <f>W21+X21</f>
        <v>9.1</v>
      </c>
      <c r="Z21" s="70">
        <f>'[1]cálculos teóricos'!I167</f>
        <v>10.559136320429129</v>
      </c>
      <c r="AA21" s="71">
        <f t="shared" si="3"/>
        <v>86.181291005722812</v>
      </c>
      <c r="AB21" s="3"/>
    </row>
    <row r="22" spans="1:28" ht="18" customHeight="1">
      <c r="A22" s="79">
        <v>14</v>
      </c>
      <c r="B22" s="75">
        <v>19.600000000000001</v>
      </c>
      <c r="C22" s="73">
        <f>'[1]cálculos teóricos'!K168</f>
        <v>0.94901956490783757</v>
      </c>
      <c r="D22" s="58">
        <f t="shared" si="4"/>
        <v>270.89251009729173</v>
      </c>
      <c r="E22" s="59">
        <f t="shared" si="5"/>
        <v>11.341727612753409</v>
      </c>
      <c r="F22" s="60">
        <f t="shared" si="6"/>
        <v>14.506241995941764</v>
      </c>
      <c r="G22" s="61">
        <f>'[1]cálculos teóricos'!T168</f>
        <v>22.140262365137801</v>
      </c>
      <c r="H22" s="74">
        <f t="shared" si="7"/>
        <v>65.519738459754592</v>
      </c>
      <c r="I22" s="170"/>
      <c r="J22" s="81"/>
      <c r="K22" s="80">
        <v>0.3</v>
      </c>
      <c r="L22" s="80">
        <v>0.9</v>
      </c>
      <c r="M22" s="80">
        <v>1</v>
      </c>
      <c r="N22" s="80">
        <v>1</v>
      </c>
      <c r="O22" s="77">
        <v>1</v>
      </c>
      <c r="P22" s="78">
        <v>1</v>
      </c>
      <c r="Q22" s="81">
        <v>1</v>
      </c>
      <c r="R22" s="80">
        <v>1</v>
      </c>
      <c r="S22" s="80">
        <v>1</v>
      </c>
      <c r="T22" s="80">
        <v>0.5</v>
      </c>
      <c r="U22" s="80"/>
      <c r="V22" s="77"/>
      <c r="W22" s="118">
        <f t="shared" si="0"/>
        <v>4.2</v>
      </c>
      <c r="X22" s="118">
        <f t="shared" si="1"/>
        <v>4.5</v>
      </c>
      <c r="Y22" s="69">
        <f>W22+X22</f>
        <v>8.6999999999999993</v>
      </c>
      <c r="Z22" s="70">
        <f>'[1]cálculos teóricos'!I168</f>
        <v>10.555011796282567</v>
      </c>
      <c r="AA22" s="71">
        <f t="shared" si="3"/>
        <v>82.425298691415051</v>
      </c>
      <c r="AB22" s="3"/>
    </row>
    <row r="23" spans="1:28" ht="18" customHeight="1">
      <c r="A23" s="79">
        <v>15</v>
      </c>
      <c r="B23" s="75">
        <v>18.600000000000001</v>
      </c>
      <c r="C23" s="73">
        <f>'[1]cálculos teóricos'!K169</f>
        <v>0.94883496050383698</v>
      </c>
      <c r="D23" s="58">
        <f t="shared" si="4"/>
        <v>257.02145781973593</v>
      </c>
      <c r="E23" s="59">
        <f t="shared" si="5"/>
        <v>10.760974395996705</v>
      </c>
      <c r="F23" s="60">
        <f t="shared" si="6"/>
        <v>13.780300474995881</v>
      </c>
      <c r="G23" s="61">
        <f>'[1]cálculos teóricos'!T169</f>
        <v>22.107622705475894</v>
      </c>
      <c r="H23" s="74">
        <f t="shared" si="7"/>
        <v>62.332801036913857</v>
      </c>
      <c r="I23" s="170"/>
      <c r="J23" s="81"/>
      <c r="K23" s="80"/>
      <c r="L23" s="80"/>
      <c r="M23" s="80">
        <v>0.6</v>
      </c>
      <c r="N23" s="80">
        <v>1</v>
      </c>
      <c r="O23" s="77">
        <v>1</v>
      </c>
      <c r="P23" s="78">
        <v>1</v>
      </c>
      <c r="Q23" s="81">
        <v>1</v>
      </c>
      <c r="R23" s="80">
        <v>1</v>
      </c>
      <c r="S23" s="80">
        <v>0.9</v>
      </c>
      <c r="T23" s="80"/>
      <c r="U23" s="80"/>
      <c r="V23" s="77"/>
      <c r="W23" s="118">
        <f t="shared" si="0"/>
        <v>2.6</v>
      </c>
      <c r="X23" s="118">
        <f t="shared" si="1"/>
        <v>3.9</v>
      </c>
      <c r="Y23" s="69">
        <f>W23+X23</f>
        <v>6.5</v>
      </c>
      <c r="Z23" s="70">
        <f>'[1]cálculos teóricos'!I169</f>
        <v>10.551365208532534</v>
      </c>
      <c r="AA23" s="71">
        <f t="shared" si="3"/>
        <v>61.603402702274664</v>
      </c>
      <c r="AB23" s="3"/>
    </row>
    <row r="24" spans="1:28" ht="18" customHeight="1">
      <c r="A24" s="79">
        <v>16</v>
      </c>
      <c r="B24" s="75">
        <v>15.2</v>
      </c>
      <c r="C24" s="73">
        <f>'[1]cálculos teóricos'!K170</f>
        <v>0.9486746675795964</v>
      </c>
      <c r="D24" s="58">
        <f t="shared" si="4"/>
        <v>210.00355752369089</v>
      </c>
      <c r="E24" s="59">
        <f t="shared" si="5"/>
        <v>8.7924289464018894</v>
      </c>
      <c r="F24" s="60">
        <f t="shared" si="6"/>
        <v>11.319618663002361</v>
      </c>
      <c r="G24" s="61">
        <f>'[1]cálculos teóricos'!T170</f>
        <v>22.078953913434933</v>
      </c>
      <c r="H24" s="74">
        <f t="shared" si="7"/>
        <v>51.268817840660603</v>
      </c>
      <c r="I24" s="170"/>
      <c r="J24" s="81"/>
      <c r="K24" s="80"/>
      <c r="L24" s="80">
        <v>0.7</v>
      </c>
      <c r="M24" s="80">
        <v>1</v>
      </c>
      <c r="N24" s="80">
        <v>0.4</v>
      </c>
      <c r="O24" s="77">
        <v>0.9</v>
      </c>
      <c r="P24" s="81">
        <v>0.6</v>
      </c>
      <c r="Q24" s="80">
        <v>0.8</v>
      </c>
      <c r="R24" s="80">
        <v>0.8</v>
      </c>
      <c r="S24" s="80">
        <v>0.3</v>
      </c>
      <c r="T24" s="80">
        <v>0.1</v>
      </c>
      <c r="U24" s="80"/>
      <c r="V24" s="77"/>
      <c r="W24" s="118">
        <f t="shared" si="0"/>
        <v>3</v>
      </c>
      <c r="X24" s="118">
        <f t="shared" si="1"/>
        <v>2.6</v>
      </c>
      <c r="Y24" s="69">
        <f>W24+X24</f>
        <v>5.6</v>
      </c>
      <c r="Z24" s="70">
        <f>'[1]cálculos teóricos'!I170</f>
        <v>10.54819911951218</v>
      </c>
      <c r="AA24" s="71">
        <f t="shared" si="3"/>
        <v>53.089631097701364</v>
      </c>
      <c r="AB24" s="3"/>
    </row>
    <row r="25" spans="1:28" ht="18" customHeight="1">
      <c r="A25" s="84">
        <v>17</v>
      </c>
      <c r="B25" s="75">
        <v>13.1</v>
      </c>
      <c r="C25" s="73">
        <f>'[1]cálculos teóricos'!K171</f>
        <v>0.94853880431471793</v>
      </c>
      <c r="D25" s="58">
        <f t="shared" si="4"/>
        <v>180.96398788394987</v>
      </c>
      <c r="E25" s="59">
        <f t="shared" si="5"/>
        <v>7.5766002447252125</v>
      </c>
      <c r="F25" s="60">
        <f t="shared" si="6"/>
        <v>9.7998327859065153</v>
      </c>
      <c r="G25" s="61">
        <f>'[1]cálculos teóricos'!T171</f>
        <v>22.054266797780116</v>
      </c>
      <c r="H25" s="74">
        <f t="shared" si="7"/>
        <v>44.435087666994768</v>
      </c>
      <c r="I25" s="170"/>
      <c r="J25" s="81"/>
      <c r="K25" s="80"/>
      <c r="L25" s="80">
        <v>0.1</v>
      </c>
      <c r="M25" s="80"/>
      <c r="N25" s="80">
        <v>0.1</v>
      </c>
      <c r="O25" s="77">
        <v>0.2</v>
      </c>
      <c r="P25" s="81">
        <v>0.9</v>
      </c>
      <c r="Q25" s="80">
        <v>0.2</v>
      </c>
      <c r="R25" s="80">
        <v>0.7</v>
      </c>
      <c r="S25" s="80">
        <v>0.7</v>
      </c>
      <c r="T25" s="80">
        <v>0.1</v>
      </c>
      <c r="U25" s="80"/>
      <c r="V25" s="77"/>
      <c r="W25" s="118">
        <f t="shared" si="0"/>
        <v>0.4</v>
      </c>
      <c r="X25" s="118">
        <f t="shared" si="1"/>
        <v>2.6</v>
      </c>
      <c r="Y25" s="69">
        <f t="shared" ref="Y25:Y33" si="8">W25+X25</f>
        <v>3</v>
      </c>
      <c r="Z25" s="70">
        <f>'[1]cálculos teóricos'!I171</f>
        <v>10.545515746657909</v>
      </c>
      <c r="AA25" s="71">
        <f t="shared" si="3"/>
        <v>28.448110761683342</v>
      </c>
      <c r="AB25" s="3"/>
    </row>
    <row r="26" spans="1:28" ht="18" customHeight="1">
      <c r="A26" s="84">
        <v>18</v>
      </c>
      <c r="B26" s="75">
        <v>18.100000000000001</v>
      </c>
      <c r="C26" s="73">
        <f>'[1]cálculos teóricos'!K172</f>
        <v>0.94842747002147099</v>
      </c>
      <c r="D26" s="58">
        <f t="shared" si="4"/>
        <v>250.00486461980424</v>
      </c>
      <c r="E26" s="59">
        <f t="shared" si="5"/>
        <v>10.467203671901963</v>
      </c>
      <c r="F26" s="60">
        <f t="shared" si="6"/>
        <v>13.413087069877454</v>
      </c>
      <c r="G26" s="61">
        <f>'[1]cálculos teóricos'!T172</f>
        <v>22.033570232799129</v>
      </c>
      <c r="H26" s="74">
        <f t="shared" si="7"/>
        <v>60.875686183216729</v>
      </c>
      <c r="I26" s="170"/>
      <c r="J26" s="81"/>
      <c r="K26" s="80">
        <v>0.3</v>
      </c>
      <c r="L26" s="80">
        <v>0.2</v>
      </c>
      <c r="M26" s="80">
        <v>1</v>
      </c>
      <c r="N26" s="80">
        <v>1</v>
      </c>
      <c r="O26" s="77">
        <v>1</v>
      </c>
      <c r="P26" s="81">
        <v>1</v>
      </c>
      <c r="Q26" s="80">
        <v>1</v>
      </c>
      <c r="R26" s="80">
        <v>1</v>
      </c>
      <c r="S26" s="80">
        <v>0.9</v>
      </c>
      <c r="T26" s="80">
        <v>0.2</v>
      </c>
      <c r="U26" s="80"/>
      <c r="V26" s="77"/>
      <c r="W26" s="118">
        <f t="shared" si="0"/>
        <v>3.5</v>
      </c>
      <c r="X26" s="118">
        <f t="shared" si="1"/>
        <v>4.0999999999999996</v>
      </c>
      <c r="Y26" s="69">
        <f t="shared" si="8"/>
        <v>7.6</v>
      </c>
      <c r="Z26" s="70">
        <f>'[1]cálculos teóricos'!I172</f>
        <v>10.543316956644638</v>
      </c>
      <c r="AA26" s="71">
        <f t="shared" si="3"/>
        <v>72.083577030379487</v>
      </c>
      <c r="AB26" s="3"/>
    </row>
    <row r="27" spans="1:28" ht="18" customHeight="1">
      <c r="A27" s="84">
        <v>19</v>
      </c>
      <c r="B27" s="75">
        <v>10.6</v>
      </c>
      <c r="C27" s="73">
        <f>'[1]cálculos teóricos'!K173</f>
        <v>0.94834074499127929</v>
      </c>
      <c r="D27" s="58">
        <f t="shared" si="4"/>
        <v>146.39830066061327</v>
      </c>
      <c r="E27" s="59">
        <f t="shared" si="5"/>
        <v>6.1294040520585567</v>
      </c>
      <c r="F27" s="60">
        <f t="shared" si="6"/>
        <v>7.9908375450731954</v>
      </c>
      <c r="G27" s="61">
        <f>'[1]cálculos teóricos'!T173</f>
        <v>22.016871153915464</v>
      </c>
      <c r="H27" s="74">
        <f t="shared" si="7"/>
        <v>36.294155918935424</v>
      </c>
      <c r="I27" s="170"/>
      <c r="J27" s="81"/>
      <c r="K27" s="80"/>
      <c r="L27" s="80"/>
      <c r="M27" s="80"/>
      <c r="N27" s="80">
        <v>0.4</v>
      </c>
      <c r="O27" s="77"/>
      <c r="P27" s="81">
        <v>0.5</v>
      </c>
      <c r="Q27" s="80">
        <v>0.2</v>
      </c>
      <c r="R27" s="80">
        <v>0.7</v>
      </c>
      <c r="S27" s="80">
        <v>0.5</v>
      </c>
      <c r="T27" s="80"/>
      <c r="U27" s="80"/>
      <c r="V27" s="77"/>
      <c r="W27" s="118">
        <f t="shared" si="0"/>
        <v>0.4</v>
      </c>
      <c r="X27" s="118">
        <f t="shared" si="1"/>
        <v>1.9</v>
      </c>
      <c r="Y27" s="69">
        <f t="shared" si="8"/>
        <v>2.2999999999999998</v>
      </c>
      <c r="Z27" s="70">
        <f>'[1]cálculos teóricos'!I173</f>
        <v>10.541604260410397</v>
      </c>
      <c r="AA27" s="71">
        <f t="shared" si="3"/>
        <v>21.818310981733422</v>
      </c>
      <c r="AB27" s="3"/>
    </row>
    <row r="28" spans="1:28" ht="18" customHeight="1">
      <c r="A28" s="84">
        <v>20</v>
      </c>
      <c r="B28" s="75">
        <v>19.3</v>
      </c>
      <c r="C28" s="73">
        <f>'[1]cálculos teóricos'!K174</f>
        <v>0.94827869037091239</v>
      </c>
      <c r="D28" s="58">
        <f t="shared" si="4"/>
        <v>266.53795444928392</v>
      </c>
      <c r="E28" s="59">
        <f t="shared" si="5"/>
        <v>11.159411076882618</v>
      </c>
      <c r="F28" s="60">
        <f t="shared" si="6"/>
        <v>14.278346326103273</v>
      </c>
      <c r="G28" s="61">
        <f>'[1]cálculos teóricos'!T174</f>
        <v>22.004174554749007</v>
      </c>
      <c r="H28" s="74">
        <f t="shared" si="7"/>
        <v>64.889261310743777</v>
      </c>
      <c r="I28" s="170"/>
      <c r="J28" s="81"/>
      <c r="K28" s="80">
        <v>0.9</v>
      </c>
      <c r="L28" s="80">
        <v>1</v>
      </c>
      <c r="M28" s="80">
        <v>1</v>
      </c>
      <c r="N28" s="80">
        <v>1</v>
      </c>
      <c r="O28" s="77">
        <v>1</v>
      </c>
      <c r="P28" s="81">
        <v>1</v>
      </c>
      <c r="Q28" s="80">
        <v>1</v>
      </c>
      <c r="R28" s="80">
        <v>1</v>
      </c>
      <c r="S28" s="80">
        <v>0.7</v>
      </c>
      <c r="T28" s="80">
        <v>0.2</v>
      </c>
      <c r="U28" s="80"/>
      <c r="V28" s="77"/>
      <c r="W28" s="118">
        <f t="shared" si="0"/>
        <v>4.9000000000000004</v>
      </c>
      <c r="X28" s="118">
        <f t="shared" si="1"/>
        <v>3.9000000000000004</v>
      </c>
      <c r="Y28" s="69">
        <f t="shared" si="8"/>
        <v>8.8000000000000007</v>
      </c>
      <c r="Z28" s="70">
        <f>'[1]cálculos teóricos'!I174</f>
        <v>10.540378809095687</v>
      </c>
      <c r="AA28" s="71">
        <f t="shared" si="3"/>
        <v>83.488460513450917</v>
      </c>
      <c r="AB28" s="3"/>
    </row>
    <row r="29" spans="1:28" ht="18" customHeight="1">
      <c r="A29" s="84">
        <v>21</v>
      </c>
      <c r="B29" s="75">
        <v>15</v>
      </c>
      <c r="C29" s="73">
        <f>'[1]cálculos teóricos'!K175</f>
        <v>0.94824134806875726</v>
      </c>
      <c r="D29" s="58">
        <f t="shared" si="4"/>
        <v>207.14569308899019</v>
      </c>
      <c r="E29" s="59">
        <f t="shared" si="5"/>
        <v>8.6727758782498405</v>
      </c>
      <c r="F29" s="60">
        <f t="shared" si="6"/>
        <v>11.1700523278123</v>
      </c>
      <c r="G29" s="61">
        <f>'[1]cálculos teóricos'!T175</f>
        <v>21.995483485621605</v>
      </c>
      <c r="H29" s="74">
        <f t="shared" si="7"/>
        <v>50.783390758898918</v>
      </c>
      <c r="I29" s="170"/>
      <c r="J29" s="81"/>
      <c r="K29" s="80"/>
      <c r="L29" s="80"/>
      <c r="M29" s="80">
        <v>0.9</v>
      </c>
      <c r="N29" s="80">
        <v>0.7</v>
      </c>
      <c r="O29" s="77">
        <v>1</v>
      </c>
      <c r="P29" s="81">
        <v>0.9</v>
      </c>
      <c r="Q29" s="80">
        <v>0.9</v>
      </c>
      <c r="R29" s="80">
        <v>0.3</v>
      </c>
      <c r="S29" s="80"/>
      <c r="T29" s="80"/>
      <c r="U29" s="80"/>
      <c r="V29" s="77"/>
      <c r="W29" s="118">
        <f t="shared" si="0"/>
        <v>2.6</v>
      </c>
      <c r="X29" s="118">
        <f t="shared" si="1"/>
        <v>2.1</v>
      </c>
      <c r="Y29" s="69">
        <f t="shared" si="8"/>
        <v>4.7</v>
      </c>
      <c r="Z29" s="70">
        <f>'[1]cálculos teóricos'!I175</f>
        <v>10.539641390918483</v>
      </c>
      <c r="AA29" s="71">
        <f t="shared" si="3"/>
        <v>44.59354759498526</v>
      </c>
      <c r="AB29" s="3"/>
    </row>
    <row r="30" spans="1:28" ht="18" customHeight="1">
      <c r="A30" s="84">
        <v>22</v>
      </c>
      <c r="B30" s="75">
        <v>6</v>
      </c>
      <c r="C30" s="73">
        <f>'[1]cálculos teóricos'!K176</f>
        <v>0.94822874069146967</v>
      </c>
      <c r="D30" s="58">
        <f t="shared" si="4"/>
        <v>82.857175590361322</v>
      </c>
      <c r="E30" s="59">
        <f t="shared" si="5"/>
        <v>3.4690642276172481</v>
      </c>
      <c r="F30" s="60">
        <f t="shared" si="6"/>
        <v>4.6654127645215597</v>
      </c>
      <c r="G30" s="61">
        <f>'[1]cálculos teóricos'!T176</f>
        <v>21.990799053505</v>
      </c>
      <c r="H30" s="74">
        <f t="shared" si="7"/>
        <v>21.215294420045019</v>
      </c>
      <c r="I30" s="170"/>
      <c r="J30" s="81"/>
      <c r="K30" s="80"/>
      <c r="L30" s="80"/>
      <c r="M30" s="80"/>
      <c r="N30" s="80"/>
      <c r="O30" s="77"/>
      <c r="P30" s="81"/>
      <c r="Q30" s="80"/>
      <c r="R30" s="80"/>
      <c r="S30" s="80"/>
      <c r="T30" s="80"/>
      <c r="U30" s="80"/>
      <c r="V30" s="77"/>
      <c r="W30" s="118">
        <f t="shared" si="0"/>
        <v>0</v>
      </c>
      <c r="X30" s="118">
        <f t="shared" si="1"/>
        <v>0</v>
      </c>
      <c r="Y30" s="69">
        <f t="shared" si="8"/>
        <v>0</v>
      </c>
      <c r="Z30" s="70">
        <f>'[1]cálculos teóricos'!I176</f>
        <v>10.539392429001008</v>
      </c>
      <c r="AA30" s="71">
        <f t="shared" si="3"/>
        <v>0</v>
      </c>
      <c r="AB30" s="3"/>
    </row>
    <row r="31" spans="1:28" ht="18" customHeight="1">
      <c r="A31" s="84">
        <v>23</v>
      </c>
      <c r="B31" s="75">
        <v>12.9</v>
      </c>
      <c r="C31" s="73">
        <f>'[1]cálculos teóricos'!K177</f>
        <v>0.9482408715112014</v>
      </c>
      <c r="D31" s="58">
        <f t="shared" si="4"/>
        <v>178.14520652606862</v>
      </c>
      <c r="E31" s="59">
        <f t="shared" si="5"/>
        <v>7.4585835068334401</v>
      </c>
      <c r="F31" s="60">
        <f t="shared" si="6"/>
        <v>9.6523118635418008</v>
      </c>
      <c r="G31" s="61">
        <f>'[1]cálculos teóricos'!T177</f>
        <v>21.990120423409326</v>
      </c>
      <c r="H31" s="74">
        <f t="shared" si="7"/>
        <v>43.893856321343947</v>
      </c>
      <c r="I31" s="170"/>
      <c r="J31" s="81"/>
      <c r="K31" s="80">
        <v>0.2</v>
      </c>
      <c r="L31" s="80">
        <v>0.3</v>
      </c>
      <c r="M31" s="80">
        <v>0.9</v>
      </c>
      <c r="N31" s="80">
        <v>0.9</v>
      </c>
      <c r="O31" s="77">
        <v>0.9</v>
      </c>
      <c r="P31" s="81">
        <v>0.9</v>
      </c>
      <c r="Q31" s="80">
        <v>0.6</v>
      </c>
      <c r="R31" s="80">
        <v>0.1</v>
      </c>
      <c r="S31" s="80">
        <v>0.6</v>
      </c>
      <c r="T31" s="80">
        <v>0.3</v>
      </c>
      <c r="U31" s="80"/>
      <c r="V31" s="77"/>
      <c r="W31" s="118">
        <f t="shared" si="0"/>
        <v>3.1999999999999997</v>
      </c>
      <c r="X31" s="118">
        <f t="shared" si="1"/>
        <v>2.5</v>
      </c>
      <c r="Y31" s="69">
        <f t="shared" si="8"/>
        <v>5.6999999999999993</v>
      </c>
      <c r="Z31" s="70">
        <f>'[1]cálculos teóricos'!I177</f>
        <v>10.539631980159754</v>
      </c>
      <c r="AA31" s="71">
        <f t="shared" si="3"/>
        <v>54.081584733982346</v>
      </c>
      <c r="AB31" s="3"/>
    </row>
    <row r="32" spans="1:28" ht="18" customHeight="1">
      <c r="A32" s="84">
        <v>24</v>
      </c>
      <c r="B32" s="75">
        <v>21.1</v>
      </c>
      <c r="C32" s="73">
        <f>'[1]cálculos teóricos'!K178</f>
        <v>0.94827772446352887</v>
      </c>
      <c r="D32" s="58">
        <f t="shared" si="4"/>
        <v>291.39611970873915</v>
      </c>
      <c r="E32" s="59">
        <f t="shared" si="5"/>
        <v>12.20017273996549</v>
      </c>
      <c r="F32" s="60">
        <f t="shared" si="6"/>
        <v>15.579298404956864</v>
      </c>
      <c r="G32" s="61">
        <f>'[1]cálculos teóricos'!T178</f>
        <v>21.993444821210002</v>
      </c>
      <c r="H32" s="74">
        <f t="shared" si="7"/>
        <v>70.836099263233777</v>
      </c>
      <c r="I32" s="170"/>
      <c r="J32" s="81"/>
      <c r="K32" s="80">
        <v>0.4</v>
      </c>
      <c r="L32" s="80">
        <v>1</v>
      </c>
      <c r="M32" s="80">
        <v>1</v>
      </c>
      <c r="N32" s="80">
        <v>1</v>
      </c>
      <c r="O32" s="77">
        <v>1</v>
      </c>
      <c r="P32" s="81">
        <v>1</v>
      </c>
      <c r="Q32" s="80">
        <v>1</v>
      </c>
      <c r="R32" s="80">
        <v>1</v>
      </c>
      <c r="S32" s="80">
        <v>1</v>
      </c>
      <c r="T32" s="80">
        <v>0.4</v>
      </c>
      <c r="U32" s="80"/>
      <c r="V32" s="77"/>
      <c r="W32" s="118">
        <f t="shared" si="0"/>
        <v>4.4000000000000004</v>
      </c>
      <c r="X32" s="118">
        <f t="shared" si="1"/>
        <v>4.4000000000000004</v>
      </c>
      <c r="Y32" s="69">
        <f t="shared" si="8"/>
        <v>8.8000000000000007</v>
      </c>
      <c r="Z32" s="70">
        <f>'[1]cálculos teóricos'!I178</f>
        <v>10.540359734665067</v>
      </c>
      <c r="AA32" s="71">
        <f t="shared" si="3"/>
        <v>83.488611598887061</v>
      </c>
      <c r="AB32" s="3"/>
    </row>
    <row r="33" spans="1:28" ht="18" customHeight="1">
      <c r="A33" s="84">
        <v>25</v>
      </c>
      <c r="B33" s="75">
        <v>13.4</v>
      </c>
      <c r="C33" s="73">
        <f>'[1]cálculos teóricos'!K179</f>
        <v>0.94833926417610326</v>
      </c>
      <c r="D33" s="58">
        <f t="shared" si="4"/>
        <v>185.06926090930435</v>
      </c>
      <c r="E33" s="59">
        <f t="shared" si="5"/>
        <v>7.7484798157507546</v>
      </c>
      <c r="F33" s="60">
        <f t="shared" si="6"/>
        <v>10.014682249688443</v>
      </c>
      <c r="G33" s="61">
        <f>'[1]cálculos teóricos'!T179</f>
        <v>22.000767537911535</v>
      </c>
      <c r="H33" s="74">
        <f t="shared" si="7"/>
        <v>45.519694858059964</v>
      </c>
      <c r="I33" s="170"/>
      <c r="J33" s="81"/>
      <c r="K33" s="80">
        <v>0.9</v>
      </c>
      <c r="L33" s="80">
        <v>0.3</v>
      </c>
      <c r="M33" s="80">
        <v>0.4</v>
      </c>
      <c r="N33" s="80">
        <v>1</v>
      </c>
      <c r="O33" s="77">
        <v>1</v>
      </c>
      <c r="P33" s="81">
        <v>0.2</v>
      </c>
      <c r="Q33" s="80">
        <v>0.5</v>
      </c>
      <c r="R33" s="80">
        <v>0.5</v>
      </c>
      <c r="S33" s="80">
        <v>0.8</v>
      </c>
      <c r="T33" s="80"/>
      <c r="U33" s="80"/>
      <c r="V33" s="77"/>
      <c r="W33" s="118">
        <f t="shared" si="0"/>
        <v>3.6</v>
      </c>
      <c r="X33" s="118">
        <f t="shared" si="1"/>
        <v>2</v>
      </c>
      <c r="Y33" s="69">
        <f t="shared" si="8"/>
        <v>5.6</v>
      </c>
      <c r="Z33" s="70">
        <f>'[1]cálculos teóricos'!I179</f>
        <v>10.541575016971914</v>
      </c>
      <c r="AA33" s="71">
        <f t="shared" si="3"/>
        <v>53.122991497798118</v>
      </c>
      <c r="AB33" s="3"/>
    </row>
    <row r="34" spans="1:28" ht="18" customHeight="1">
      <c r="A34" s="84">
        <v>26</v>
      </c>
      <c r="B34" s="75">
        <v>20.100000000000001</v>
      </c>
      <c r="C34" s="73">
        <f>'[1]cálculos teóricos'!K180</f>
        <v>0.94842543602796126</v>
      </c>
      <c r="D34" s="58">
        <f t="shared" si="4"/>
        <v>277.62911613562363</v>
      </c>
      <c r="E34" s="59">
        <f t="shared" si="5"/>
        <v>11.62377583436629</v>
      </c>
      <c r="F34" s="60">
        <f t="shared" si="6"/>
        <v>14.858802272957865</v>
      </c>
      <c r="G34" s="61">
        <f>'[1]cálculos teóricos'!T180</f>
        <v>22.012081935346771</v>
      </c>
      <c r="H34" s="74">
        <f t="shared" si="7"/>
        <v>67.502939143151906</v>
      </c>
      <c r="I34" s="170"/>
      <c r="J34" s="81"/>
      <c r="K34" s="80"/>
      <c r="L34" s="80">
        <v>1</v>
      </c>
      <c r="M34" s="80">
        <v>1</v>
      </c>
      <c r="N34" s="80">
        <v>1</v>
      </c>
      <c r="O34" s="77">
        <v>1</v>
      </c>
      <c r="P34" s="81">
        <v>1</v>
      </c>
      <c r="Q34" s="80">
        <v>1</v>
      </c>
      <c r="R34" s="80">
        <v>1</v>
      </c>
      <c r="S34" s="80">
        <v>1</v>
      </c>
      <c r="T34" s="80"/>
      <c r="U34" s="80"/>
      <c r="V34" s="77"/>
      <c r="W34" s="118">
        <f t="shared" si="0"/>
        <v>4</v>
      </c>
      <c r="X34" s="118">
        <f t="shared" si="1"/>
        <v>4</v>
      </c>
      <c r="Y34" s="69">
        <f>W34+X34</f>
        <v>8</v>
      </c>
      <c r="Z34" s="70">
        <f>'[1]cálculos teóricos'!I180</f>
        <v>10.543276787418177</v>
      </c>
      <c r="AA34" s="71">
        <f t="shared" si="3"/>
        <v>75.877738594009045</v>
      </c>
      <c r="AB34" s="3"/>
    </row>
    <row r="35" spans="1:28" ht="18" customHeight="1">
      <c r="A35" s="84">
        <v>27</v>
      </c>
      <c r="B35" s="85">
        <v>-99</v>
      </c>
      <c r="C35" s="73">
        <f>'[1]cálculos teóricos'!K181</f>
        <v>0.94853616623934689</v>
      </c>
      <c r="D35" s="58">
        <f t="shared" si="4"/>
        <v>-999</v>
      </c>
      <c r="E35" s="59">
        <f t="shared" si="5"/>
        <v>-999</v>
      </c>
      <c r="F35" s="60">
        <f t="shared" si="6"/>
        <v>-999</v>
      </c>
      <c r="G35" s="61">
        <f>'[1]cálculos teóricos'!T181</f>
        <v>22.027379453310431</v>
      </c>
      <c r="H35" s="74">
        <f t="shared" si="7"/>
        <v>-999</v>
      </c>
      <c r="I35" s="170"/>
      <c r="J35" s="81"/>
      <c r="K35" s="80">
        <v>0.9</v>
      </c>
      <c r="L35" s="80">
        <v>1</v>
      </c>
      <c r="M35" s="80">
        <v>1</v>
      </c>
      <c r="N35" s="80">
        <v>1</v>
      </c>
      <c r="O35" s="77">
        <v>1</v>
      </c>
      <c r="P35" s="81">
        <v>1</v>
      </c>
      <c r="Q35" s="80">
        <v>1</v>
      </c>
      <c r="R35" s="80">
        <v>1</v>
      </c>
      <c r="S35" s="80">
        <v>1</v>
      </c>
      <c r="T35" s="80">
        <v>0.5</v>
      </c>
      <c r="U35" s="80"/>
      <c r="V35" s="77"/>
      <c r="W35" s="118">
        <f t="shared" si="0"/>
        <v>4.9000000000000004</v>
      </c>
      <c r="X35" s="118">
        <f t="shared" si="1"/>
        <v>4.5</v>
      </c>
      <c r="Y35" s="69">
        <f>W35+X35</f>
        <v>9.4</v>
      </c>
      <c r="Z35" s="70">
        <f>'[1]cálculos teóricos'!I181</f>
        <v>10.545463644882119</v>
      </c>
      <c r="AA35" s="71">
        <f t="shared" si="3"/>
        <v>89.137854119500659</v>
      </c>
      <c r="AB35" s="3"/>
    </row>
    <row r="36" spans="1:28" ht="18" customHeight="1">
      <c r="A36" s="84">
        <v>28</v>
      </c>
      <c r="B36" s="75">
        <v>18.8</v>
      </c>
      <c r="C36" s="73">
        <f>'[1]cálculos teóricos'!K182</f>
        <v>0.94867136199179813</v>
      </c>
      <c r="D36" s="58">
        <f t="shared" si="4"/>
        <v>259.74033715091002</v>
      </c>
      <c r="E36" s="59">
        <f t="shared" si="5"/>
        <v>10.8748084358343</v>
      </c>
      <c r="F36" s="60">
        <f t="shared" si="6"/>
        <v>13.922593024792874</v>
      </c>
      <c r="G36" s="61">
        <f>'[1]cálculos teóricos'!T182</f>
        <v>22.046649618125883</v>
      </c>
      <c r="H36" s="74">
        <f t="shared" si="7"/>
        <v>63.150606853869846</v>
      </c>
      <c r="I36" s="170"/>
      <c r="J36" s="81"/>
      <c r="K36" s="80">
        <v>1</v>
      </c>
      <c r="L36" s="80">
        <v>1</v>
      </c>
      <c r="M36" s="80">
        <v>1</v>
      </c>
      <c r="N36" s="80">
        <v>1</v>
      </c>
      <c r="O36" s="77">
        <v>1</v>
      </c>
      <c r="P36" s="81">
        <v>1</v>
      </c>
      <c r="Q36" s="80">
        <v>1</v>
      </c>
      <c r="R36" s="80">
        <v>0.9</v>
      </c>
      <c r="S36" s="80">
        <v>0.2</v>
      </c>
      <c r="T36" s="80"/>
      <c r="U36" s="80"/>
      <c r="V36" s="77"/>
      <c r="W36" s="118">
        <f t="shared" si="0"/>
        <v>5</v>
      </c>
      <c r="X36" s="118">
        <f t="shared" si="1"/>
        <v>3.1</v>
      </c>
      <c r="Y36" s="69">
        <f>W36+X36</f>
        <v>8.1</v>
      </c>
      <c r="Z36" s="70">
        <f>'[1]cálculos teóricos'!I182</f>
        <v>10.548133830385645</v>
      </c>
      <c r="AA36" s="71">
        <f t="shared" si="3"/>
        <v>76.790834570818674</v>
      </c>
      <c r="AB36" s="3"/>
    </row>
    <row r="37" spans="1:28" ht="18" customHeight="1">
      <c r="A37" s="84">
        <v>29</v>
      </c>
      <c r="B37" s="75">
        <v>3.8</v>
      </c>
      <c r="C37" s="73">
        <f>'[1]cálculos teóricos'!K183</f>
        <v>0.94883091157817412</v>
      </c>
      <c r="D37" s="58">
        <f t="shared" si="4"/>
        <v>52.509536126921205</v>
      </c>
      <c r="E37" s="59">
        <f t="shared" si="5"/>
        <v>2.198469258561937</v>
      </c>
      <c r="F37" s="60">
        <f t="shared" si="6"/>
        <v>3.0771690532024212</v>
      </c>
      <c r="G37" s="61">
        <f>'[1]cálculos teóricos'!T183</f>
        <v>22.069880052644166</v>
      </c>
      <c r="H37" s="74">
        <f t="shared" si="7"/>
        <v>13.942844482445429</v>
      </c>
      <c r="I37" s="170"/>
      <c r="J37" s="81"/>
      <c r="K37" s="80"/>
      <c r="L37" s="80"/>
      <c r="M37" s="80"/>
      <c r="N37" s="80"/>
      <c r="O37" s="77"/>
      <c r="P37" s="81"/>
      <c r="Q37" s="80"/>
      <c r="R37" s="80"/>
      <c r="S37" s="80"/>
      <c r="T37" s="80"/>
      <c r="U37" s="80"/>
      <c r="V37" s="77"/>
      <c r="W37" s="118">
        <f t="shared" si="0"/>
        <v>0</v>
      </c>
      <c r="X37" s="118">
        <f t="shared" si="1"/>
        <v>0</v>
      </c>
      <c r="Y37" s="69">
        <f>W37+X37</f>
        <v>0</v>
      </c>
      <c r="Z37" s="70">
        <f>'[1]cálculos teóricos'!I183</f>
        <v>10.551285231625181</v>
      </c>
      <c r="AA37" s="71">
        <f t="shared" si="3"/>
        <v>0</v>
      </c>
      <c r="AB37" s="3"/>
    </row>
    <row r="38" spans="1:28" ht="18" customHeight="1">
      <c r="A38" s="79">
        <v>30</v>
      </c>
      <c r="B38" s="75">
        <v>20.9</v>
      </c>
      <c r="C38" s="73">
        <f>'[1]cálculos teóricos'!K184</f>
        <v>0.94901468458220362</v>
      </c>
      <c r="D38" s="58">
        <f t="shared" si="4"/>
        <v>288.85838500128006</v>
      </c>
      <c r="E38" s="59">
        <f t="shared" si="5"/>
        <v>12.093922863233592</v>
      </c>
      <c r="F38" s="60">
        <f t="shared" si="6"/>
        <v>15.446486059041993</v>
      </c>
      <c r="G38" s="61">
        <f>'[1]cálculos teóricos'!T184</f>
        <v>22.097056487674202</v>
      </c>
      <c r="H38" s="74">
        <f t="shared" si="7"/>
        <v>69.902912488177265</v>
      </c>
      <c r="I38" s="170"/>
      <c r="J38" s="81"/>
      <c r="K38" s="80"/>
      <c r="L38" s="80">
        <v>0.5</v>
      </c>
      <c r="M38" s="80">
        <v>1</v>
      </c>
      <c r="N38" s="80">
        <v>1</v>
      </c>
      <c r="O38" s="77">
        <v>1</v>
      </c>
      <c r="P38" s="81">
        <v>1</v>
      </c>
      <c r="Q38" s="80">
        <v>1</v>
      </c>
      <c r="R38" s="80">
        <v>1</v>
      </c>
      <c r="S38" s="80">
        <v>1</v>
      </c>
      <c r="T38" s="80">
        <v>0.7</v>
      </c>
      <c r="U38" s="80"/>
      <c r="V38" s="77"/>
      <c r="W38" s="118">
        <f t="shared" si="0"/>
        <v>3.5</v>
      </c>
      <c r="X38" s="118">
        <f t="shared" si="1"/>
        <v>4.7</v>
      </c>
      <c r="Y38" s="69">
        <f>W38+X38</f>
        <v>8.1999999999999993</v>
      </c>
      <c r="Z38" s="70">
        <f>'[1]cálculos teóricos'!I184</f>
        <v>10.554915388407521</v>
      </c>
      <c r="AA38" s="71">
        <f t="shared" si="3"/>
        <v>77.688922158543036</v>
      </c>
      <c r="AB38" s="3"/>
    </row>
    <row r="39" spans="1:28" ht="18" customHeight="1" thickBot="1">
      <c r="A39" s="86"/>
      <c r="B39" s="87"/>
      <c r="C39" s="88"/>
      <c r="D39" s="89"/>
      <c r="E39" s="123"/>
      <c r="F39" s="91"/>
      <c r="G39" s="92"/>
      <c r="H39" s="93"/>
      <c r="I39" s="94"/>
      <c r="J39" s="87"/>
      <c r="K39" s="87"/>
      <c r="L39" s="87"/>
      <c r="M39" s="87"/>
      <c r="N39" s="87"/>
      <c r="O39" s="95"/>
      <c r="P39" s="94"/>
      <c r="Q39" s="87"/>
      <c r="R39" s="87"/>
      <c r="S39" s="87"/>
      <c r="T39" s="87"/>
      <c r="U39" s="87"/>
      <c r="V39" s="117"/>
      <c r="W39" s="118"/>
      <c r="X39" s="127"/>
      <c r="Y39" s="172"/>
      <c r="Z39" s="173"/>
      <c r="AA39" s="125"/>
      <c r="AB39" s="3"/>
    </row>
    <row r="40" spans="1:28" s="107" customFormat="1" ht="15.75" thickTop="1">
      <c r="A40" s="102"/>
      <c r="B40" s="102"/>
      <c r="C40" s="102"/>
      <c r="D40" s="102"/>
      <c r="E40" s="102"/>
      <c r="F40" s="102"/>
      <c r="G40" s="102"/>
      <c r="H40" s="102"/>
      <c r="I40" s="105">
        <f>SUM(I9:I39)</f>
        <v>0</v>
      </c>
      <c r="J40" s="105">
        <f t="shared" ref="J40:AA40" si="9">SUM(J9:J39)</f>
        <v>0</v>
      </c>
      <c r="K40" s="105">
        <f t="shared" si="9"/>
        <v>7.7000000000000011</v>
      </c>
      <c r="L40" s="105">
        <f t="shared" si="9"/>
        <v>13.3</v>
      </c>
      <c r="M40" s="105">
        <f t="shared" si="9"/>
        <v>18.600000000000001</v>
      </c>
      <c r="N40" s="105">
        <f t="shared" si="9"/>
        <v>19.399999999999999</v>
      </c>
      <c r="O40" s="105">
        <f t="shared" si="9"/>
        <v>20.399999999999999</v>
      </c>
      <c r="P40" s="105">
        <f t="shared" si="9"/>
        <v>21</v>
      </c>
      <c r="Q40" s="105">
        <f t="shared" si="9"/>
        <v>20.8</v>
      </c>
      <c r="R40" s="105">
        <f t="shared" si="9"/>
        <v>20.599999999999998</v>
      </c>
      <c r="S40" s="105">
        <f t="shared" si="9"/>
        <v>18.900000000000002</v>
      </c>
      <c r="T40" s="105">
        <f t="shared" si="9"/>
        <v>7.1</v>
      </c>
      <c r="U40" s="105">
        <f t="shared" si="9"/>
        <v>0</v>
      </c>
      <c r="V40" s="105">
        <f t="shared" si="9"/>
        <v>0</v>
      </c>
      <c r="W40" s="105">
        <f t="shared" si="9"/>
        <v>79.400000000000006</v>
      </c>
      <c r="X40" s="105">
        <f t="shared" si="9"/>
        <v>88.4</v>
      </c>
      <c r="Y40" s="105">
        <f t="shared" si="9"/>
        <v>167.79999999999998</v>
      </c>
      <c r="Z40" s="105">
        <f t="shared" si="9"/>
        <v>317.02861542367316</v>
      </c>
      <c r="AA40" s="105">
        <f t="shared" si="9"/>
        <v>1587.6890464979579</v>
      </c>
      <c r="AB40" s="102"/>
    </row>
    <row r="41" spans="1:28" s="107" customFormat="1" ht="15">
      <c r="A41" s="102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</row>
    <row r="42" spans="1:28" s="107" customFormat="1" ht="15">
      <c r="A42" s="102"/>
      <c r="B42" s="102" t="s">
        <v>50</v>
      </c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</row>
    <row r="43" spans="1:28" s="107" customFormat="1" ht="1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</row>
    <row r="44" spans="1:28" s="107" customFormat="1" ht="15">
      <c r="A44" s="102"/>
      <c r="B44" s="102" t="s">
        <v>51</v>
      </c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</row>
    <row r="45" spans="1:28" s="107" customFormat="1" ht="15">
      <c r="A45" s="102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</row>
    <row r="46" spans="1:28" s="107" customFormat="1" ht="15">
      <c r="A46" s="102"/>
      <c r="B46" s="102" t="s">
        <v>52</v>
      </c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</row>
    <row r="47" spans="1:28" s="107" customFormat="1" ht="15">
      <c r="A47" s="102"/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</row>
    <row r="48" spans="1:28" s="107" customFormat="1" ht="15">
      <c r="A48" s="102"/>
      <c r="B48" s="102" t="s">
        <v>53</v>
      </c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</row>
    <row r="49" spans="1:28" s="107" customFormat="1" ht="15">
      <c r="A49" s="102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</row>
    <row r="50" spans="1:28" ht="15">
      <c r="A50" s="3"/>
      <c r="B50" s="102" t="s">
        <v>54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5">
      <c r="A52" s="3"/>
      <c r="B52" s="102" t="s">
        <v>55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15">
      <c r="A54" s="3"/>
      <c r="B54" s="102" t="s">
        <v>56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7" t="s">
        <v>57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scale="50" firstPageNumber="0" orientation="landscape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B55"/>
  <sheetViews>
    <sheetView zoomScale="75" zoomScaleNormal="75" workbookViewId="0">
      <selection activeCell="A8" sqref="A8"/>
    </sheetView>
  </sheetViews>
  <sheetFormatPr defaultColWidth="11.42578125" defaultRowHeight="12.75"/>
  <cols>
    <col min="1" max="1" width="8.7109375" style="7" customWidth="1"/>
    <col min="2" max="8" width="12.7109375" style="7" customWidth="1"/>
    <col min="9" max="25" width="8.7109375" style="7" customWidth="1"/>
    <col min="26" max="27" width="12.7109375" style="7" customWidth="1"/>
    <col min="28" max="16384" width="11.42578125" style="7"/>
  </cols>
  <sheetData>
    <row r="1" spans="1:28" ht="18" customHeight="1">
      <c r="A1" s="1" t="s">
        <v>76</v>
      </c>
      <c r="B1" s="2"/>
      <c r="C1" s="3"/>
      <c r="D1" s="174"/>
      <c r="E1" s="175"/>
      <c r="F1" s="149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176"/>
      <c r="S1" s="176"/>
      <c r="T1" s="176"/>
      <c r="U1" s="176"/>
      <c r="V1" s="177"/>
      <c r="W1" s="177"/>
      <c r="X1" s="6"/>
      <c r="Y1" s="6"/>
      <c r="Z1" s="6"/>
      <c r="AA1" s="6"/>
      <c r="AB1" s="3"/>
    </row>
    <row r="2" spans="1:28" ht="18" customHeight="1">
      <c r="A2" s="3"/>
      <c r="B2" s="8" t="s">
        <v>3</v>
      </c>
      <c r="C2" s="3"/>
      <c r="D2" s="3"/>
      <c r="E2" s="174" t="s">
        <v>77</v>
      </c>
      <c r="F2" s="175"/>
      <c r="G2" s="149"/>
      <c r="H2" s="3"/>
      <c r="I2" s="3"/>
      <c r="J2" s="3"/>
      <c r="K2" s="3"/>
      <c r="L2" s="3"/>
      <c r="M2" s="3"/>
      <c r="N2" s="3"/>
      <c r="O2" s="3"/>
      <c r="P2" s="176"/>
      <c r="Q2" s="176"/>
      <c r="R2" s="176"/>
      <c r="S2" s="176"/>
      <c r="T2" s="176"/>
      <c r="U2" s="3"/>
      <c r="V2" s="8" t="s">
        <v>78</v>
      </c>
      <c r="W2" s="3"/>
      <c r="X2" s="3"/>
      <c r="Y2" s="3"/>
      <c r="Z2" s="3"/>
      <c r="AA2" s="3"/>
      <c r="AB2" s="3"/>
    </row>
    <row r="3" spans="1:28" ht="18" customHeight="1">
      <c r="A3" s="3"/>
      <c r="B3" s="8" t="s">
        <v>79</v>
      </c>
      <c r="C3" s="3"/>
      <c r="D3" s="3"/>
      <c r="E3" s="3"/>
      <c r="F3" s="3"/>
      <c r="G3" s="4" t="s">
        <v>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8" t="s">
        <v>70</v>
      </c>
      <c r="W3" s="3"/>
      <c r="X3" s="151"/>
      <c r="Y3" s="6"/>
      <c r="Z3" s="6"/>
      <c r="AA3" s="6"/>
      <c r="AB3" s="3"/>
    </row>
    <row r="4" spans="1:28" ht="18" customHeight="1" thickBot="1">
      <c r="A4" s="3"/>
      <c r="B4" s="3"/>
      <c r="C4" s="3"/>
      <c r="D4" s="174"/>
      <c r="E4" s="175"/>
      <c r="F4" s="149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8" customHeight="1" thickTop="1" thickBot="1">
      <c r="A5" s="10" t="s">
        <v>7</v>
      </c>
      <c r="B5" s="11"/>
      <c r="C5" s="12" t="s">
        <v>8</v>
      </c>
      <c r="D5" s="13"/>
      <c r="E5" s="14"/>
      <c r="F5" s="13"/>
      <c r="G5" s="13"/>
      <c r="H5" s="15"/>
      <c r="I5" s="16" t="s">
        <v>9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2"/>
      <c r="Y5" s="17"/>
      <c r="Z5" s="14"/>
      <c r="AA5" s="18"/>
      <c r="AB5" s="3"/>
    </row>
    <row r="6" spans="1:28" ht="18" customHeight="1">
      <c r="A6" s="19"/>
      <c r="B6" s="20" t="s">
        <v>10</v>
      </c>
      <c r="C6" s="21" t="s">
        <v>11</v>
      </c>
      <c r="D6" s="22" t="s">
        <v>12</v>
      </c>
      <c r="E6" s="21" t="s">
        <v>12</v>
      </c>
      <c r="F6" s="23" t="s">
        <v>13</v>
      </c>
      <c r="G6" s="23" t="s">
        <v>14</v>
      </c>
      <c r="H6" s="23" t="s">
        <v>15</v>
      </c>
      <c r="I6" s="24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6"/>
      <c r="V6" s="27"/>
      <c r="W6" s="28"/>
      <c r="X6" s="29"/>
      <c r="Y6" s="30"/>
      <c r="Z6" s="31" t="s">
        <v>16</v>
      </c>
      <c r="AA6" s="32" t="s">
        <v>17</v>
      </c>
      <c r="AB6" s="3"/>
    </row>
    <row r="7" spans="1:28" ht="18" customHeight="1" thickBot="1">
      <c r="A7" s="33"/>
      <c r="B7" s="34" t="s">
        <v>18</v>
      </c>
      <c r="C7" s="35" t="s">
        <v>19</v>
      </c>
      <c r="D7" s="22" t="s">
        <v>20</v>
      </c>
      <c r="E7" s="23" t="s">
        <v>20</v>
      </c>
      <c r="F7" s="23" t="s">
        <v>21</v>
      </c>
      <c r="G7" s="23" t="s">
        <v>22</v>
      </c>
      <c r="H7" s="23" t="s">
        <v>23</v>
      </c>
      <c r="I7" s="36" t="s">
        <v>24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7"/>
      <c r="W7" s="38"/>
      <c r="X7" s="39" t="s">
        <v>25</v>
      </c>
      <c r="Y7" s="40"/>
      <c r="Z7" s="41" t="s">
        <v>26</v>
      </c>
      <c r="AA7" s="42" t="s">
        <v>27</v>
      </c>
      <c r="AB7" s="3"/>
    </row>
    <row r="8" spans="1:28" ht="18" customHeight="1" thickBot="1">
      <c r="A8" s="43"/>
      <c r="B8" s="44" t="s">
        <v>28</v>
      </c>
      <c r="C8" s="45" t="s">
        <v>29</v>
      </c>
      <c r="D8" s="45" t="s">
        <v>30</v>
      </c>
      <c r="E8" s="46" t="s">
        <v>31</v>
      </c>
      <c r="F8" s="46" t="s">
        <v>31</v>
      </c>
      <c r="G8" s="45" t="s">
        <v>31</v>
      </c>
      <c r="H8" s="23" t="s">
        <v>32</v>
      </c>
      <c r="I8" s="47" t="s">
        <v>33</v>
      </c>
      <c r="J8" s="48" t="s">
        <v>34</v>
      </c>
      <c r="K8" s="48" t="s">
        <v>35</v>
      </c>
      <c r="L8" s="48" t="s">
        <v>36</v>
      </c>
      <c r="M8" s="48" t="s">
        <v>37</v>
      </c>
      <c r="N8" s="111" t="s">
        <v>38</v>
      </c>
      <c r="O8" s="178" t="s">
        <v>39</v>
      </c>
      <c r="P8" s="179" t="s">
        <v>40</v>
      </c>
      <c r="Q8" s="48" t="s">
        <v>41</v>
      </c>
      <c r="R8" s="48" t="s">
        <v>42</v>
      </c>
      <c r="S8" s="48" t="s">
        <v>43</v>
      </c>
      <c r="T8" s="48" t="s">
        <v>44</v>
      </c>
      <c r="U8" s="48" t="s">
        <v>45</v>
      </c>
      <c r="V8" s="50" t="s">
        <v>46</v>
      </c>
      <c r="W8" s="53" t="s">
        <v>47</v>
      </c>
      <c r="X8" s="111" t="s">
        <v>48</v>
      </c>
      <c r="Y8" s="164" t="s">
        <v>49</v>
      </c>
      <c r="Z8" s="53" t="s">
        <v>49</v>
      </c>
      <c r="AA8" s="54" t="s">
        <v>49</v>
      </c>
      <c r="AB8" s="176"/>
    </row>
    <row r="9" spans="1:28" ht="18" customHeight="1">
      <c r="A9" s="112">
        <v>1</v>
      </c>
      <c r="B9" s="56">
        <v>18.600000000000001</v>
      </c>
      <c r="C9" s="73">
        <f>'[1]cálculos teóricos'!K185</f>
        <v>0.94922253208705598</v>
      </c>
      <c r="D9" s="58">
        <f>IF(B9&gt;0,B9*C9*14.25*1.022,-999)</f>
        <v>257.12644363652703</v>
      </c>
      <c r="E9" s="59">
        <f>IF(B9&gt;0,D9*4.1868/100,-999)</f>
        <v>10.765369942174113</v>
      </c>
      <c r="F9" s="60">
        <f>IF(B9&gt;0,(7.86+1.25*D9)*4.1868/100,-999)</f>
        <v>13.785794907717642</v>
      </c>
      <c r="G9" s="61">
        <f>'[1]cálculos teóricos'!T185</f>
        <v>22.12816277484286</v>
      </c>
      <c r="H9" s="62">
        <f>IF(B9&gt;0,100*F9/G9,-999)</f>
        <v>62.299771779474092</v>
      </c>
      <c r="I9" s="165"/>
      <c r="J9" s="63"/>
      <c r="K9" s="166"/>
      <c r="L9" s="166"/>
      <c r="M9" s="166">
        <v>0.3</v>
      </c>
      <c r="N9" s="180">
        <v>0.9</v>
      </c>
      <c r="O9" s="181">
        <v>1</v>
      </c>
      <c r="P9" s="182">
        <v>1</v>
      </c>
      <c r="Q9" s="166">
        <v>1</v>
      </c>
      <c r="R9" s="166">
        <v>1</v>
      </c>
      <c r="S9" s="166">
        <v>1</v>
      </c>
      <c r="T9" s="166">
        <v>0.5</v>
      </c>
      <c r="U9" s="63"/>
      <c r="V9" s="64"/>
      <c r="W9" s="58">
        <f t="shared" ref="W9:W40" si="0">SUM(I9:O9)</f>
        <v>2.2000000000000002</v>
      </c>
      <c r="X9" s="118">
        <f>SUM(P9:V9)</f>
        <v>4.5</v>
      </c>
      <c r="Y9" s="119">
        <f>W9+X9</f>
        <v>6.7</v>
      </c>
      <c r="Z9" s="70">
        <f>'[1]cálculos teóricos'!I185</f>
        <v>10.559021498963354</v>
      </c>
      <c r="AA9" s="71">
        <f>100*Y9/Z9</f>
        <v>63.452849306706888</v>
      </c>
      <c r="AB9" s="3"/>
    </row>
    <row r="10" spans="1:28" ht="18" customHeight="1">
      <c r="A10" s="112">
        <v>2</v>
      </c>
      <c r="B10" s="183">
        <v>22.6</v>
      </c>
      <c r="C10" s="73">
        <f>'[1]cálculos teóricos'!K186</f>
        <v>0.94945428691235023</v>
      </c>
      <c r="D10" s="58">
        <f>IF(B10&gt;0,B10*C10*14.25*1.022,-999)</f>
        <v>312.49873166832509</v>
      </c>
      <c r="E10" s="59">
        <f>IF(B10&gt;0,D10*4.1868/100,-999)</f>
        <v>13.083696897489435</v>
      </c>
      <c r="F10" s="60">
        <f>IF(B10&gt;0,(7.86+1.25*D10)*4.1868/100,-999)</f>
        <v>16.683703601861794</v>
      </c>
      <c r="G10" s="61">
        <f>'[1]cálculos teóricos'!T186</f>
        <v>22.16318090088307</v>
      </c>
      <c r="H10" s="74">
        <f>IF(B10&gt;0,100*F10/G10,-999)</f>
        <v>75.276665729859417</v>
      </c>
      <c r="I10" s="168"/>
      <c r="J10" s="78"/>
      <c r="K10" s="171">
        <v>0.8</v>
      </c>
      <c r="L10" s="171">
        <v>1</v>
      </c>
      <c r="M10" s="184">
        <v>1</v>
      </c>
      <c r="N10" s="171">
        <v>1</v>
      </c>
      <c r="O10" s="185">
        <v>1</v>
      </c>
      <c r="P10" s="186">
        <v>1</v>
      </c>
      <c r="Q10" s="184">
        <v>1</v>
      </c>
      <c r="R10" s="184">
        <v>1</v>
      </c>
      <c r="S10" s="184">
        <v>1</v>
      </c>
      <c r="T10" s="184">
        <v>0.6</v>
      </c>
      <c r="U10" s="81"/>
      <c r="V10" s="77"/>
      <c r="W10" s="58">
        <f t="shared" si="0"/>
        <v>4.8</v>
      </c>
      <c r="X10" s="118">
        <f>SUM(P10:V10)</f>
        <v>4.5999999999999996</v>
      </c>
      <c r="Y10" s="69">
        <f>W10+X10</f>
        <v>9.3999999999999986</v>
      </c>
      <c r="Z10" s="70">
        <f>'[1]cálculos teóricos'!I186</f>
        <v>10.563600427107158</v>
      </c>
      <c r="AA10" s="71">
        <f t="shared" ref="AA10:AA39" si="1">100*Y10/Z10</f>
        <v>88.984812184667135</v>
      </c>
      <c r="AB10" s="176"/>
    </row>
    <row r="11" spans="1:28" ht="18" customHeight="1">
      <c r="A11" s="112">
        <v>3</v>
      </c>
      <c r="B11" s="183">
        <v>18.5</v>
      </c>
      <c r="C11" s="73">
        <f>'[1]cálculos teóricos'!K187</f>
        <v>0.94970976387893824</v>
      </c>
      <c r="D11" s="58">
        <f t="shared" ref="D11:D39" si="2">IF(B11&gt;0,B11*C11*14.25*1.022,-999)</f>
        <v>255.87531570564195</v>
      </c>
      <c r="E11" s="59">
        <f t="shared" ref="E11:E39" si="3">IF(B11&gt;0,D11*4.1868/100,-999)</f>
        <v>10.712987717963818</v>
      </c>
      <c r="F11" s="60">
        <f t="shared" ref="F11:F39" si="4">IF(B11&gt;0,(7.86+1.25*D11)*4.1868/100,-999)</f>
        <v>13.720317127454773</v>
      </c>
      <c r="G11" s="61">
        <f>'[1]cálculos teóricos'!T187</f>
        <v>22.20209100334764</v>
      </c>
      <c r="H11" s="74">
        <f t="shared" ref="H11:H39" si="5">IF(B11&gt;0,100*F11/G11,-999)</f>
        <v>61.797409646623009</v>
      </c>
      <c r="I11" s="168"/>
      <c r="J11" s="78"/>
      <c r="K11" s="171">
        <v>0.9</v>
      </c>
      <c r="L11" s="184">
        <v>1</v>
      </c>
      <c r="M11" s="184">
        <v>1</v>
      </c>
      <c r="N11" s="171">
        <v>1</v>
      </c>
      <c r="O11" s="185">
        <v>1</v>
      </c>
      <c r="P11" s="186">
        <v>1</v>
      </c>
      <c r="Q11" s="184">
        <v>0.9</v>
      </c>
      <c r="R11" s="184">
        <v>0.9</v>
      </c>
      <c r="S11" s="184">
        <v>0.6</v>
      </c>
      <c r="T11" s="187"/>
      <c r="U11" s="81"/>
      <c r="V11" s="77"/>
      <c r="W11" s="58">
        <f t="shared" si="0"/>
        <v>4.9000000000000004</v>
      </c>
      <c r="X11" s="118">
        <f t="shared" ref="X11:X16" si="6">SUM(P11:V11)</f>
        <v>3.4</v>
      </c>
      <c r="Y11" s="69">
        <f t="shared" ref="Y11:Y16" si="7">W11+X11</f>
        <v>8.3000000000000007</v>
      </c>
      <c r="Z11" s="70">
        <f>'[1]cálculos teóricos'!I187</f>
        <v>10.568648710207977</v>
      </c>
      <c r="AA11" s="71">
        <f t="shared" si="1"/>
        <v>78.534164845343483</v>
      </c>
      <c r="AB11" s="176"/>
    </row>
    <row r="12" spans="1:28" ht="18" customHeight="1">
      <c r="A12" s="72">
        <v>4</v>
      </c>
      <c r="B12" s="56">
        <v>17.600000000000001</v>
      </c>
      <c r="C12" s="73">
        <f>'[1]cálculos teóricos'!K188</f>
        <v>0.9499887601007182</v>
      </c>
      <c r="D12" s="58">
        <f t="shared" si="2"/>
        <v>243.4988390159919</v>
      </c>
      <c r="E12" s="59">
        <f t="shared" si="3"/>
        <v>10.194809391921549</v>
      </c>
      <c r="F12" s="60">
        <f t="shared" si="4"/>
        <v>13.072594219901937</v>
      </c>
      <c r="G12" s="61">
        <f>'[1]cálculos teóricos'!T188</f>
        <v>22.244871387745548</v>
      </c>
      <c r="H12" s="74">
        <f t="shared" si="5"/>
        <v>58.766778157699235</v>
      </c>
      <c r="I12" s="168"/>
      <c r="J12" s="78"/>
      <c r="K12" s="171">
        <v>0.1</v>
      </c>
      <c r="L12" s="171">
        <v>0.2</v>
      </c>
      <c r="M12" s="184">
        <v>1</v>
      </c>
      <c r="N12" s="171">
        <v>0.9</v>
      </c>
      <c r="O12" s="185">
        <v>1</v>
      </c>
      <c r="P12" s="186">
        <v>0.8</v>
      </c>
      <c r="Q12" s="184">
        <v>1</v>
      </c>
      <c r="R12" s="184">
        <v>1</v>
      </c>
      <c r="S12" s="171">
        <v>0.9</v>
      </c>
      <c r="T12" s="187">
        <v>0.3</v>
      </c>
      <c r="U12" s="81"/>
      <c r="V12" s="77"/>
      <c r="W12" s="58">
        <f t="shared" si="0"/>
        <v>3.2</v>
      </c>
      <c r="X12" s="118">
        <f t="shared" si="6"/>
        <v>3.9999999999999996</v>
      </c>
      <c r="Y12" s="69">
        <f t="shared" si="7"/>
        <v>7.1999999999999993</v>
      </c>
      <c r="Z12" s="70">
        <f>'[1]cálculos teóricos'!I188</f>
        <v>10.57416256793211</v>
      </c>
      <c r="AA12" s="71">
        <f t="shared" si="1"/>
        <v>68.090498455501191</v>
      </c>
      <c r="AB12" s="176"/>
    </row>
    <row r="13" spans="1:28" ht="18" customHeight="1">
      <c r="A13" s="72">
        <v>5</v>
      </c>
      <c r="B13" s="56">
        <v>18.2</v>
      </c>
      <c r="C13" s="73">
        <f>'[1]cálculos teóricos'!K189</f>
        <v>0.95029105530266378</v>
      </c>
      <c r="D13" s="58">
        <f t="shared" si="2"/>
        <v>251.88006086698624</v>
      </c>
      <c r="E13" s="59">
        <f t="shared" si="3"/>
        <v>10.545714388378979</v>
      </c>
      <c r="F13" s="60">
        <f t="shared" si="4"/>
        <v>13.511225465473723</v>
      </c>
      <c r="G13" s="61">
        <f>'[1]cálculos teóricos'!T189</f>
        <v>22.291498546096314</v>
      </c>
      <c r="H13" s="74">
        <f t="shared" si="5"/>
        <v>60.61156201559993</v>
      </c>
      <c r="I13" s="168"/>
      <c r="J13" s="78"/>
      <c r="K13" s="171">
        <v>0.6</v>
      </c>
      <c r="L13" s="171">
        <v>0.7</v>
      </c>
      <c r="M13" s="184">
        <v>0.3</v>
      </c>
      <c r="N13" s="171">
        <v>0.9</v>
      </c>
      <c r="O13" s="185">
        <v>1</v>
      </c>
      <c r="P13" s="186">
        <v>0.9</v>
      </c>
      <c r="Q13" s="184">
        <v>1</v>
      </c>
      <c r="R13" s="184">
        <v>1</v>
      </c>
      <c r="S13" s="171">
        <v>1</v>
      </c>
      <c r="T13" s="188"/>
      <c r="U13" s="81"/>
      <c r="V13" s="77"/>
      <c r="W13" s="58">
        <f t="shared" si="0"/>
        <v>3.5</v>
      </c>
      <c r="X13" s="118">
        <f t="shared" si="6"/>
        <v>3.9</v>
      </c>
      <c r="Y13" s="69">
        <f t="shared" si="7"/>
        <v>7.4</v>
      </c>
      <c r="Z13" s="70">
        <f>'[1]cálculos teóricos'!I189</f>
        <v>10.580137911715219</v>
      </c>
      <c r="AA13" s="71">
        <f t="shared" si="1"/>
        <v>69.94237751670606</v>
      </c>
      <c r="AB13" s="176"/>
    </row>
    <row r="14" spans="1:28" ht="18" customHeight="1">
      <c r="A14" s="72">
        <v>6</v>
      </c>
      <c r="B14" s="56">
        <v>16.899999999999999</v>
      </c>
      <c r="C14" s="73">
        <f>'[1]cálculos teóricos'!K190</f>
        <v>0.95061641216417903</v>
      </c>
      <c r="D14" s="58">
        <f t="shared" si="2"/>
        <v>233.96870580354607</v>
      </c>
      <c r="E14" s="59">
        <f t="shared" si="3"/>
        <v>9.7958017745828663</v>
      </c>
      <c r="F14" s="60">
        <f t="shared" si="4"/>
        <v>12.573834698228584</v>
      </c>
      <c r="G14" s="61">
        <f>'[1]cálculos teóricos'!T190</f>
        <v>22.341947176896817</v>
      </c>
      <c r="H14" s="74">
        <f t="shared" si="5"/>
        <v>56.279045862353641</v>
      </c>
      <c r="I14" s="168"/>
      <c r="J14" s="78"/>
      <c r="K14" s="171">
        <v>0.7</v>
      </c>
      <c r="L14" s="171">
        <v>1</v>
      </c>
      <c r="M14" s="184">
        <v>0.4</v>
      </c>
      <c r="N14" s="171">
        <v>1</v>
      </c>
      <c r="O14" s="185">
        <v>1</v>
      </c>
      <c r="P14" s="186">
        <v>1</v>
      </c>
      <c r="Q14" s="184"/>
      <c r="R14" s="184">
        <v>0.1</v>
      </c>
      <c r="S14" s="171">
        <v>0.4</v>
      </c>
      <c r="T14" s="188"/>
      <c r="U14" s="81"/>
      <c r="V14" s="77"/>
      <c r="W14" s="58">
        <f t="shared" si="0"/>
        <v>4.0999999999999996</v>
      </c>
      <c r="X14" s="118">
        <f t="shared" si="6"/>
        <v>1.5</v>
      </c>
      <c r="Y14" s="69">
        <f t="shared" si="7"/>
        <v>5.6</v>
      </c>
      <c r="Z14" s="70">
        <f>'[1]cálculos teóricos'!I190</f>
        <v>10.586570354918337</v>
      </c>
      <c r="AA14" s="71">
        <f t="shared" si="1"/>
        <v>52.897206670886924</v>
      </c>
      <c r="AB14" s="176"/>
    </row>
    <row r="15" spans="1:28" ht="18" customHeight="1">
      <c r="A15" s="72">
        <v>7</v>
      </c>
      <c r="B15" s="56">
        <v>15.6</v>
      </c>
      <c r="C15" s="73">
        <f>'[1]cálculos teóricos'!K191</f>
        <v>0.95096457668682222</v>
      </c>
      <c r="D15" s="58">
        <f t="shared" si="2"/>
        <v>216.05021275622514</v>
      </c>
      <c r="E15" s="59">
        <f t="shared" si="3"/>
        <v>9.0455903076776334</v>
      </c>
      <c r="F15" s="60">
        <f t="shared" si="4"/>
        <v>11.636070364597042</v>
      </c>
      <c r="G15" s="61">
        <f>'[1]cálculos teóricos'!T191</f>
        <v>22.396190206493252</v>
      </c>
      <c r="H15" s="74">
        <f t="shared" si="5"/>
        <v>51.955579307517382</v>
      </c>
      <c r="I15" s="168"/>
      <c r="J15" s="78"/>
      <c r="K15" s="171">
        <v>0.7</v>
      </c>
      <c r="L15" s="171">
        <v>0.7</v>
      </c>
      <c r="M15" s="171">
        <v>1</v>
      </c>
      <c r="N15" s="171">
        <v>1</v>
      </c>
      <c r="O15" s="185">
        <v>0.5</v>
      </c>
      <c r="P15" s="186">
        <v>0.4</v>
      </c>
      <c r="Q15" s="184">
        <v>0.9</v>
      </c>
      <c r="R15" s="171">
        <v>0.7</v>
      </c>
      <c r="S15" s="187">
        <v>0.9</v>
      </c>
      <c r="T15" s="187">
        <v>0.5</v>
      </c>
      <c r="U15" s="81"/>
      <c r="V15" s="77"/>
      <c r="W15" s="58">
        <f t="shared" si="0"/>
        <v>3.9</v>
      </c>
      <c r="X15" s="118">
        <f t="shared" si="6"/>
        <v>3.4</v>
      </c>
      <c r="Y15" s="69">
        <f t="shared" si="7"/>
        <v>7.3</v>
      </c>
      <c r="Z15" s="70">
        <f>'[1]cálculos teóricos'!I191</f>
        <v>10.593455223619625</v>
      </c>
      <c r="AA15" s="71">
        <f t="shared" si="1"/>
        <v>68.910472040544477</v>
      </c>
      <c r="AB15" s="176"/>
    </row>
    <row r="16" spans="1:28" ht="18" customHeight="1">
      <c r="A16" s="79">
        <v>8</v>
      </c>
      <c r="B16" s="75">
        <v>19.5</v>
      </c>
      <c r="C16" s="73">
        <f>'[1]cálculos teóricos'!K192</f>
        <v>0.95133527858537681</v>
      </c>
      <c r="D16" s="58">
        <f t="shared" si="2"/>
        <v>270.1680409287236</v>
      </c>
      <c r="E16" s="59">
        <f t="shared" si="3"/>
        <v>11.311395537603799</v>
      </c>
      <c r="F16" s="60">
        <f t="shared" si="4"/>
        <v>14.468326902004751</v>
      </c>
      <c r="G16" s="61">
        <f>'[1]cálculos teóricos'!T192</f>
        <v>22.454198811849096</v>
      </c>
      <c r="H16" s="74">
        <f t="shared" si="5"/>
        <v>64.434839217553403</v>
      </c>
      <c r="I16" s="170"/>
      <c r="J16" s="188"/>
      <c r="K16" s="85"/>
      <c r="L16" s="75">
        <v>0.6</v>
      </c>
      <c r="M16" s="78">
        <v>1</v>
      </c>
      <c r="N16" s="75">
        <v>1</v>
      </c>
      <c r="O16" s="189">
        <v>1</v>
      </c>
      <c r="P16" s="190">
        <v>1</v>
      </c>
      <c r="Q16" s="78">
        <v>1</v>
      </c>
      <c r="R16" s="78">
        <v>1</v>
      </c>
      <c r="S16" s="75">
        <v>0.8</v>
      </c>
      <c r="T16" s="80">
        <v>0.3</v>
      </c>
      <c r="U16" s="80"/>
      <c r="V16" s="77"/>
      <c r="W16" s="58">
        <f t="shared" si="0"/>
        <v>3.6</v>
      </c>
      <c r="X16" s="118">
        <f t="shared" si="6"/>
        <v>4.0999999999999996</v>
      </c>
      <c r="Y16" s="69">
        <f t="shared" si="7"/>
        <v>7.6999999999999993</v>
      </c>
      <c r="Z16" s="70">
        <f>'[1]cálculos teóricos'!I192</f>
        <v>10.600787567991276</v>
      </c>
      <c r="AA16" s="71">
        <f t="shared" si="1"/>
        <v>72.636112653081469</v>
      </c>
      <c r="AB16" s="176"/>
    </row>
    <row r="17" spans="1:28" ht="18" customHeight="1">
      <c r="A17" s="79">
        <v>9</v>
      </c>
      <c r="B17" s="75">
        <v>19.399999999999999</v>
      </c>
      <c r="C17" s="73">
        <f>'[1]cálculos teóricos'!K193</f>
        <v>0.95172823170119347</v>
      </c>
      <c r="D17" s="58">
        <f t="shared" si="2"/>
        <v>268.8935855861784</v>
      </c>
      <c r="E17" s="59">
        <f t="shared" si="3"/>
        <v>11.258036641322116</v>
      </c>
      <c r="F17" s="60">
        <f t="shared" si="4"/>
        <v>14.401628281652647</v>
      </c>
      <c r="G17" s="61">
        <f>'[1]cálculos teóricos'!T193</f>
        <v>22.515942444697764</v>
      </c>
      <c r="H17" s="74">
        <f t="shared" si="5"/>
        <v>63.961916393351146</v>
      </c>
      <c r="I17" s="170"/>
      <c r="J17" s="188"/>
      <c r="K17" s="154"/>
      <c r="L17" s="85"/>
      <c r="M17" s="184">
        <v>0.6</v>
      </c>
      <c r="N17" s="171">
        <v>1</v>
      </c>
      <c r="O17" s="185">
        <v>1</v>
      </c>
      <c r="P17" s="186">
        <v>1</v>
      </c>
      <c r="Q17" s="184">
        <v>1</v>
      </c>
      <c r="R17" s="184">
        <v>1</v>
      </c>
      <c r="S17" s="171">
        <v>1</v>
      </c>
      <c r="T17" s="191">
        <v>0.6</v>
      </c>
      <c r="U17" s="80"/>
      <c r="V17" s="77"/>
      <c r="W17" s="58">
        <f t="shared" si="0"/>
        <v>2.6</v>
      </c>
      <c r="X17" s="118">
        <f>SUM(P17:V17)</f>
        <v>4.5999999999999996</v>
      </c>
      <c r="Y17" s="69">
        <f>W17+X17</f>
        <v>7.1999999999999993</v>
      </c>
      <c r="Z17" s="70">
        <f>'[1]cálculos teóricos'!I193</f>
        <v>10.608562174209084</v>
      </c>
      <c r="AA17" s="71">
        <f t="shared" si="1"/>
        <v>67.869706391543033</v>
      </c>
      <c r="AB17" s="176"/>
    </row>
    <row r="18" spans="1:28" ht="18" customHeight="1">
      <c r="A18" s="79">
        <v>10</v>
      </c>
      <c r="B18" s="75">
        <v>21.2</v>
      </c>
      <c r="C18" s="73">
        <f>'[1]cálculos teóricos'!K194</f>
        <v>0.95214313443666077</v>
      </c>
      <c r="D18" s="58">
        <f t="shared" si="2"/>
        <v>293.97057461340819</v>
      </c>
      <c r="E18" s="59">
        <f t="shared" si="3"/>
        <v>12.307960017914175</v>
      </c>
      <c r="F18" s="60">
        <f t="shared" si="4"/>
        <v>15.714032502392717</v>
      </c>
      <c r="G18" s="61">
        <f>'[1]cálculos teóricos'!T194</f>
        <v>22.581388857066401</v>
      </c>
      <c r="H18" s="74">
        <f t="shared" si="5"/>
        <v>69.588423466147077</v>
      </c>
      <c r="I18" s="170"/>
      <c r="J18" s="188"/>
      <c r="K18" s="154"/>
      <c r="L18" s="191">
        <v>0.9</v>
      </c>
      <c r="M18" s="191">
        <v>1</v>
      </c>
      <c r="N18" s="191">
        <v>1</v>
      </c>
      <c r="O18" s="192">
        <v>1</v>
      </c>
      <c r="P18" s="193">
        <v>1</v>
      </c>
      <c r="Q18" s="187">
        <v>1</v>
      </c>
      <c r="R18" s="191">
        <v>1</v>
      </c>
      <c r="S18" s="191">
        <v>1</v>
      </c>
      <c r="T18" s="191">
        <v>0.5</v>
      </c>
      <c r="U18" s="80"/>
      <c r="V18" s="77"/>
      <c r="W18" s="58">
        <f t="shared" si="0"/>
        <v>3.9</v>
      </c>
      <c r="X18" s="118">
        <f>SUM(P18:V18)</f>
        <v>4.5</v>
      </c>
      <c r="Y18" s="69">
        <f>W18+X18</f>
        <v>8.4</v>
      </c>
      <c r="Z18" s="70">
        <f>'[1]cálculos teóricos'!I194</f>
        <v>10.616773576840487</v>
      </c>
      <c r="AA18" s="71">
        <f t="shared" si="1"/>
        <v>79.120082379112105</v>
      </c>
      <c r="AB18" s="176"/>
    </row>
    <row r="19" spans="1:28" ht="18" customHeight="1">
      <c r="A19" s="79">
        <v>11</v>
      </c>
      <c r="B19" s="75">
        <v>20.100000000000001</v>
      </c>
      <c r="C19" s="73">
        <f>'[1]cálculos teóricos'!K195</f>
        <v>0.95257967020962231</v>
      </c>
      <c r="D19" s="58">
        <f t="shared" si="2"/>
        <v>278.84516994466645</v>
      </c>
      <c r="E19" s="59">
        <f t="shared" si="3"/>
        <v>11.674689575243294</v>
      </c>
      <c r="F19" s="60">
        <f t="shared" si="4"/>
        <v>14.922444449054119</v>
      </c>
      <c r="G19" s="61">
        <f>'[1]cálculos teóricos'!T195</f>
        <v>22.650504128154459</v>
      </c>
      <c r="H19" s="74">
        <f t="shared" si="5"/>
        <v>65.881290608916729</v>
      </c>
      <c r="I19" s="170"/>
      <c r="J19" s="187">
        <v>0.1</v>
      </c>
      <c r="K19" s="191">
        <v>1</v>
      </c>
      <c r="L19" s="191">
        <v>1</v>
      </c>
      <c r="M19" s="191">
        <v>1</v>
      </c>
      <c r="N19" s="191">
        <v>1</v>
      </c>
      <c r="O19" s="192">
        <v>1</v>
      </c>
      <c r="P19" s="193">
        <v>1</v>
      </c>
      <c r="Q19" s="191">
        <v>1</v>
      </c>
      <c r="R19" s="191">
        <v>1</v>
      </c>
      <c r="S19" s="191">
        <v>1</v>
      </c>
      <c r="T19" s="191">
        <v>0.5</v>
      </c>
      <c r="U19" s="80"/>
      <c r="V19" s="77"/>
      <c r="W19" s="58">
        <f t="shared" si="0"/>
        <v>5.0999999999999996</v>
      </c>
      <c r="X19" s="118">
        <f>SUM(P19:V19)</f>
        <v>4.5</v>
      </c>
      <c r="Y19" s="69">
        <f>W19+X19</f>
        <v>9.6</v>
      </c>
      <c r="Z19" s="70">
        <f>'[1]cálculos teóricos'!I195</f>
        <v>10.625416071655851</v>
      </c>
      <c r="AA19" s="71">
        <f t="shared" si="1"/>
        <v>90.349403122281203</v>
      </c>
      <c r="AB19" s="176"/>
    </row>
    <row r="20" spans="1:28" ht="18" customHeight="1">
      <c r="A20" s="79">
        <v>12</v>
      </c>
      <c r="B20" s="75">
        <v>21.4</v>
      </c>
      <c r="C20" s="73">
        <f>'[1]cálculos teóricos'!K196</f>
        <v>0.95303750792650499</v>
      </c>
      <c r="D20" s="58">
        <f t="shared" si="2"/>
        <v>297.02262137911583</v>
      </c>
      <c r="E20" s="59">
        <f t="shared" si="3"/>
        <v>12.435743111900821</v>
      </c>
      <c r="F20" s="60">
        <f t="shared" si="4"/>
        <v>15.873761369876028</v>
      </c>
      <c r="G20" s="61">
        <f>'[1]cálculos teóricos'!T196</f>
        <v>22.723252692547995</v>
      </c>
      <c r="H20" s="74">
        <f t="shared" si="5"/>
        <v>69.856906423796318</v>
      </c>
      <c r="I20" s="170"/>
      <c r="J20" s="188"/>
      <c r="K20" s="191">
        <v>1</v>
      </c>
      <c r="L20" s="191">
        <v>1</v>
      </c>
      <c r="M20" s="191">
        <v>1</v>
      </c>
      <c r="N20" s="191">
        <v>1</v>
      </c>
      <c r="O20" s="192">
        <v>1</v>
      </c>
      <c r="P20" s="193">
        <v>1</v>
      </c>
      <c r="Q20" s="191">
        <v>1</v>
      </c>
      <c r="R20" s="191">
        <v>1</v>
      </c>
      <c r="S20" s="191">
        <v>1</v>
      </c>
      <c r="T20" s="191">
        <v>0.7</v>
      </c>
      <c r="U20" s="80"/>
      <c r="V20" s="77"/>
      <c r="W20" s="58">
        <f t="shared" si="0"/>
        <v>5</v>
      </c>
      <c r="X20" s="118">
        <f>SUM(P20:V20)</f>
        <v>4.7</v>
      </c>
      <c r="Y20" s="69">
        <f>W20+X20</f>
        <v>9.6999999999999993</v>
      </c>
      <c r="Z20" s="70">
        <f>'[1]cálculos teóricos'!I196</f>
        <v>10.634483728806718</v>
      </c>
      <c r="AA20" s="71">
        <f t="shared" si="1"/>
        <v>91.212702443886513</v>
      </c>
      <c r="AB20" s="176"/>
    </row>
    <row r="21" spans="1:28" ht="18" customHeight="1">
      <c r="A21" s="79">
        <v>13</v>
      </c>
      <c r="B21" s="85">
        <v>-99</v>
      </c>
      <c r="C21" s="73">
        <f>'[1]cálculos teóricos'!K197</f>
        <v>0.95351630247288299</v>
      </c>
      <c r="D21" s="58">
        <f t="shared" si="2"/>
        <v>-999</v>
      </c>
      <c r="E21" s="59">
        <f t="shared" si="3"/>
        <v>-999</v>
      </c>
      <c r="F21" s="60">
        <f t="shared" si="4"/>
        <v>-999</v>
      </c>
      <c r="G21" s="61">
        <f>'[1]cálculos teóricos'!T197</f>
        <v>22.79959736974741</v>
      </c>
      <c r="H21" s="74">
        <f t="shared" si="5"/>
        <v>-999</v>
      </c>
      <c r="I21" s="170"/>
      <c r="J21" s="81"/>
      <c r="K21" s="191">
        <v>1</v>
      </c>
      <c r="L21" s="191">
        <v>1</v>
      </c>
      <c r="M21" s="191">
        <v>1</v>
      </c>
      <c r="N21" s="191">
        <v>1</v>
      </c>
      <c r="O21" s="192">
        <v>1</v>
      </c>
      <c r="P21" s="193">
        <v>1</v>
      </c>
      <c r="Q21" s="191">
        <v>1</v>
      </c>
      <c r="R21" s="191">
        <v>1</v>
      </c>
      <c r="S21" s="191">
        <v>1</v>
      </c>
      <c r="T21" s="191">
        <v>0.8</v>
      </c>
      <c r="U21" s="80"/>
      <c r="V21" s="77"/>
      <c r="W21" s="58">
        <f t="shared" si="0"/>
        <v>5</v>
      </c>
      <c r="X21" s="118">
        <f>SUM(P21:V21)</f>
        <v>4.8</v>
      </c>
      <c r="Y21" s="69">
        <f>W21+X21</f>
        <v>9.8000000000000007</v>
      </c>
      <c r="Z21" s="70">
        <f>'[1]cálculos teóricos'!I197</f>
        <v>10.643970406314452</v>
      </c>
      <c r="AA21" s="71">
        <f t="shared" si="1"/>
        <v>92.0709061177606</v>
      </c>
      <c r="AB21" s="176"/>
    </row>
    <row r="22" spans="1:28" ht="18" customHeight="1">
      <c r="A22" s="79">
        <v>14</v>
      </c>
      <c r="B22" s="75">
        <v>20.8</v>
      </c>
      <c r="C22" s="73">
        <f>'[1]cálculos teóricos'!K198</f>
        <v>0.95401569522016727</v>
      </c>
      <c r="D22" s="58">
        <f t="shared" si="2"/>
        <v>288.99119760864926</v>
      </c>
      <c r="E22" s="59">
        <f t="shared" si="3"/>
        <v>12.099483461478926</v>
      </c>
      <c r="F22" s="60">
        <f t="shared" si="4"/>
        <v>15.453436806848659</v>
      </c>
      <c r="G22" s="61">
        <f>'[1]cálculos teóricos'!T198</f>
        <v>22.879499394983263</v>
      </c>
      <c r="H22" s="74">
        <f t="shared" si="5"/>
        <v>67.542722592248239</v>
      </c>
      <c r="I22" s="170"/>
      <c r="J22" s="81"/>
      <c r="K22" s="80">
        <v>0.9</v>
      </c>
      <c r="L22" s="80">
        <v>1</v>
      </c>
      <c r="M22" s="80">
        <v>1</v>
      </c>
      <c r="N22" s="80">
        <v>1</v>
      </c>
      <c r="O22" s="194">
        <v>1</v>
      </c>
      <c r="P22" s="195">
        <v>1</v>
      </c>
      <c r="Q22" s="80">
        <v>1</v>
      </c>
      <c r="R22" s="80">
        <v>0.7</v>
      </c>
      <c r="S22" s="80">
        <v>0.8</v>
      </c>
      <c r="T22" s="80">
        <v>0.6</v>
      </c>
      <c r="U22" s="80"/>
      <c r="V22" s="77"/>
      <c r="W22" s="58">
        <f t="shared" si="0"/>
        <v>4.9000000000000004</v>
      </c>
      <c r="X22" s="118">
        <f t="shared" ref="X22:X36" si="8">SUM(P22:V22)</f>
        <v>4.0999999999999996</v>
      </c>
      <c r="Y22" s="69">
        <f t="shared" ref="Y22:Y36" si="9">W22+X22</f>
        <v>9</v>
      </c>
      <c r="Z22" s="70">
        <f>'[1]cálculos teóricos'!I198</f>
        <v>10.653869763812521</v>
      </c>
      <c r="AA22" s="71">
        <f t="shared" si="1"/>
        <v>84.476347088171295</v>
      </c>
      <c r="AB22" s="176"/>
    </row>
    <row r="23" spans="1:28" ht="18" customHeight="1">
      <c r="A23" s="79">
        <v>15</v>
      </c>
      <c r="B23" s="75">
        <v>21.2</v>
      </c>
      <c r="C23" s="73">
        <f>'[1]cálculos teóricos'!K199</f>
        <v>0.95453531454708007</v>
      </c>
      <c r="D23" s="58">
        <f t="shared" si="2"/>
        <v>294.70915113221571</v>
      </c>
      <c r="E23" s="59">
        <f t="shared" si="3"/>
        <v>12.338882739603607</v>
      </c>
      <c r="F23" s="60">
        <f t="shared" si="4"/>
        <v>15.75268590450451</v>
      </c>
      <c r="G23" s="61">
        <f>'[1]cálculos teóricos'!T199</f>
        <v>22.962918451291131</v>
      </c>
      <c r="H23" s="74">
        <f t="shared" si="5"/>
        <v>68.600539334401489</v>
      </c>
      <c r="I23" s="170"/>
      <c r="J23" s="81"/>
      <c r="K23" s="80">
        <v>0.4</v>
      </c>
      <c r="L23" s="80">
        <v>1</v>
      </c>
      <c r="M23" s="80">
        <v>1</v>
      </c>
      <c r="N23" s="80">
        <v>1</v>
      </c>
      <c r="O23" s="194">
        <v>1</v>
      </c>
      <c r="P23" s="195">
        <v>1</v>
      </c>
      <c r="Q23" s="80">
        <v>1</v>
      </c>
      <c r="R23" s="80">
        <v>1</v>
      </c>
      <c r="S23" s="80">
        <v>1</v>
      </c>
      <c r="T23" s="80">
        <v>0.4</v>
      </c>
      <c r="U23" s="80"/>
      <c r="V23" s="77"/>
      <c r="W23" s="58">
        <f t="shared" si="0"/>
        <v>4.4000000000000004</v>
      </c>
      <c r="X23" s="118">
        <f t="shared" si="8"/>
        <v>4.4000000000000004</v>
      </c>
      <c r="Y23" s="69">
        <f t="shared" si="9"/>
        <v>8.8000000000000007</v>
      </c>
      <c r="Z23" s="70">
        <f>'[1]cálculos teóricos'!I199</f>
        <v>10.664175276485974</v>
      </c>
      <c r="AA23" s="71">
        <f t="shared" si="1"/>
        <v>82.519273847679571</v>
      </c>
      <c r="AB23" s="176"/>
    </row>
    <row r="24" spans="1:28" ht="18" customHeight="1">
      <c r="A24" s="79">
        <v>16</v>
      </c>
      <c r="B24" s="75">
        <v>12.7</v>
      </c>
      <c r="C24" s="73">
        <f>'[1]cálculos teóricos'!K200</f>
        <v>0.95507477637454152</v>
      </c>
      <c r="D24" s="58">
        <f t="shared" si="2"/>
        <v>176.64724012277907</v>
      </c>
      <c r="E24" s="59">
        <f t="shared" si="3"/>
        <v>7.3958666494605145</v>
      </c>
      <c r="F24" s="60">
        <f t="shared" si="4"/>
        <v>9.5739157918256428</v>
      </c>
      <c r="G24" s="61">
        <f>'[1]cálculos teóricos'!T200</f>
        <v>23.049812702813032</v>
      </c>
      <c r="H24" s="74">
        <f t="shared" si="5"/>
        <v>41.535763935544814</v>
      </c>
      <c r="I24" s="170"/>
      <c r="J24" s="81"/>
      <c r="K24" s="80"/>
      <c r="L24" s="80"/>
      <c r="M24" s="154"/>
      <c r="N24" s="80">
        <v>0.3</v>
      </c>
      <c r="O24" s="194">
        <v>0.8</v>
      </c>
      <c r="P24" s="195">
        <v>0.2</v>
      </c>
      <c r="Q24" s="80">
        <v>0.2</v>
      </c>
      <c r="R24" s="80">
        <v>0.1</v>
      </c>
      <c r="S24" s="80">
        <v>0.1</v>
      </c>
      <c r="T24" s="80"/>
      <c r="U24" s="80"/>
      <c r="V24" s="77"/>
      <c r="W24" s="58">
        <f t="shared" si="0"/>
        <v>1.1000000000000001</v>
      </c>
      <c r="X24" s="118">
        <f t="shared" si="8"/>
        <v>0.6</v>
      </c>
      <c r="Y24" s="69">
        <f t="shared" si="9"/>
        <v>1.7000000000000002</v>
      </c>
      <c r="Z24" s="70">
        <f>'[1]cálculos teóricos'!I200</f>
        <v>10.674880249152137</v>
      </c>
      <c r="AA24" s="71">
        <f t="shared" si="1"/>
        <v>15.925237195377667</v>
      </c>
      <c r="AB24" s="176"/>
    </row>
    <row r="25" spans="1:28" ht="18" customHeight="1">
      <c r="A25" s="79">
        <v>17</v>
      </c>
      <c r="B25" s="75">
        <v>13.5</v>
      </c>
      <c r="C25" s="73">
        <f>'[1]cálculos teóricos'!K201</f>
        <v>0.9556336847125847</v>
      </c>
      <c r="D25" s="58">
        <f t="shared" si="2"/>
        <v>187.8845107587083</v>
      </c>
      <c r="E25" s="59">
        <f t="shared" si="3"/>
        <v>7.8663486964455993</v>
      </c>
      <c r="F25" s="60">
        <f t="shared" si="4"/>
        <v>10.162018350556998</v>
      </c>
      <c r="G25" s="61">
        <f>'[1]cálculos teóricos'!T201</f>
        <v>23.140138829289349</v>
      </c>
      <c r="H25" s="74">
        <f t="shared" si="5"/>
        <v>43.915114016924335</v>
      </c>
      <c r="I25" s="170"/>
      <c r="J25" s="81"/>
      <c r="K25" s="80"/>
      <c r="L25" s="80"/>
      <c r="M25" s="80"/>
      <c r="N25" s="80">
        <v>0.9</v>
      </c>
      <c r="O25" s="194">
        <v>0.6</v>
      </c>
      <c r="P25" s="195">
        <v>0.7</v>
      </c>
      <c r="Q25" s="80">
        <v>1</v>
      </c>
      <c r="R25" s="80">
        <v>1</v>
      </c>
      <c r="S25" s="80">
        <v>0.1</v>
      </c>
      <c r="T25" s="80">
        <v>0.1</v>
      </c>
      <c r="U25" s="80"/>
      <c r="V25" s="77"/>
      <c r="W25" s="58">
        <f t="shared" si="0"/>
        <v>1.5</v>
      </c>
      <c r="X25" s="118">
        <f t="shared" si="8"/>
        <v>2.9000000000000004</v>
      </c>
      <c r="Y25" s="69">
        <f t="shared" si="9"/>
        <v>4.4000000000000004</v>
      </c>
      <c r="Z25" s="70">
        <f>'[1]cálculos teóricos'!I201</f>
        <v>10.685977830427753</v>
      </c>
      <c r="AA25" s="71">
        <f t="shared" si="1"/>
        <v>41.175455066650379</v>
      </c>
      <c r="AB25" s="176"/>
    </row>
    <row r="26" spans="1:28" ht="18" customHeight="1">
      <c r="A26" s="84">
        <v>18</v>
      </c>
      <c r="B26" s="75">
        <v>24</v>
      </c>
      <c r="C26" s="73">
        <f>'[1]cálculos teóricos'!K202</f>
        <v>0.95621163221789329</v>
      </c>
      <c r="D26" s="58">
        <f t="shared" si="2"/>
        <v>334.21891453932699</v>
      </c>
      <c r="E26" s="59">
        <f t="shared" si="3"/>
        <v>13.993077513932542</v>
      </c>
      <c r="F26" s="60">
        <f t="shared" si="4"/>
        <v>17.820429372415678</v>
      </c>
      <c r="G26" s="61">
        <f>'[1]cálculos teóricos'!T202</f>
        <v>23.233852061700922</v>
      </c>
      <c r="H26" s="74">
        <f t="shared" si="5"/>
        <v>76.700279080244201</v>
      </c>
      <c r="I26" s="170"/>
      <c r="J26" s="81"/>
      <c r="K26" s="80">
        <v>0.9</v>
      </c>
      <c r="L26" s="80">
        <v>1</v>
      </c>
      <c r="M26" s="80">
        <v>1</v>
      </c>
      <c r="N26" s="80">
        <v>1</v>
      </c>
      <c r="O26" s="194">
        <v>1</v>
      </c>
      <c r="P26" s="195">
        <v>1</v>
      </c>
      <c r="Q26" s="80">
        <v>1</v>
      </c>
      <c r="R26" s="80">
        <v>1</v>
      </c>
      <c r="S26" s="80">
        <v>1</v>
      </c>
      <c r="T26" s="80">
        <v>1</v>
      </c>
      <c r="U26" s="80"/>
      <c r="V26" s="77"/>
      <c r="W26" s="58">
        <f t="shared" si="0"/>
        <v>4.9000000000000004</v>
      </c>
      <c r="X26" s="118">
        <f t="shared" si="8"/>
        <v>5</v>
      </c>
      <c r="Y26" s="69">
        <f t="shared" si="9"/>
        <v>9.9</v>
      </c>
      <c r="Z26" s="70">
        <f>'[1]cálculos teóricos'!I202</f>
        <v>10.69746102692859</v>
      </c>
      <c r="AA26" s="71">
        <f t="shared" si="1"/>
        <v>92.545324307130912</v>
      </c>
      <c r="AB26" s="176"/>
    </row>
    <row r="27" spans="1:28" ht="18" customHeight="1">
      <c r="A27" s="84">
        <v>19</v>
      </c>
      <c r="B27" s="75">
        <v>25</v>
      </c>
      <c r="C27" s="73">
        <f>'[1]cálculos teóricos'!K203</f>
        <v>0.95680820076054496</v>
      </c>
      <c r="D27" s="58">
        <f t="shared" si="2"/>
        <v>348.36190579440495</v>
      </c>
      <c r="E27" s="59">
        <f t="shared" si="3"/>
        <v>14.585216271800146</v>
      </c>
      <c r="F27" s="60">
        <f t="shared" si="4"/>
        <v>18.560602819750184</v>
      </c>
      <c r="G27" s="61">
        <f>'[1]cálculos teóricos'!T203</f>
        <v>23.330906219017812</v>
      </c>
      <c r="H27" s="74">
        <f t="shared" si="5"/>
        <v>79.553715768746301</v>
      </c>
      <c r="I27" s="170"/>
      <c r="J27" s="81">
        <v>0.2</v>
      </c>
      <c r="K27" s="80">
        <v>0.9</v>
      </c>
      <c r="L27" s="80">
        <v>1</v>
      </c>
      <c r="M27" s="80">
        <v>1</v>
      </c>
      <c r="N27" s="80">
        <v>1</v>
      </c>
      <c r="O27" s="194">
        <v>1</v>
      </c>
      <c r="P27" s="195">
        <v>1</v>
      </c>
      <c r="Q27" s="80">
        <v>1</v>
      </c>
      <c r="R27" s="80">
        <v>1</v>
      </c>
      <c r="S27" s="80">
        <v>1</v>
      </c>
      <c r="T27" s="80">
        <v>0.9</v>
      </c>
      <c r="U27" s="80"/>
      <c r="V27" s="77"/>
      <c r="W27" s="58">
        <f t="shared" si="0"/>
        <v>5.0999999999999996</v>
      </c>
      <c r="X27" s="118">
        <f t="shared" si="8"/>
        <v>4.9000000000000004</v>
      </c>
      <c r="Y27" s="69">
        <f t="shared" si="9"/>
        <v>10</v>
      </c>
      <c r="Z27" s="70">
        <f>'[1]cálculos teóricos'!I203</f>
        <v>10.709322717449501</v>
      </c>
      <c r="AA27" s="71">
        <f t="shared" si="1"/>
        <v>93.376586585688116</v>
      </c>
      <c r="AB27" s="176"/>
    </row>
    <row r="28" spans="1:28" ht="18" customHeight="1">
      <c r="A28" s="84">
        <v>20</v>
      </c>
      <c r="B28" s="75">
        <v>23.1</v>
      </c>
      <c r="C28" s="73">
        <f>'[1]cálculos teóricos'!K204</f>
        <v>0.95742296199854815</v>
      </c>
      <c r="D28" s="58">
        <f t="shared" si="2"/>
        <v>322.09321699322135</v>
      </c>
      <c r="E28" s="59">
        <f t="shared" si="3"/>
        <v>13.485398809072192</v>
      </c>
      <c r="F28" s="60">
        <f t="shared" si="4"/>
        <v>17.185830991340239</v>
      </c>
      <c r="G28" s="61">
        <f>'[1]cálculos teóricos'!T204</f>
        <v>23.431253746006767</v>
      </c>
      <c r="H28" s="74">
        <f t="shared" si="5"/>
        <v>73.3457593760603</v>
      </c>
      <c r="I28" s="170"/>
      <c r="J28" s="81">
        <v>0.1</v>
      </c>
      <c r="K28" s="80">
        <v>1</v>
      </c>
      <c r="L28" s="80">
        <v>1</v>
      </c>
      <c r="M28" s="80">
        <v>1</v>
      </c>
      <c r="N28" s="80">
        <v>1</v>
      </c>
      <c r="O28" s="194">
        <v>1</v>
      </c>
      <c r="P28" s="195">
        <v>1</v>
      </c>
      <c r="Q28" s="80">
        <v>1</v>
      </c>
      <c r="R28" s="80">
        <v>1</v>
      </c>
      <c r="S28" s="80">
        <v>1</v>
      </c>
      <c r="T28" s="80"/>
      <c r="U28" s="80"/>
      <c r="V28" s="77"/>
      <c r="W28" s="58">
        <f t="shared" si="0"/>
        <v>5.0999999999999996</v>
      </c>
      <c r="X28" s="118">
        <f t="shared" si="8"/>
        <v>4</v>
      </c>
      <c r="Y28" s="69">
        <f t="shared" si="9"/>
        <v>9.1</v>
      </c>
      <c r="Z28" s="70">
        <f>'[1]cálculos teóricos'!I204</f>
        <v>10.721555667074277</v>
      </c>
      <c r="AA28" s="71">
        <f t="shared" si="1"/>
        <v>84.875742686725502</v>
      </c>
      <c r="AB28" s="176"/>
    </row>
    <row r="29" spans="1:28" ht="18" customHeight="1">
      <c r="A29" s="84">
        <v>21</v>
      </c>
      <c r="B29" s="75">
        <v>22.1</v>
      </c>
      <c r="C29" s="73">
        <f>'[1]cálculos teóricos'!K205</f>
        <v>0.95805547795874668</v>
      </c>
      <c r="D29" s="58">
        <f t="shared" si="2"/>
        <v>308.35336506687383</v>
      </c>
      <c r="E29" s="59">
        <f t="shared" si="3"/>
        <v>12.910138688619872</v>
      </c>
      <c r="F29" s="60">
        <f t="shared" si="4"/>
        <v>16.466755840774841</v>
      </c>
      <c r="G29" s="61">
        <f>'[1]cálculos teóricos'!T205</f>
        <v>23.534845752045989</v>
      </c>
      <c r="H29" s="74">
        <f t="shared" si="5"/>
        <v>69.967553704248573</v>
      </c>
      <c r="I29" s="170"/>
      <c r="J29" s="81"/>
      <c r="K29" s="80">
        <v>0.7</v>
      </c>
      <c r="L29" s="80">
        <v>1</v>
      </c>
      <c r="M29" s="80">
        <v>1</v>
      </c>
      <c r="N29" s="80">
        <v>1</v>
      </c>
      <c r="O29" s="194">
        <v>1</v>
      </c>
      <c r="P29" s="195">
        <v>1</v>
      </c>
      <c r="Q29" s="80">
        <v>1</v>
      </c>
      <c r="R29" s="80">
        <v>1</v>
      </c>
      <c r="S29" s="80">
        <v>1</v>
      </c>
      <c r="T29" s="80">
        <v>0.9</v>
      </c>
      <c r="U29" s="80"/>
      <c r="V29" s="77"/>
      <c r="W29" s="58">
        <f t="shared" si="0"/>
        <v>4.7</v>
      </c>
      <c r="X29" s="118">
        <f t="shared" si="8"/>
        <v>4.9000000000000004</v>
      </c>
      <c r="Y29" s="69">
        <f t="shared" si="9"/>
        <v>9.6000000000000014</v>
      </c>
      <c r="Z29" s="70">
        <f>'[1]cálculos teóricos'!I205</f>
        <v>10.734152541166916</v>
      </c>
      <c r="AA29" s="71">
        <f t="shared" si="1"/>
        <v>89.434167841221864</v>
      </c>
      <c r="AB29" s="3"/>
    </row>
    <row r="30" spans="1:28" ht="18" customHeight="1">
      <c r="A30" s="84">
        <v>22</v>
      </c>
      <c r="B30" s="75">
        <v>22.6</v>
      </c>
      <c r="C30" s="73">
        <f>'[1]cálculos teóricos'!K206</f>
        <v>0.9587053016226873</v>
      </c>
      <c r="D30" s="58">
        <f t="shared" si="2"/>
        <v>315.54356532011343</v>
      </c>
      <c r="E30" s="59">
        <f t="shared" si="3"/>
        <v>13.211177992822508</v>
      </c>
      <c r="F30" s="60">
        <f t="shared" si="4"/>
        <v>16.843054971028138</v>
      </c>
      <c r="G30" s="61">
        <f>'[1]cálculos teóricos'!T206</f>
        <v>23.641632050891843</v>
      </c>
      <c r="H30" s="74">
        <f t="shared" si="5"/>
        <v>71.243199009151155</v>
      </c>
      <c r="I30" s="170"/>
      <c r="J30" s="81"/>
      <c r="K30" s="80">
        <v>0.1</v>
      </c>
      <c r="L30" s="80">
        <v>1</v>
      </c>
      <c r="M30" s="80">
        <v>1</v>
      </c>
      <c r="N30" s="80">
        <v>1</v>
      </c>
      <c r="O30" s="194">
        <v>1</v>
      </c>
      <c r="P30" s="195">
        <v>1</v>
      </c>
      <c r="Q30" s="80">
        <v>1</v>
      </c>
      <c r="R30" s="80">
        <v>1</v>
      </c>
      <c r="S30" s="80">
        <v>1</v>
      </c>
      <c r="T30" s="80">
        <v>1</v>
      </c>
      <c r="U30" s="80"/>
      <c r="V30" s="77"/>
      <c r="W30" s="58">
        <f t="shared" si="0"/>
        <v>4.0999999999999996</v>
      </c>
      <c r="X30" s="118">
        <f t="shared" si="8"/>
        <v>5</v>
      </c>
      <c r="Y30" s="69">
        <f t="shared" si="9"/>
        <v>9.1</v>
      </c>
      <c r="Z30" s="70">
        <f>'[1]cálculos teóricos'!I206</f>
        <v>10.747105919197939</v>
      </c>
      <c r="AA30" s="71">
        <f t="shared" si="1"/>
        <v>84.673958444424983</v>
      </c>
      <c r="AB30" s="3"/>
    </row>
    <row r="31" spans="1:28" ht="18" customHeight="1">
      <c r="A31" s="84">
        <v>23</v>
      </c>
      <c r="B31" s="75">
        <v>24</v>
      </c>
      <c r="C31" s="73">
        <f>'[1]cálculos teóricos'!K207</f>
        <v>0.95937197751604364</v>
      </c>
      <c r="D31" s="58">
        <f t="shared" si="2"/>
        <v>335.32353106931765</v>
      </c>
      <c r="E31" s="59">
        <f t="shared" si="3"/>
        <v>14.039325598810192</v>
      </c>
      <c r="F31" s="60">
        <f t="shared" si="4"/>
        <v>17.878239478512739</v>
      </c>
      <c r="G31" s="61">
        <f>'[1]cálculos teóricos'!T207</f>
        <v>23.751561201338504</v>
      </c>
      <c r="H31" s="74">
        <f t="shared" si="5"/>
        <v>75.271849824782137</v>
      </c>
      <c r="I31" s="170"/>
      <c r="J31" s="81"/>
      <c r="K31" s="80">
        <v>0.6</v>
      </c>
      <c r="L31" s="80">
        <v>1</v>
      </c>
      <c r="M31" s="80">
        <v>1</v>
      </c>
      <c r="N31" s="80">
        <v>1</v>
      </c>
      <c r="O31" s="194">
        <v>1</v>
      </c>
      <c r="P31" s="195">
        <v>1</v>
      </c>
      <c r="Q31" s="80">
        <v>1</v>
      </c>
      <c r="R31" s="80">
        <v>1</v>
      </c>
      <c r="S31" s="80">
        <v>1</v>
      </c>
      <c r="T31" s="80">
        <v>0.8</v>
      </c>
      <c r="U31" s="80"/>
      <c r="V31" s="77"/>
      <c r="W31" s="58">
        <f t="shared" si="0"/>
        <v>4.5999999999999996</v>
      </c>
      <c r="X31" s="118">
        <f t="shared" si="8"/>
        <v>4.8</v>
      </c>
      <c r="Y31" s="69">
        <f t="shared" si="9"/>
        <v>9.3999999999999986</v>
      </c>
      <c r="Z31" s="70">
        <f>'[1]cálculos teóricos'!I207</f>
        <v>10.760408308361818</v>
      </c>
      <c r="AA31" s="71">
        <f t="shared" si="1"/>
        <v>87.357279859866864</v>
      </c>
      <c r="AB31" s="3"/>
    </row>
    <row r="32" spans="1:28" ht="18" customHeight="1">
      <c r="A32" s="84">
        <v>24</v>
      </c>
      <c r="B32" s="75">
        <v>23.2</v>
      </c>
      <c r="C32" s="73">
        <f>'[1]cálculos teóricos'!K208</f>
        <v>0.96005504230021532</v>
      </c>
      <c r="D32" s="58">
        <f t="shared" si="2"/>
        <v>324.37686931810913</v>
      </c>
      <c r="E32" s="59">
        <f t="shared" si="3"/>
        <v>13.581010764610591</v>
      </c>
      <c r="F32" s="60">
        <f t="shared" si="4"/>
        <v>17.305345935763242</v>
      </c>
      <c r="G32" s="61">
        <f>'[1]cálculos teóricos'!T208</f>
        <v>23.864580548707934</v>
      </c>
      <c r="H32" s="74">
        <f t="shared" si="5"/>
        <v>72.514771003172655</v>
      </c>
      <c r="I32" s="170"/>
      <c r="J32" s="81">
        <v>0.3</v>
      </c>
      <c r="K32" s="80">
        <v>1</v>
      </c>
      <c r="L32" s="80">
        <v>1</v>
      </c>
      <c r="M32" s="80">
        <v>1</v>
      </c>
      <c r="N32" s="80">
        <v>1</v>
      </c>
      <c r="O32" s="194">
        <v>1</v>
      </c>
      <c r="P32" s="195">
        <v>1</v>
      </c>
      <c r="Q32" s="80">
        <v>1</v>
      </c>
      <c r="R32" s="80">
        <v>1</v>
      </c>
      <c r="S32" s="80">
        <v>1</v>
      </c>
      <c r="T32" s="80">
        <v>0.9</v>
      </c>
      <c r="U32" s="80"/>
      <c r="V32" s="77"/>
      <c r="W32" s="58">
        <f t="shared" si="0"/>
        <v>5.3</v>
      </c>
      <c r="X32" s="118">
        <f t="shared" si="8"/>
        <v>4.9000000000000004</v>
      </c>
      <c r="Y32" s="69">
        <f t="shared" si="9"/>
        <v>10.199999999999999</v>
      </c>
      <c r="Z32" s="70">
        <f>'[1]cálculos teóricos'!I208</f>
        <v>10.774052156944194</v>
      </c>
      <c r="AA32" s="71">
        <f t="shared" si="1"/>
        <v>94.671901076938809</v>
      </c>
      <c r="AB32" s="3"/>
    </row>
    <row r="33" spans="1:28" ht="18" customHeight="1">
      <c r="A33" s="84">
        <v>25</v>
      </c>
      <c r="B33" s="75">
        <v>23.8</v>
      </c>
      <c r="C33" s="73">
        <f>'[1]cálculos teóricos'!K209</f>
        <v>0.96075402536473475</v>
      </c>
      <c r="D33" s="58">
        <f t="shared" si="2"/>
        <v>333.00820171190372</v>
      </c>
      <c r="E33" s="59">
        <f t="shared" si="3"/>
        <v>13.942387389273986</v>
      </c>
      <c r="F33" s="60">
        <f t="shared" si="4"/>
        <v>17.75706671659248</v>
      </c>
      <c r="G33" s="61">
        <f>'[1]cálculos teóricos'!T209</f>
        <v>23.980636267104472</v>
      </c>
      <c r="H33" s="74">
        <f t="shared" si="5"/>
        <v>74.047521170031686</v>
      </c>
      <c r="I33" s="170"/>
      <c r="J33" s="81">
        <v>0.3</v>
      </c>
      <c r="K33" s="80">
        <v>1</v>
      </c>
      <c r="L33" s="80">
        <v>1</v>
      </c>
      <c r="M33" s="80">
        <v>1</v>
      </c>
      <c r="N33" s="80">
        <v>1</v>
      </c>
      <c r="O33" s="194">
        <v>1</v>
      </c>
      <c r="P33" s="195">
        <v>1</v>
      </c>
      <c r="Q33" s="80">
        <v>1</v>
      </c>
      <c r="R33" s="80">
        <v>1</v>
      </c>
      <c r="S33" s="80">
        <v>1</v>
      </c>
      <c r="T33" s="80">
        <v>1</v>
      </c>
      <c r="U33" s="80"/>
      <c r="V33" s="77"/>
      <c r="W33" s="58">
        <f t="shared" si="0"/>
        <v>5.3</v>
      </c>
      <c r="X33" s="118">
        <f t="shared" si="8"/>
        <v>5</v>
      </c>
      <c r="Y33" s="69">
        <f t="shared" si="9"/>
        <v>10.3</v>
      </c>
      <c r="Z33" s="70">
        <f>'[1]cálculos teóricos'!I209</f>
        <v>10.788029867400006</v>
      </c>
      <c r="AA33" s="71">
        <f t="shared" si="1"/>
        <v>95.476190987617045</v>
      </c>
      <c r="AB33" s="3"/>
    </row>
    <row r="34" spans="1:28" ht="18" customHeight="1">
      <c r="A34" s="84">
        <v>26</v>
      </c>
      <c r="B34" s="75">
        <v>23</v>
      </c>
      <c r="C34" s="73">
        <f>'[1]cálculos teóricos'!K210</f>
        <v>0.96146844941914744</v>
      </c>
      <c r="D34" s="58">
        <f t="shared" si="2"/>
        <v>322.05395255166235</v>
      </c>
      <c r="E34" s="59">
        <f t="shared" si="3"/>
        <v>13.483754885432999</v>
      </c>
      <c r="F34" s="60">
        <f t="shared" si="4"/>
        <v>17.183776086791248</v>
      </c>
      <c r="G34" s="61">
        <f>'[1]cálculos teóricos'!T210</f>
        <v>24.099673402364708</v>
      </c>
      <c r="H34" s="74">
        <f t="shared" si="5"/>
        <v>71.302941744866715</v>
      </c>
      <c r="I34" s="170"/>
      <c r="J34" s="187">
        <v>0.2</v>
      </c>
      <c r="K34" s="191">
        <v>1</v>
      </c>
      <c r="L34" s="191">
        <v>1</v>
      </c>
      <c r="M34" s="191">
        <v>1</v>
      </c>
      <c r="N34" s="191">
        <v>1</v>
      </c>
      <c r="O34" s="192">
        <v>1</v>
      </c>
      <c r="P34" s="193">
        <v>1</v>
      </c>
      <c r="Q34" s="191">
        <v>1</v>
      </c>
      <c r="R34" s="191">
        <v>1</v>
      </c>
      <c r="S34" s="191">
        <v>1</v>
      </c>
      <c r="T34" s="191">
        <v>0.9</v>
      </c>
      <c r="U34" s="80"/>
      <c r="V34" s="77"/>
      <c r="W34" s="58">
        <f t="shared" si="0"/>
        <v>5.2</v>
      </c>
      <c r="X34" s="118">
        <f t="shared" si="8"/>
        <v>4.9000000000000004</v>
      </c>
      <c r="Y34" s="69">
        <f t="shared" si="9"/>
        <v>10.100000000000001</v>
      </c>
      <c r="Z34" s="70">
        <f>'[1]cálculos teóricos'!I210</f>
        <v>10.802333809106663</v>
      </c>
      <c r="AA34" s="71">
        <f t="shared" si="1"/>
        <v>93.498314146572881</v>
      </c>
      <c r="AB34" s="177"/>
    </row>
    <row r="35" spans="1:28" ht="18" customHeight="1">
      <c r="A35" s="84">
        <v>27</v>
      </c>
      <c r="B35" s="75">
        <v>21</v>
      </c>
      <c r="C35" s="73">
        <f>'[1]cálculos teóricos'!K211</f>
        <v>0.96219783108305346</v>
      </c>
      <c r="D35" s="58">
        <f t="shared" si="2"/>
        <v>294.27233037253905</v>
      </c>
      <c r="E35" s="59">
        <f t="shared" si="3"/>
        <v>12.320593928037464</v>
      </c>
      <c r="F35" s="60">
        <f t="shared" si="4"/>
        <v>15.729824890046832</v>
      </c>
      <c r="G35" s="61">
        <f>'[1]cálculos teóricos'!T211</f>
        <v>24.221635915630831</v>
      </c>
      <c r="H35" s="74">
        <f t="shared" si="5"/>
        <v>64.941215964261033</v>
      </c>
      <c r="I35" s="170"/>
      <c r="J35" s="81">
        <v>0.1</v>
      </c>
      <c r="K35" s="80">
        <v>1</v>
      </c>
      <c r="L35" s="80">
        <v>1</v>
      </c>
      <c r="M35" s="80">
        <v>1</v>
      </c>
      <c r="N35" s="80">
        <v>1</v>
      </c>
      <c r="O35" s="194">
        <v>1</v>
      </c>
      <c r="P35" s="195">
        <v>1</v>
      </c>
      <c r="Q35" s="80">
        <v>1</v>
      </c>
      <c r="R35" s="80">
        <v>1</v>
      </c>
      <c r="S35" s="80">
        <v>1</v>
      </c>
      <c r="T35" s="80">
        <v>0.1</v>
      </c>
      <c r="U35" s="80"/>
      <c r="V35" s="77"/>
      <c r="W35" s="58">
        <f t="shared" si="0"/>
        <v>5.0999999999999996</v>
      </c>
      <c r="X35" s="118">
        <f t="shared" si="8"/>
        <v>4.0999999999999996</v>
      </c>
      <c r="Y35" s="69">
        <f t="shared" si="9"/>
        <v>9.1999999999999993</v>
      </c>
      <c r="Z35" s="70">
        <f>'[1]cálculos teóricos'!I211</f>
        <v>10.81695633075898</v>
      </c>
      <c r="AA35" s="71">
        <f t="shared" si="1"/>
        <v>85.051651487572144</v>
      </c>
      <c r="AB35" s="3"/>
    </row>
    <row r="36" spans="1:28" ht="18" customHeight="1">
      <c r="A36" s="84">
        <v>28</v>
      </c>
      <c r="B36" s="75">
        <v>4.0999999999999996</v>
      </c>
      <c r="C36" s="73">
        <f>'[1]cálculos teóricos'!K212</f>
        <v>0.96294168147303771</v>
      </c>
      <c r="D36" s="58">
        <f t="shared" si="2"/>
        <v>57.497584830343598</v>
      </c>
      <c r="E36" s="59">
        <f t="shared" si="3"/>
        <v>2.4073088816768258</v>
      </c>
      <c r="F36" s="60">
        <f t="shared" si="4"/>
        <v>3.3382185820960326</v>
      </c>
      <c r="G36" s="61">
        <f>'[1]cálculos teóricos'!T212</f>
        <v>24.346466727472635</v>
      </c>
      <c r="H36" s="74">
        <f t="shared" si="5"/>
        <v>13.711306118719786</v>
      </c>
      <c r="I36" s="170"/>
      <c r="J36" s="81"/>
      <c r="K36" s="80"/>
      <c r="L36" s="80"/>
      <c r="M36" s="80"/>
      <c r="N36" s="80"/>
      <c r="O36" s="194"/>
      <c r="P36" s="195"/>
      <c r="Q36" s="80"/>
      <c r="R36" s="80"/>
      <c r="S36" s="80"/>
      <c r="T36" s="80"/>
      <c r="U36" s="80"/>
      <c r="V36" s="77"/>
      <c r="W36" s="58">
        <f t="shared" si="0"/>
        <v>0</v>
      </c>
      <c r="X36" s="118">
        <f t="shared" si="8"/>
        <v>0</v>
      </c>
      <c r="Y36" s="69">
        <f t="shared" si="9"/>
        <v>0</v>
      </c>
      <c r="Z36" s="70">
        <f>'[1]cálculos teóricos'!I212</f>
        <v>10.831889772375648</v>
      </c>
      <c r="AA36" s="71">
        <f t="shared" si="1"/>
        <v>0</v>
      </c>
      <c r="AB36" s="3"/>
    </row>
    <row r="37" spans="1:28" ht="18" customHeight="1">
      <c r="A37" s="84">
        <v>29</v>
      </c>
      <c r="B37" s="75">
        <v>25</v>
      </c>
      <c r="C37" s="73">
        <f>'[1]cálculos teóricos'!K213</f>
        <v>0.96369950678525729</v>
      </c>
      <c r="D37" s="58">
        <f t="shared" si="2"/>
        <v>350.87094417667731</v>
      </c>
      <c r="E37" s="59">
        <f t="shared" si="3"/>
        <v>14.690264690789125</v>
      </c>
      <c r="F37" s="60">
        <f t="shared" si="4"/>
        <v>18.691913343486409</v>
      </c>
      <c r="G37" s="61">
        <f>'[1]cálculos teóricos'!T213</f>
        <v>24.474107762481303</v>
      </c>
      <c r="H37" s="74">
        <f t="shared" si="5"/>
        <v>76.374238133171204</v>
      </c>
      <c r="I37" s="170"/>
      <c r="J37" s="81">
        <v>0.4</v>
      </c>
      <c r="K37" s="80">
        <v>1</v>
      </c>
      <c r="L37" s="80">
        <v>1</v>
      </c>
      <c r="M37" s="80">
        <v>1</v>
      </c>
      <c r="N37" s="80">
        <v>1</v>
      </c>
      <c r="O37" s="194">
        <v>1</v>
      </c>
      <c r="P37" s="195">
        <v>1</v>
      </c>
      <c r="Q37" s="80">
        <v>1</v>
      </c>
      <c r="R37" s="80">
        <v>1</v>
      </c>
      <c r="S37" s="80">
        <v>1</v>
      </c>
      <c r="T37" s="80">
        <v>1</v>
      </c>
      <c r="U37" s="80"/>
      <c r="V37" s="77"/>
      <c r="W37" s="58">
        <f t="shared" si="0"/>
        <v>5.4</v>
      </c>
      <c r="X37" s="118">
        <f>SUM(P37:V37)</f>
        <v>5</v>
      </c>
      <c r="Y37" s="69">
        <f>W37+X37</f>
        <v>10.4</v>
      </c>
      <c r="Z37" s="70">
        <f>'[1]cálculos teóricos'!I213</f>
        <v>10.84712647688978</v>
      </c>
      <c r="AA37" s="71">
        <f t="shared" si="1"/>
        <v>95.877926952890235</v>
      </c>
      <c r="AB37" s="3"/>
    </row>
    <row r="38" spans="1:28" ht="18" customHeight="1">
      <c r="A38" s="79">
        <v>30</v>
      </c>
      <c r="B38" s="75">
        <v>24.6</v>
      </c>
      <c r="C38" s="73">
        <f>'[1]cálculos teóricos'!K214</f>
        <v>0.96447080887248837</v>
      </c>
      <c r="D38" s="58">
        <f t="shared" si="2"/>
        <v>345.53333737535633</v>
      </c>
      <c r="E38" s="59">
        <f t="shared" si="3"/>
        <v>14.466789769231418</v>
      </c>
      <c r="F38" s="60">
        <f t="shared" si="4"/>
        <v>18.412569691539272</v>
      </c>
      <c r="G38" s="61">
        <f>'[1]cálculos teóricos'!T214</f>
        <v>24.60449999425596</v>
      </c>
      <c r="H38" s="74">
        <f t="shared" si="5"/>
        <v>74.834155117306906</v>
      </c>
      <c r="I38" s="170"/>
      <c r="J38" s="81">
        <v>0.1</v>
      </c>
      <c r="K38" s="80">
        <v>1</v>
      </c>
      <c r="L38" s="80">
        <v>1</v>
      </c>
      <c r="M38" s="80">
        <v>1</v>
      </c>
      <c r="N38" s="80">
        <v>1</v>
      </c>
      <c r="O38" s="194">
        <v>1</v>
      </c>
      <c r="P38" s="195">
        <v>1</v>
      </c>
      <c r="Q38" s="80">
        <v>1</v>
      </c>
      <c r="R38" s="80">
        <v>1</v>
      </c>
      <c r="S38" s="80">
        <v>1</v>
      </c>
      <c r="T38" s="80">
        <v>0.5</v>
      </c>
      <c r="U38" s="80"/>
      <c r="V38" s="77"/>
      <c r="W38" s="58">
        <f t="shared" si="0"/>
        <v>5.0999999999999996</v>
      </c>
      <c r="X38" s="118">
        <f>SUM(P38:V38)</f>
        <v>4.5</v>
      </c>
      <c r="Y38" s="69">
        <f>W38+X38</f>
        <v>9.6</v>
      </c>
      <c r="Z38" s="70">
        <f>'[1]cálculos teóricos'!I214</f>
        <v>10.86265880129913</v>
      </c>
      <c r="AA38" s="71">
        <f t="shared" si="1"/>
        <v>88.376153348864079</v>
      </c>
      <c r="AB38" s="3"/>
    </row>
    <row r="39" spans="1:28" ht="18" customHeight="1" thickBot="1">
      <c r="A39" s="86">
        <v>31</v>
      </c>
      <c r="B39" s="87">
        <v>23.4</v>
      </c>
      <c r="C39" s="88">
        <f>'[1]cálculos teóricos'!K215</f>
        <v>0.96525508581449126</v>
      </c>
      <c r="D39" s="89">
        <f t="shared" si="2"/>
        <v>328.94532314886862</v>
      </c>
      <c r="E39" s="90">
        <f t="shared" si="3"/>
        <v>13.772282789596831</v>
      </c>
      <c r="F39" s="91">
        <f t="shared" si="4"/>
        <v>17.544435966996041</v>
      </c>
      <c r="G39" s="92">
        <f>'[1]cálculos teóricos'!T215</f>
        <v>24.7375834907022</v>
      </c>
      <c r="H39" s="93">
        <f t="shared" si="5"/>
        <v>70.922190009344462</v>
      </c>
      <c r="I39" s="196"/>
      <c r="J39" s="94"/>
      <c r="K39" s="87">
        <v>0.7</v>
      </c>
      <c r="L39" s="87">
        <v>1</v>
      </c>
      <c r="M39" s="87">
        <v>1</v>
      </c>
      <c r="N39" s="87">
        <v>1</v>
      </c>
      <c r="O39" s="197">
        <v>1</v>
      </c>
      <c r="P39" s="198">
        <v>1</v>
      </c>
      <c r="Q39" s="87">
        <v>1</v>
      </c>
      <c r="R39" s="87">
        <v>1</v>
      </c>
      <c r="S39" s="87">
        <v>0.8</v>
      </c>
      <c r="T39" s="87">
        <v>0.1</v>
      </c>
      <c r="U39" s="87"/>
      <c r="V39" s="77"/>
      <c r="W39" s="58">
        <f t="shared" si="0"/>
        <v>4.7</v>
      </c>
      <c r="X39" s="118">
        <f>SUM(P39:V39)</f>
        <v>3.9</v>
      </c>
      <c r="Y39" s="69">
        <f>W39+X39</f>
        <v>8.6</v>
      </c>
      <c r="Z39" s="100">
        <f>'[1]cálculos teóricos'!I215</f>
        <v>10.87847912735425</v>
      </c>
      <c r="AA39" s="101">
        <f t="shared" si="1"/>
        <v>79.055168459854386</v>
      </c>
      <c r="AB39" s="3"/>
    </row>
    <row r="40" spans="1:28" s="107" customFormat="1" ht="15.75" thickTop="1">
      <c r="A40" s="102"/>
      <c r="B40" s="102"/>
      <c r="C40" s="102"/>
      <c r="D40" s="102"/>
      <c r="E40" s="102"/>
      <c r="F40" s="102"/>
      <c r="G40" s="102"/>
      <c r="H40" s="102"/>
      <c r="I40" s="105">
        <f>SUM(I9:I39)</f>
        <v>0</v>
      </c>
      <c r="J40" s="105">
        <f t="shared" ref="J40:V40" si="10">SUM(J9:J39)</f>
        <v>1.8000000000000003</v>
      </c>
      <c r="K40" s="105">
        <f t="shared" si="10"/>
        <v>19</v>
      </c>
      <c r="L40" s="105">
        <f t="shared" si="10"/>
        <v>24.1</v>
      </c>
      <c r="M40" s="105">
        <f t="shared" si="10"/>
        <v>25.6</v>
      </c>
      <c r="N40" s="105">
        <f t="shared" si="10"/>
        <v>28.9</v>
      </c>
      <c r="O40" s="105">
        <f t="shared" si="10"/>
        <v>28.9</v>
      </c>
      <c r="P40" s="105">
        <f t="shared" si="10"/>
        <v>28</v>
      </c>
      <c r="Q40" s="105">
        <f t="shared" si="10"/>
        <v>28</v>
      </c>
      <c r="R40" s="105">
        <f t="shared" si="10"/>
        <v>27.5</v>
      </c>
      <c r="S40" s="105">
        <f t="shared" si="10"/>
        <v>26.400000000000002</v>
      </c>
      <c r="T40" s="105">
        <f t="shared" si="10"/>
        <v>15.5</v>
      </c>
      <c r="U40" s="105">
        <f t="shared" si="10"/>
        <v>0</v>
      </c>
      <c r="V40" s="199">
        <f t="shared" si="10"/>
        <v>0</v>
      </c>
      <c r="W40" s="199">
        <f t="shared" si="0"/>
        <v>128.30000000000001</v>
      </c>
      <c r="X40" s="199">
        <f>SUM(P40:V40)</f>
        <v>125.4</v>
      </c>
      <c r="Y40" s="199">
        <f>W40+X40</f>
        <v>253.70000000000002</v>
      </c>
      <c r="Z40" s="199"/>
      <c r="AA40" s="105"/>
      <c r="AB40" s="102"/>
    </row>
    <row r="41" spans="1:28" s="107" customFormat="1" ht="15">
      <c r="A41" s="102"/>
      <c r="B41" s="102" t="s">
        <v>50</v>
      </c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</row>
    <row r="42" spans="1:28" s="107" customFormat="1" ht="1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</row>
    <row r="43" spans="1:28" s="107" customFormat="1" ht="15">
      <c r="A43" s="102"/>
      <c r="B43" s="102" t="s">
        <v>51</v>
      </c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</row>
    <row r="44" spans="1:28" s="107" customFormat="1" ht="15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</row>
    <row r="45" spans="1:28" s="107" customFormat="1" ht="15">
      <c r="A45" s="102"/>
      <c r="B45" s="102" t="s">
        <v>52</v>
      </c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</row>
    <row r="46" spans="1:28" s="107" customFormat="1" ht="1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</row>
    <row r="47" spans="1:28" s="107" customFormat="1" ht="15">
      <c r="A47" s="102"/>
      <c r="B47" s="102" t="s">
        <v>53</v>
      </c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</row>
    <row r="48" spans="1:28" s="107" customFormat="1" ht="15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</row>
    <row r="49" spans="1:28" s="107" customFormat="1" ht="15">
      <c r="A49" s="102"/>
      <c r="B49" s="102" t="s">
        <v>54</v>
      </c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2" t="s">
        <v>55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2" t="s">
        <v>56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200"/>
      <c r="C54" s="200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7" t="s">
        <v>57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55"/>
  <sheetViews>
    <sheetView topLeftCell="A7" zoomScale="75" zoomScaleNormal="75" workbookViewId="0">
      <selection activeCell="A8" sqref="A8"/>
    </sheetView>
  </sheetViews>
  <sheetFormatPr defaultColWidth="11.42578125" defaultRowHeight="12.75"/>
  <cols>
    <col min="1" max="1" width="8.7109375" style="7" customWidth="1"/>
    <col min="2" max="8" width="12.7109375" style="7" customWidth="1"/>
    <col min="9" max="25" width="8.7109375" style="7" customWidth="1"/>
    <col min="26" max="27" width="12.7109375" style="7" customWidth="1"/>
    <col min="28" max="16384" width="11.42578125" style="7"/>
  </cols>
  <sheetData>
    <row r="1" spans="1:28" ht="18" customHeight="1">
      <c r="A1" s="1" t="s">
        <v>80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6"/>
      <c r="Y1" s="6"/>
      <c r="Z1" s="6"/>
      <c r="AA1" s="6"/>
      <c r="AB1" s="3"/>
    </row>
    <row r="2" spans="1:28" ht="18" customHeight="1">
      <c r="A2" s="3"/>
      <c r="B2" s="8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176" t="s">
        <v>81</v>
      </c>
      <c r="S2" s="176"/>
      <c r="T2" s="3"/>
      <c r="U2" s="3"/>
      <c r="V2" s="8" t="s">
        <v>64</v>
      </c>
      <c r="W2" s="3"/>
      <c r="X2" s="3"/>
      <c r="Y2" s="3"/>
      <c r="Z2" s="3"/>
      <c r="AA2" s="3"/>
      <c r="AB2" s="3"/>
    </row>
    <row r="3" spans="1:28" ht="18" customHeight="1">
      <c r="A3" s="3"/>
      <c r="B3" s="8" t="s">
        <v>79</v>
      </c>
      <c r="C3" s="3"/>
      <c r="D3" s="3"/>
      <c r="E3" s="3"/>
      <c r="F3" s="3"/>
      <c r="G3" s="4" t="s">
        <v>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8" t="s">
        <v>82</v>
      </c>
      <c r="W3" s="3"/>
      <c r="X3" s="6"/>
      <c r="Y3" s="6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8" customHeight="1" thickTop="1" thickBot="1">
      <c r="A5" s="10" t="s">
        <v>7</v>
      </c>
      <c r="B5" s="11"/>
      <c r="C5" s="12" t="s">
        <v>8</v>
      </c>
      <c r="D5" s="13"/>
      <c r="E5" s="14"/>
      <c r="F5" s="13"/>
      <c r="G5" s="13"/>
      <c r="H5" s="15"/>
      <c r="I5" s="16" t="s">
        <v>9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2"/>
      <c r="Y5" s="17"/>
      <c r="Z5" s="14"/>
      <c r="AA5" s="18"/>
      <c r="AB5" s="3"/>
    </row>
    <row r="6" spans="1:28" ht="18" customHeight="1">
      <c r="A6" s="19"/>
      <c r="B6" s="20" t="s">
        <v>10</v>
      </c>
      <c r="C6" s="21" t="s">
        <v>11</v>
      </c>
      <c r="D6" s="22" t="s">
        <v>12</v>
      </c>
      <c r="E6" s="21" t="s">
        <v>12</v>
      </c>
      <c r="F6" s="23" t="s">
        <v>13</v>
      </c>
      <c r="G6" s="23" t="s">
        <v>14</v>
      </c>
      <c r="H6" s="23" t="s">
        <v>15</v>
      </c>
      <c r="I6" s="24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6"/>
      <c r="V6" s="27"/>
      <c r="W6" s="28"/>
      <c r="X6" s="29"/>
      <c r="Y6" s="30"/>
      <c r="Z6" s="31" t="s">
        <v>16</v>
      </c>
      <c r="AA6" s="32" t="s">
        <v>17</v>
      </c>
      <c r="AB6" s="3"/>
    </row>
    <row r="7" spans="1:28" ht="18" customHeight="1" thickBot="1">
      <c r="A7" s="33"/>
      <c r="B7" s="34" t="s">
        <v>18</v>
      </c>
      <c r="C7" s="35" t="s">
        <v>19</v>
      </c>
      <c r="D7" s="22" t="s">
        <v>20</v>
      </c>
      <c r="E7" s="23" t="s">
        <v>20</v>
      </c>
      <c r="F7" s="23" t="s">
        <v>21</v>
      </c>
      <c r="G7" s="23" t="s">
        <v>22</v>
      </c>
      <c r="H7" s="23" t="s">
        <v>23</v>
      </c>
      <c r="I7" s="36" t="s">
        <v>24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7"/>
      <c r="W7" s="38"/>
      <c r="X7" s="39" t="s">
        <v>25</v>
      </c>
      <c r="Y7" s="40"/>
      <c r="Z7" s="41" t="s">
        <v>26</v>
      </c>
      <c r="AA7" s="42" t="s">
        <v>27</v>
      </c>
      <c r="AB7" s="3"/>
    </row>
    <row r="8" spans="1:28" ht="18" customHeight="1" thickBot="1">
      <c r="A8" s="129"/>
      <c r="B8" s="44" t="s">
        <v>28</v>
      </c>
      <c r="C8" s="45" t="s">
        <v>29</v>
      </c>
      <c r="D8" s="45" t="s">
        <v>30</v>
      </c>
      <c r="E8" s="46" t="s">
        <v>31</v>
      </c>
      <c r="F8" s="46" t="s">
        <v>31</v>
      </c>
      <c r="G8" s="45" t="s">
        <v>31</v>
      </c>
      <c r="H8" s="23" t="s">
        <v>32</v>
      </c>
      <c r="I8" s="47" t="s">
        <v>33</v>
      </c>
      <c r="J8" s="48" t="s">
        <v>34</v>
      </c>
      <c r="K8" s="48" t="s">
        <v>35</v>
      </c>
      <c r="L8" s="48" t="s">
        <v>36</v>
      </c>
      <c r="M8" s="48" t="s">
        <v>37</v>
      </c>
      <c r="N8" s="48" t="s">
        <v>38</v>
      </c>
      <c r="O8" s="49" t="s">
        <v>39</v>
      </c>
      <c r="P8" s="48" t="s">
        <v>40</v>
      </c>
      <c r="Q8" s="48" t="s">
        <v>41</v>
      </c>
      <c r="R8" s="48" t="s">
        <v>42</v>
      </c>
      <c r="S8" s="48" t="s">
        <v>43</v>
      </c>
      <c r="T8" s="48" t="s">
        <v>44</v>
      </c>
      <c r="U8" s="48" t="s">
        <v>45</v>
      </c>
      <c r="V8" s="50" t="s">
        <v>46</v>
      </c>
      <c r="W8" s="53" t="s">
        <v>47</v>
      </c>
      <c r="X8" s="111" t="s">
        <v>48</v>
      </c>
      <c r="Y8" s="52" t="s">
        <v>49</v>
      </c>
      <c r="Z8" s="53" t="s">
        <v>49</v>
      </c>
      <c r="AA8" s="54" t="s">
        <v>49</v>
      </c>
      <c r="AB8" s="3"/>
    </row>
    <row r="9" spans="1:28" ht="18" customHeight="1">
      <c r="A9" s="72">
        <v>1</v>
      </c>
      <c r="B9" s="56">
        <v>20</v>
      </c>
      <c r="C9" s="73">
        <f>'[1]cálculos teóricos'!K216</f>
        <v>0.96605183248059556</v>
      </c>
      <c r="D9" s="58">
        <f>IF(B9&gt;0,B9*C9*14.25*1.022,-999)</f>
        <v>281.38191724662312</v>
      </c>
      <c r="E9" s="59">
        <f>IF(B9&gt;0,D9*4.1868/100,-999)</f>
        <v>11.780898111281617</v>
      </c>
      <c r="F9" s="60">
        <f>IF(B9&gt;0,(7.86+1.25*D9)*4.1868/100,-999)</f>
        <v>15.05520511910202</v>
      </c>
      <c r="G9" s="61">
        <f>'[1]cálculos teóricos'!T216</f>
        <v>24.873297459560863</v>
      </c>
      <c r="H9" s="62">
        <f>IF(B9&gt;0,100*F9/G9,-999)</f>
        <v>60.527580404563771</v>
      </c>
      <c r="I9" s="56"/>
      <c r="J9" s="63"/>
      <c r="K9" s="63">
        <v>1</v>
      </c>
      <c r="L9" s="63">
        <v>1</v>
      </c>
      <c r="M9" s="63">
        <v>1</v>
      </c>
      <c r="N9" s="63">
        <v>1</v>
      </c>
      <c r="O9" s="64">
        <v>0.6</v>
      </c>
      <c r="P9" s="63">
        <v>0.2</v>
      </c>
      <c r="Q9" s="63">
        <v>0.1</v>
      </c>
      <c r="R9" s="63">
        <v>0.8</v>
      </c>
      <c r="S9" s="63">
        <v>0.6</v>
      </c>
      <c r="T9" s="63">
        <v>0.8</v>
      </c>
      <c r="U9" s="63"/>
      <c r="V9" s="64"/>
      <c r="W9" s="58">
        <f t="shared" ref="W9:W40" si="0">SUM(I9:O9)</f>
        <v>4.5999999999999996</v>
      </c>
      <c r="X9" s="201">
        <f>SUM(P9:V9)</f>
        <v>2.5</v>
      </c>
      <c r="Y9" s="119">
        <f>W9+X9</f>
        <v>7.1</v>
      </c>
      <c r="Z9" s="70">
        <f>'[1]cálculos teóricos'!I216</f>
        <v>10.894579871765924</v>
      </c>
      <c r="AA9" s="71">
        <f>100*Y9/Z9</f>
        <v>65.17002108911197</v>
      </c>
      <c r="AB9" s="3"/>
    </row>
    <row r="10" spans="1:28" ht="18" customHeight="1">
      <c r="A10" s="72">
        <v>2</v>
      </c>
      <c r="B10" s="56">
        <v>20.2</v>
      </c>
      <c r="C10" s="73">
        <f>'[1]cálculos teóricos'!K217</f>
        <v>0.96686054108346287</v>
      </c>
      <c r="D10" s="58">
        <f>IF(B10&gt;0,B10*C10*14.25*1.022,-999)</f>
        <v>284.43364449939401</v>
      </c>
      <c r="E10" s="59">
        <f>IF(B10&gt;0,D10*4.1868/100,-999)</f>
        <v>11.908667827900629</v>
      </c>
      <c r="F10" s="60">
        <f>IF(B10&gt;0,(7.86+1.25*D10)*4.1868/100,-999)</f>
        <v>15.214917264875785</v>
      </c>
      <c r="G10" s="61">
        <f>'[1]cálculos teóricos'!T217</f>
        <v>25.01158029408397</v>
      </c>
      <c r="H10" s="74">
        <f>IF(B10&gt;0,100*F10/G10,-999)</f>
        <v>60.831491197197941</v>
      </c>
      <c r="I10" s="56"/>
      <c r="J10" s="78"/>
      <c r="K10" s="75"/>
      <c r="L10" s="75"/>
      <c r="M10" s="75">
        <v>0.2</v>
      </c>
      <c r="N10" s="75">
        <v>0.9</v>
      </c>
      <c r="O10" s="76">
        <v>1</v>
      </c>
      <c r="P10" s="78">
        <v>1</v>
      </c>
      <c r="Q10" s="75">
        <v>1</v>
      </c>
      <c r="R10" s="75">
        <v>1</v>
      </c>
      <c r="S10" s="75">
        <v>1</v>
      </c>
      <c r="T10" s="81">
        <v>0.6</v>
      </c>
      <c r="U10" s="81"/>
      <c r="V10" s="77"/>
      <c r="W10" s="58">
        <f t="shared" si="0"/>
        <v>2.1</v>
      </c>
      <c r="X10" s="118">
        <f t="shared" ref="X10:X36" si="1">SUM(P10:V10)</f>
        <v>4.5999999999999996</v>
      </c>
      <c r="Y10" s="169">
        <f t="shared" ref="Y10:Y36" si="2">W10+X10</f>
        <v>6.6999999999999993</v>
      </c>
      <c r="Z10" s="70">
        <f>'[1]cálculos teóricos'!I217</f>
        <v>10.910953495915864</v>
      </c>
      <c r="AA10" s="71">
        <f t="shared" ref="AA10:AA39" si="3">100*Y10/Z10</f>
        <v>61.406182351596591</v>
      </c>
      <c r="AB10" s="3"/>
    </row>
    <row r="11" spans="1:28" ht="18" customHeight="1">
      <c r="A11" s="72">
        <v>3</v>
      </c>
      <c r="B11" s="56">
        <v>17.8</v>
      </c>
      <c r="C11" s="73">
        <f>'[1]cálculos teóricos'!K218</f>
        <v>0.96768070172304144</v>
      </c>
      <c r="D11" s="58">
        <f t="shared" ref="D11:D39" si="4">IF(B11&gt;0,B11*C11*14.25*1.022,-999)</f>
        <v>250.85215861187459</v>
      </c>
      <c r="E11" s="59">
        <f t="shared" ref="E11:E39" si="5">IF(B11&gt;0,D11*4.1868/100,-999)</f>
        <v>10.502678176761965</v>
      </c>
      <c r="F11" s="60">
        <f t="shared" ref="F11:F39" si="6">IF(B11&gt;0,(7.86+1.25*D11)*4.1868/100,-999)</f>
        <v>13.457430200952455</v>
      </c>
      <c r="G11" s="61">
        <f>'[1]cálculos teóricos'!T218</f>
        <v>25.152369618774994</v>
      </c>
      <c r="H11" s="74">
        <f t="shared" ref="H11:H39" si="7">IF(B11&gt;0,100*F11/G11,-999)</f>
        <v>53.503627709522654</v>
      </c>
      <c r="I11" s="56"/>
      <c r="J11" s="78"/>
      <c r="K11" s="75">
        <v>0.5</v>
      </c>
      <c r="L11" s="75">
        <v>0.2</v>
      </c>
      <c r="M11" s="75">
        <v>0.4</v>
      </c>
      <c r="N11" s="75">
        <v>0.6</v>
      </c>
      <c r="O11" s="76">
        <v>1</v>
      </c>
      <c r="P11" s="78">
        <v>0.7</v>
      </c>
      <c r="Q11" s="78">
        <v>0.5</v>
      </c>
      <c r="R11" s="75">
        <v>0.5</v>
      </c>
      <c r="S11" s="81"/>
      <c r="T11" s="81">
        <v>0.6</v>
      </c>
      <c r="U11" s="81"/>
      <c r="V11" s="77"/>
      <c r="W11" s="58">
        <f t="shared" si="0"/>
        <v>2.7</v>
      </c>
      <c r="X11" s="118">
        <f t="shared" si="1"/>
        <v>2.2999999999999998</v>
      </c>
      <c r="Y11" s="69">
        <f t="shared" si="2"/>
        <v>5</v>
      </c>
      <c r="Z11" s="70">
        <f>'[1]cálculos teóricos'!I218</f>
        <v>10.927592515057382</v>
      </c>
      <c r="AA11" s="71">
        <f t="shared" si="3"/>
        <v>45.755732501101086</v>
      </c>
      <c r="AB11" s="3"/>
    </row>
    <row r="12" spans="1:28" ht="18" customHeight="1">
      <c r="A12" s="72">
        <v>4</v>
      </c>
      <c r="B12" s="56">
        <v>23.6</v>
      </c>
      <c r="C12" s="73">
        <f>'[1]cálculos teóricos'!K219</f>
        <v>0.96851180291978101</v>
      </c>
      <c r="D12" s="58">
        <f t="shared" si="4"/>
        <v>332.87615074700471</v>
      </c>
      <c r="E12" s="59">
        <f t="shared" si="5"/>
        <v>13.936858679475593</v>
      </c>
      <c r="F12" s="60">
        <f t="shared" si="6"/>
        <v>17.750155829344493</v>
      </c>
      <c r="G12" s="61">
        <f>'[1]cálculos teóricos'!T219</f>
        <v>25.295602335109727</v>
      </c>
      <c r="H12" s="74">
        <f t="shared" si="7"/>
        <v>70.170915854048189</v>
      </c>
      <c r="I12" s="56"/>
      <c r="J12" s="78">
        <v>0.2</v>
      </c>
      <c r="K12" s="75">
        <v>1</v>
      </c>
      <c r="L12" s="75">
        <v>1</v>
      </c>
      <c r="M12" s="75">
        <v>1</v>
      </c>
      <c r="N12" s="75">
        <v>1</v>
      </c>
      <c r="O12" s="76">
        <v>1</v>
      </c>
      <c r="P12" s="78">
        <v>1</v>
      </c>
      <c r="Q12" s="78">
        <v>1</v>
      </c>
      <c r="R12" s="75">
        <v>1</v>
      </c>
      <c r="S12" s="75">
        <v>1</v>
      </c>
      <c r="T12" s="81">
        <v>0.8</v>
      </c>
      <c r="U12" s="81"/>
      <c r="V12" s="77"/>
      <c r="W12" s="58">
        <f t="shared" si="0"/>
        <v>5.2</v>
      </c>
      <c r="X12" s="118">
        <f t="shared" si="1"/>
        <v>4.8</v>
      </c>
      <c r="Y12" s="172">
        <f t="shared" si="2"/>
        <v>10</v>
      </c>
      <c r="Z12" s="70">
        <f>'[1]cálculos teóricos'!I219</f>
        <v>10.944489506995499</v>
      </c>
      <c r="AA12" s="71">
        <f t="shared" si="3"/>
        <v>91.370182168918888</v>
      </c>
      <c r="AB12" s="3"/>
    </row>
    <row r="13" spans="1:28" ht="18" customHeight="1">
      <c r="A13" s="72">
        <v>5</v>
      </c>
      <c r="B13" s="56">
        <v>19.600000000000001</v>
      </c>
      <c r="C13" s="73">
        <f>'[1]cálculos teóricos'!K220</f>
        <v>0.96935333213624431</v>
      </c>
      <c r="D13" s="58">
        <f t="shared" si="4"/>
        <v>276.69667415029738</v>
      </c>
      <c r="E13" s="59">
        <f t="shared" si="5"/>
        <v>11.584736353324649</v>
      </c>
      <c r="F13" s="60">
        <f t="shared" si="6"/>
        <v>14.810002921655814</v>
      </c>
      <c r="G13" s="61">
        <f>'[1]cálculos teóricos'!T220</f>
        <v>25.441214667155272</v>
      </c>
      <c r="H13" s="74">
        <f t="shared" si="7"/>
        <v>58.212640848377404</v>
      </c>
      <c r="I13" s="56"/>
      <c r="J13" s="78"/>
      <c r="K13" s="75">
        <v>0.2</v>
      </c>
      <c r="L13" s="75">
        <v>0.6</v>
      </c>
      <c r="M13" s="75">
        <v>1</v>
      </c>
      <c r="N13" s="75">
        <v>1</v>
      </c>
      <c r="O13" s="76">
        <v>1</v>
      </c>
      <c r="P13" s="78">
        <v>1</v>
      </c>
      <c r="Q13" s="78">
        <v>0.8</v>
      </c>
      <c r="R13" s="75">
        <v>0.7</v>
      </c>
      <c r="S13" s="81">
        <v>1</v>
      </c>
      <c r="T13" s="81"/>
      <c r="U13" s="81"/>
      <c r="V13" s="77"/>
      <c r="W13" s="58">
        <f t="shared" si="0"/>
        <v>3.8</v>
      </c>
      <c r="X13" s="118">
        <f t="shared" si="1"/>
        <v>3.5</v>
      </c>
      <c r="Y13" s="169">
        <f t="shared" si="2"/>
        <v>7.3</v>
      </c>
      <c r="Z13" s="70">
        <f>'[1]cálculos teóricos'!I220</f>
        <v>10.961637120238258</v>
      </c>
      <c r="AA13" s="71">
        <f t="shared" si="3"/>
        <v>66.595891835555761</v>
      </c>
      <c r="AB13" s="3"/>
    </row>
    <row r="14" spans="1:28" ht="18" customHeight="1">
      <c r="A14" s="72">
        <v>6</v>
      </c>
      <c r="B14" s="56">
        <v>20.2</v>
      </c>
      <c r="C14" s="73">
        <f>'[1]cálculos teóricos'!K221</f>
        <v>0.9702047762863053</v>
      </c>
      <c r="D14" s="58">
        <f t="shared" si="4"/>
        <v>285.41746064080132</v>
      </c>
      <c r="E14" s="59">
        <f t="shared" si="5"/>
        <v>11.94985824210907</v>
      </c>
      <c r="F14" s="60">
        <f t="shared" si="6"/>
        <v>15.266405282636338</v>
      </c>
      <c r="G14" s="61">
        <f>'[1]cálculos teóricos'!T221</f>
        <v>25.589142207004898</v>
      </c>
      <c r="H14" s="74">
        <f t="shared" si="7"/>
        <v>59.65969925501151</v>
      </c>
      <c r="I14" s="56"/>
      <c r="J14" s="78"/>
      <c r="K14" s="75"/>
      <c r="L14" s="75"/>
      <c r="M14" s="75">
        <v>0.8</v>
      </c>
      <c r="N14" s="75">
        <v>1</v>
      </c>
      <c r="O14" s="76">
        <v>1</v>
      </c>
      <c r="P14" s="78">
        <v>1</v>
      </c>
      <c r="Q14" s="78">
        <v>1</v>
      </c>
      <c r="R14" s="75">
        <v>0.8</v>
      </c>
      <c r="S14" s="81">
        <v>1</v>
      </c>
      <c r="T14" s="81">
        <v>0.4</v>
      </c>
      <c r="U14" s="81"/>
      <c r="V14" s="77"/>
      <c r="W14" s="58">
        <f t="shared" si="0"/>
        <v>2.8</v>
      </c>
      <c r="X14" s="118">
        <f t="shared" si="1"/>
        <v>4.2</v>
      </c>
      <c r="Y14" s="169">
        <f t="shared" si="2"/>
        <v>7</v>
      </c>
      <c r="Z14" s="70">
        <f>'[1]cálculos teóricos'!I221</f>
        <v>10.979028081613723</v>
      </c>
      <c r="AA14" s="71">
        <f t="shared" si="3"/>
        <v>63.757920536907157</v>
      </c>
      <c r="AB14" s="3"/>
    </row>
    <row r="15" spans="1:28" ht="18" customHeight="1">
      <c r="A15" s="72">
        <v>7</v>
      </c>
      <c r="B15" s="56">
        <v>19.2</v>
      </c>
      <c r="C15" s="73">
        <f>'[1]cálculos teóricos'!K222</f>
        <v>0.97106562223120196</v>
      </c>
      <c r="D15" s="58">
        <f t="shared" si="4"/>
        <v>271.52859243579093</v>
      </c>
      <c r="E15" s="59">
        <f t="shared" si="5"/>
        <v>11.368359108101695</v>
      </c>
      <c r="F15" s="60">
        <f t="shared" si="6"/>
        <v>14.539531365127118</v>
      </c>
      <c r="G15" s="61">
        <f>'[1]cálculos teóricos'!T222</f>
        <v>25.7393199599484</v>
      </c>
      <c r="H15" s="74">
        <f t="shared" si="7"/>
        <v>56.487628219204382</v>
      </c>
      <c r="I15" s="56"/>
      <c r="J15" s="81"/>
      <c r="K15" s="80"/>
      <c r="L15" s="80">
        <v>0.7</v>
      </c>
      <c r="M15" s="80">
        <v>1</v>
      </c>
      <c r="N15" s="80">
        <v>1</v>
      </c>
      <c r="O15" s="77">
        <v>1</v>
      </c>
      <c r="P15" s="81">
        <v>0.9</v>
      </c>
      <c r="Q15" s="81">
        <v>0.8</v>
      </c>
      <c r="R15" s="80">
        <v>0.6</v>
      </c>
      <c r="S15" s="80">
        <v>0.2</v>
      </c>
      <c r="T15" s="80">
        <v>0.3</v>
      </c>
      <c r="U15" s="80"/>
      <c r="V15" s="77"/>
      <c r="W15" s="58">
        <f t="shared" si="0"/>
        <v>3.7</v>
      </c>
      <c r="X15" s="118">
        <f t="shared" si="1"/>
        <v>2.8000000000000003</v>
      </c>
      <c r="Y15" s="169">
        <f t="shared" si="2"/>
        <v>6.5</v>
      </c>
      <c r="Z15" s="70">
        <f>'[1]cálculos teóricos'!I222</f>
        <v>10.996655203349142</v>
      </c>
      <c r="AA15" s="71">
        <f t="shared" si="3"/>
        <v>59.108882472011665</v>
      </c>
      <c r="AB15" s="3"/>
    </row>
    <row r="16" spans="1:28" ht="18" customHeight="1">
      <c r="A16" s="79">
        <v>8</v>
      </c>
      <c r="B16" s="75">
        <v>23.5</v>
      </c>
      <c r="C16" s="73">
        <f>'[1]cálculos teóricos'!K223</f>
        <v>0.97193535726175861</v>
      </c>
      <c r="D16" s="58">
        <f t="shared" si="4"/>
        <v>332.63734352381812</v>
      </c>
      <c r="E16" s="59">
        <f t="shared" si="5"/>
        <v>13.926860298655217</v>
      </c>
      <c r="F16" s="60">
        <f t="shared" si="6"/>
        <v>17.737657853319021</v>
      </c>
      <c r="G16" s="61">
        <f>'[1]cálculos teóricos'!T223</f>
        <v>25.891682389298744</v>
      </c>
      <c r="H16" s="74">
        <f t="shared" si="7"/>
        <v>68.507166072182898</v>
      </c>
      <c r="I16" s="75"/>
      <c r="J16" s="81"/>
      <c r="K16" s="80"/>
      <c r="L16" s="80">
        <v>0.9</v>
      </c>
      <c r="M16" s="80">
        <v>1</v>
      </c>
      <c r="N16" s="80">
        <v>1</v>
      </c>
      <c r="O16" s="77">
        <v>1</v>
      </c>
      <c r="P16" s="81">
        <v>1</v>
      </c>
      <c r="Q16" s="81">
        <v>1</v>
      </c>
      <c r="R16" s="80">
        <v>1</v>
      </c>
      <c r="S16" s="80">
        <v>1</v>
      </c>
      <c r="T16" s="80">
        <v>0.4</v>
      </c>
      <c r="U16" s="80"/>
      <c r="V16" s="77"/>
      <c r="W16" s="58">
        <f t="shared" si="0"/>
        <v>3.9</v>
      </c>
      <c r="X16" s="118">
        <f t="shared" si="1"/>
        <v>4.4000000000000004</v>
      </c>
      <c r="Y16" s="169">
        <f t="shared" si="2"/>
        <v>8.3000000000000007</v>
      </c>
      <c r="Z16" s="70">
        <f>'[1]cálculos teóricos'!I223</f>
        <v>11.014511389611176</v>
      </c>
      <c r="AA16" s="71">
        <f t="shared" si="3"/>
        <v>75.355135660656842</v>
      </c>
      <c r="AB16" s="3"/>
    </row>
    <row r="17" spans="1:28" ht="18" customHeight="1">
      <c r="A17" s="79">
        <v>9</v>
      </c>
      <c r="B17" s="75">
        <v>24.5</v>
      </c>
      <c r="C17" s="73">
        <f>'[1]cálculos teóricos'!K224</f>
        <v>0.97281346956618042</v>
      </c>
      <c r="D17" s="58">
        <f t="shared" si="4"/>
        <v>347.10543961866318</v>
      </c>
      <c r="E17" s="59">
        <f t="shared" si="5"/>
        <v>14.53261054595419</v>
      </c>
      <c r="F17" s="60">
        <f t="shared" si="6"/>
        <v>18.494845662442739</v>
      </c>
      <c r="G17" s="61">
        <f>'[1]cálculos teóricos'!T224</f>
        <v>26.046163460798493</v>
      </c>
      <c r="H17" s="74">
        <f t="shared" si="7"/>
        <v>71.007945912183658</v>
      </c>
      <c r="I17" s="75"/>
      <c r="J17" s="81">
        <v>0.5</v>
      </c>
      <c r="K17" s="80">
        <v>1</v>
      </c>
      <c r="L17" s="80">
        <v>1</v>
      </c>
      <c r="M17" s="80">
        <v>1</v>
      </c>
      <c r="N17" s="80">
        <v>1</v>
      </c>
      <c r="O17" s="77">
        <v>1</v>
      </c>
      <c r="P17" s="78">
        <v>1</v>
      </c>
      <c r="Q17" s="81">
        <v>1</v>
      </c>
      <c r="R17" s="80">
        <v>1</v>
      </c>
      <c r="S17" s="80">
        <v>1</v>
      </c>
      <c r="T17" s="80">
        <v>1</v>
      </c>
      <c r="U17" s="80"/>
      <c r="V17" s="77"/>
      <c r="W17" s="58">
        <f t="shared" si="0"/>
        <v>5.5</v>
      </c>
      <c r="X17" s="118">
        <f t="shared" si="1"/>
        <v>5</v>
      </c>
      <c r="Y17" s="169">
        <f t="shared" si="2"/>
        <v>10.5</v>
      </c>
      <c r="Z17" s="70">
        <f>'[1]cálculos teóricos'!I224</f>
        <v>11.032589642507965</v>
      </c>
      <c r="AA17" s="71">
        <f t="shared" si="3"/>
        <v>95.172578154670717</v>
      </c>
      <c r="AB17" s="3"/>
    </row>
    <row r="18" spans="1:28" ht="18" customHeight="1">
      <c r="A18" s="79">
        <v>10</v>
      </c>
      <c r="B18" s="75">
        <v>26.1</v>
      </c>
      <c r="C18" s="73">
        <f>'[1]cálculos teóricos'!K225</f>
        <v>0.97369944868287672</v>
      </c>
      <c r="D18" s="58">
        <f t="shared" si="4"/>
        <v>370.11031713530934</v>
      </c>
      <c r="E18" s="59">
        <f t="shared" si="5"/>
        <v>15.495778757821132</v>
      </c>
      <c r="F18" s="60">
        <f t="shared" si="6"/>
        <v>19.698805927276414</v>
      </c>
      <c r="G18" s="61">
        <f>'[1]cálculos teóricos'!T225</f>
        <v>26.202696686531851</v>
      </c>
      <c r="H18" s="74">
        <f t="shared" si="7"/>
        <v>75.1785442656426</v>
      </c>
      <c r="I18" s="75"/>
      <c r="J18" s="81">
        <v>0.3</v>
      </c>
      <c r="K18" s="80">
        <v>1</v>
      </c>
      <c r="L18" s="80">
        <v>1</v>
      </c>
      <c r="M18" s="80">
        <v>1</v>
      </c>
      <c r="N18" s="80">
        <v>1</v>
      </c>
      <c r="O18" s="77">
        <v>1</v>
      </c>
      <c r="P18" s="81">
        <v>1</v>
      </c>
      <c r="Q18" s="80">
        <v>1</v>
      </c>
      <c r="R18" s="80">
        <v>1</v>
      </c>
      <c r="S18" s="80">
        <v>1</v>
      </c>
      <c r="T18" s="80">
        <v>0.9</v>
      </c>
      <c r="U18" s="80"/>
      <c r="V18" s="77"/>
      <c r="W18" s="58">
        <f t="shared" si="0"/>
        <v>5.3</v>
      </c>
      <c r="X18" s="118">
        <f t="shared" si="1"/>
        <v>4.9000000000000004</v>
      </c>
      <c r="Y18" s="169">
        <f t="shared" si="2"/>
        <v>10.199999999999999</v>
      </c>
      <c r="Z18" s="70">
        <f>'[1]cálculos teóricos'!I225</f>
        <v>11.050883067555807</v>
      </c>
      <c r="AA18" s="71">
        <f t="shared" si="3"/>
        <v>92.300316071084779</v>
      </c>
      <c r="AB18" s="3"/>
    </row>
    <row r="19" spans="1:28" ht="18" customHeight="1">
      <c r="A19" s="79">
        <v>11</v>
      </c>
      <c r="B19" s="75">
        <v>12</v>
      </c>
      <c r="C19" s="73">
        <f>'[1]cálculos teóricos'!K226</f>
        <v>0.97459278593784082</v>
      </c>
      <c r="D19" s="58">
        <f t="shared" si="4"/>
        <v>170.32178445606894</v>
      </c>
      <c r="E19" s="59">
        <f t="shared" si="5"/>
        <v>7.1310324716066944</v>
      </c>
      <c r="F19" s="60">
        <f t="shared" si="6"/>
        <v>9.2428730695083683</v>
      </c>
      <c r="G19" s="61">
        <f>'[1]cálculos teóricos'!T226</f>
        <v>26.361215168271393</v>
      </c>
      <c r="H19" s="74">
        <f t="shared" si="7"/>
        <v>35.062393787647459</v>
      </c>
      <c r="I19" s="75"/>
      <c r="J19" s="81"/>
      <c r="K19" s="80"/>
      <c r="L19" s="80">
        <v>0.1</v>
      </c>
      <c r="M19" s="80">
        <v>0.2</v>
      </c>
      <c r="N19" s="80"/>
      <c r="O19" s="77"/>
      <c r="P19" s="81">
        <v>0.2</v>
      </c>
      <c r="Q19" s="80">
        <v>0.8</v>
      </c>
      <c r="R19" s="80">
        <v>0.2</v>
      </c>
      <c r="S19" s="80"/>
      <c r="T19" s="80"/>
      <c r="U19" s="80"/>
      <c r="V19" s="77"/>
      <c r="W19" s="58">
        <f t="shared" si="0"/>
        <v>0.30000000000000004</v>
      </c>
      <c r="X19" s="118">
        <f t="shared" si="1"/>
        <v>1.2</v>
      </c>
      <c r="Y19" s="169">
        <f t="shared" si="2"/>
        <v>1.5</v>
      </c>
      <c r="Z19" s="70">
        <f>'[1]cálculos teóricos'!I226</f>
        <v>11.069384878614876</v>
      </c>
      <c r="AA19" s="71">
        <f t="shared" si="3"/>
        <v>13.550888477081271</v>
      </c>
      <c r="AB19" s="3"/>
    </row>
    <row r="20" spans="1:28" ht="18" customHeight="1">
      <c r="A20" s="79">
        <v>12</v>
      </c>
      <c r="B20" s="75">
        <v>8</v>
      </c>
      <c r="C20" s="73">
        <f>'[1]cálculos teóricos'!K227</f>
        <v>0.97549297486618836</v>
      </c>
      <c r="D20" s="58">
        <f t="shared" si="4"/>
        <v>113.65273551570988</v>
      </c>
      <c r="E20" s="59">
        <f t="shared" si="5"/>
        <v>4.7584127305717407</v>
      </c>
      <c r="F20" s="60">
        <f t="shared" si="6"/>
        <v>6.2770983932146773</v>
      </c>
      <c r="G20" s="61">
        <f>'[1]cálculos teóricos'!T227</f>
        <v>26.521651640191784</v>
      </c>
      <c r="H20" s="74">
        <f t="shared" si="7"/>
        <v>23.667826115709005</v>
      </c>
      <c r="I20" s="75"/>
      <c r="J20" s="81"/>
      <c r="K20" s="80"/>
      <c r="L20" s="80"/>
      <c r="M20" s="80"/>
      <c r="N20" s="80"/>
      <c r="O20" s="77"/>
      <c r="P20" s="81"/>
      <c r="Q20" s="80"/>
      <c r="R20" s="80"/>
      <c r="S20" s="80"/>
      <c r="T20" s="80"/>
      <c r="U20" s="80"/>
      <c r="V20" s="77"/>
      <c r="W20" s="58">
        <f t="shared" si="0"/>
        <v>0</v>
      </c>
      <c r="X20" s="118">
        <f t="shared" si="1"/>
        <v>0</v>
      </c>
      <c r="Y20" s="69">
        <f t="shared" si="2"/>
        <v>0</v>
      </c>
      <c r="Z20" s="70">
        <f>'[1]cálculos teóricos'!I227</f>
        <v>11.088088402300205</v>
      </c>
      <c r="AA20" s="71">
        <f t="shared" si="3"/>
        <v>0</v>
      </c>
      <c r="AB20" s="3"/>
    </row>
    <row r="21" spans="1:28" ht="18" customHeight="1">
      <c r="A21" s="79">
        <v>13</v>
      </c>
      <c r="B21" s="75">
        <v>3.2</v>
      </c>
      <c r="C21" s="73">
        <f>'[1]cálculos teóricos'!K228</f>
        <v>0.97639951161751659</v>
      </c>
      <c r="D21" s="58">
        <f t="shared" si="4"/>
        <v>45.503341719813456</v>
      </c>
      <c r="E21" s="59">
        <f t="shared" si="5"/>
        <v>1.9051339111251497</v>
      </c>
      <c r="F21" s="60">
        <f t="shared" si="6"/>
        <v>2.710499868906437</v>
      </c>
      <c r="G21" s="61">
        <f>'[1]cálculos teóricos'!T228</f>
        <v>26.683938510886904</v>
      </c>
      <c r="H21" s="74">
        <f t="shared" si="7"/>
        <v>10.157795363681293</v>
      </c>
      <c r="I21" s="75"/>
      <c r="J21" s="81"/>
      <c r="K21" s="80"/>
      <c r="L21" s="80"/>
      <c r="M21" s="80"/>
      <c r="N21" s="80"/>
      <c r="O21" s="77"/>
      <c r="P21" s="81"/>
      <c r="Q21" s="80"/>
      <c r="R21" s="80"/>
      <c r="S21" s="80"/>
      <c r="T21" s="80"/>
      <c r="U21" s="80"/>
      <c r="V21" s="77"/>
      <c r="W21" s="58">
        <f t="shared" si="0"/>
        <v>0</v>
      </c>
      <c r="X21" s="118">
        <f t="shared" si="1"/>
        <v>0</v>
      </c>
      <c r="Y21" s="127">
        <f t="shared" si="2"/>
        <v>0</v>
      </c>
      <c r="Z21" s="70">
        <f>'[1]cálculos teóricos'!I228</f>
        <v>11.106987081875399</v>
      </c>
      <c r="AA21" s="71">
        <f t="shared" si="3"/>
        <v>0</v>
      </c>
      <c r="AB21" s="3"/>
    </row>
    <row r="22" spans="1:28" ht="18" customHeight="1">
      <c r="A22" s="79">
        <v>14</v>
      </c>
      <c r="B22" s="75">
        <v>10.3</v>
      </c>
      <c r="C22" s="73">
        <f>'[1]cálculos teóricos'!K229</f>
        <v>0.97731189534482377</v>
      </c>
      <c r="D22" s="58">
        <f t="shared" si="4"/>
        <v>146.60074241489971</v>
      </c>
      <c r="E22" s="59">
        <f t="shared" si="5"/>
        <v>6.1378798834270212</v>
      </c>
      <c r="F22" s="60">
        <f t="shared" si="6"/>
        <v>8.001432334283777</v>
      </c>
      <c r="G22" s="61">
        <f>'[1]cálculos teóricos'!T229</f>
        <v>26.848007904630741</v>
      </c>
      <c r="H22" s="74">
        <f t="shared" si="7"/>
        <v>29.802704031920712</v>
      </c>
      <c r="I22" s="75"/>
      <c r="J22" s="81"/>
      <c r="K22" s="80"/>
      <c r="L22" s="80"/>
      <c r="M22" s="80"/>
      <c r="N22" s="80"/>
      <c r="O22" s="77"/>
      <c r="P22" s="81"/>
      <c r="Q22" s="80">
        <v>0.2</v>
      </c>
      <c r="R22" s="80">
        <v>0.8</v>
      </c>
      <c r="S22" s="80">
        <v>0.8</v>
      </c>
      <c r="T22" s="80">
        <v>0.3</v>
      </c>
      <c r="U22" s="80"/>
      <c r="V22" s="77"/>
      <c r="W22" s="58">
        <f t="shared" si="0"/>
        <v>0</v>
      </c>
      <c r="X22" s="68">
        <f t="shared" si="1"/>
        <v>2.1</v>
      </c>
      <c r="Y22" s="127">
        <f t="shared" si="2"/>
        <v>2.1</v>
      </c>
      <c r="Z22" s="70">
        <f>'[1]cálculos teóricos'!I229</f>
        <v>11.126074480638078</v>
      </c>
      <c r="AA22" s="71">
        <f t="shared" si="3"/>
        <v>18.874581539558104</v>
      </c>
      <c r="AB22" s="3"/>
    </row>
    <row r="23" spans="1:28" ht="18" customHeight="1">
      <c r="A23" s="79">
        <v>15</v>
      </c>
      <c r="B23" s="75">
        <v>21.9</v>
      </c>
      <c r="C23" s="73">
        <f>'[1]cálculos teóricos'!K230</f>
        <v>0.97822962857678464</v>
      </c>
      <c r="D23" s="58">
        <f t="shared" si="4"/>
        <v>311.99719358753822</v>
      </c>
      <c r="E23" s="59">
        <f t="shared" si="5"/>
        <v>13.06269850112305</v>
      </c>
      <c r="F23" s="60">
        <f t="shared" si="6"/>
        <v>16.657455606403815</v>
      </c>
      <c r="G23" s="61">
        <f>'[1]cálculos teóricos'!T230</f>
        <v>27.01379170182711</v>
      </c>
      <c r="H23" s="74">
        <f t="shared" si="7"/>
        <v>61.662782441893071</v>
      </c>
      <c r="I23" s="75"/>
      <c r="J23" s="81"/>
      <c r="K23" s="80"/>
      <c r="L23" s="80"/>
      <c r="M23" s="80">
        <v>0.9</v>
      </c>
      <c r="N23" s="80">
        <v>1</v>
      </c>
      <c r="O23" s="77">
        <v>1</v>
      </c>
      <c r="P23" s="81">
        <v>1</v>
      </c>
      <c r="Q23" s="81">
        <v>1</v>
      </c>
      <c r="R23" s="81">
        <v>1</v>
      </c>
      <c r="S23" s="81">
        <v>1</v>
      </c>
      <c r="T23" s="80">
        <v>0.7</v>
      </c>
      <c r="U23" s="80"/>
      <c r="V23" s="77"/>
      <c r="W23" s="58">
        <f t="shared" si="0"/>
        <v>2.9</v>
      </c>
      <c r="X23" s="118">
        <f t="shared" si="1"/>
        <v>4.7</v>
      </c>
      <c r="Y23" s="127">
        <f t="shared" si="2"/>
        <v>7.6</v>
      </c>
      <c r="Z23" s="70">
        <f>'[1]cálculos teóricos'!I230</f>
        <v>11.145344284807122</v>
      </c>
      <c r="AA23" s="71">
        <f t="shared" si="3"/>
        <v>68.189907873550482</v>
      </c>
      <c r="AB23" s="3"/>
    </row>
    <row r="24" spans="1:28" ht="18" customHeight="1">
      <c r="A24" s="79">
        <v>16</v>
      </c>
      <c r="B24" s="75">
        <v>11.3</v>
      </c>
      <c r="C24" s="73">
        <f>'[1]cálculos teóricos'!K231</f>
        <v>0.97915221757325832</v>
      </c>
      <c r="D24" s="58">
        <f t="shared" si="4"/>
        <v>161.13668152309808</v>
      </c>
      <c r="E24" s="59">
        <f t="shared" si="5"/>
        <v>6.7464705820090707</v>
      </c>
      <c r="F24" s="60">
        <f t="shared" si="6"/>
        <v>8.7621707075113378</v>
      </c>
      <c r="G24" s="61">
        <f>'[1]cálculos teóricos'!T231</f>
        <v>27.181221578598191</v>
      </c>
      <c r="H24" s="74">
        <f t="shared" si="7"/>
        <v>32.23611816773699</v>
      </c>
      <c r="I24" s="75"/>
      <c r="J24" s="81"/>
      <c r="K24" s="80"/>
      <c r="L24" s="80">
        <v>0.6</v>
      </c>
      <c r="M24" s="80">
        <v>0.1</v>
      </c>
      <c r="N24" s="80">
        <v>0.2</v>
      </c>
      <c r="O24" s="77">
        <v>0.1</v>
      </c>
      <c r="P24" s="81"/>
      <c r="Q24" s="80">
        <v>0.1</v>
      </c>
      <c r="R24" s="80">
        <v>0.2</v>
      </c>
      <c r="S24" s="80">
        <v>0.2</v>
      </c>
      <c r="T24" s="80"/>
      <c r="U24" s="80"/>
      <c r="V24" s="77"/>
      <c r="W24" s="58">
        <f t="shared" si="0"/>
        <v>0.99999999999999989</v>
      </c>
      <c r="X24" s="118">
        <f t="shared" si="1"/>
        <v>0.5</v>
      </c>
      <c r="Y24" s="127">
        <f t="shared" si="2"/>
        <v>1.5</v>
      </c>
      <c r="Z24" s="70">
        <f>'[1]cálculos teóricos'!I231</f>
        <v>11.16479030592296</v>
      </c>
      <c r="AA24" s="71">
        <f t="shared" si="3"/>
        <v>13.435093350604577</v>
      </c>
      <c r="AB24" s="3"/>
    </row>
    <row r="25" spans="1:28" ht="18" customHeight="1">
      <c r="A25" s="84">
        <v>17</v>
      </c>
      <c r="B25" s="75">
        <v>24.8</v>
      </c>
      <c r="C25" s="73">
        <f>'[1]cálculos teóricos'!K232</f>
        <v>0.98007917266395439</v>
      </c>
      <c r="D25" s="58">
        <f t="shared" si="4"/>
        <v>353.97989917106923</v>
      </c>
      <c r="E25" s="59">
        <f t="shared" si="5"/>
        <v>14.820430418494327</v>
      </c>
      <c r="F25" s="60">
        <f t="shared" si="6"/>
        <v>18.854620503117907</v>
      </c>
      <c r="G25" s="61">
        <f>'[1]cálculos teóricos'!T232</f>
        <v>27.350229045466691</v>
      </c>
      <c r="H25" s="74">
        <f t="shared" si="7"/>
        <v>68.937706049094558</v>
      </c>
      <c r="I25" s="75"/>
      <c r="J25" s="81">
        <v>0.2</v>
      </c>
      <c r="K25" s="80">
        <v>1</v>
      </c>
      <c r="L25" s="80">
        <v>1</v>
      </c>
      <c r="M25" s="80">
        <v>1</v>
      </c>
      <c r="N25" s="80">
        <v>1</v>
      </c>
      <c r="O25" s="76">
        <v>1</v>
      </c>
      <c r="P25" s="81">
        <v>1</v>
      </c>
      <c r="Q25" s="80">
        <v>1</v>
      </c>
      <c r="R25" s="80">
        <v>1</v>
      </c>
      <c r="S25" s="80">
        <v>1</v>
      </c>
      <c r="T25" s="80">
        <v>0.8</v>
      </c>
      <c r="U25" s="80"/>
      <c r="V25" s="77"/>
      <c r="W25" s="58">
        <f t="shared" si="0"/>
        <v>5.2</v>
      </c>
      <c r="X25" s="118">
        <f t="shared" si="1"/>
        <v>4.8</v>
      </c>
      <c r="Y25" s="172">
        <f t="shared" si="2"/>
        <v>10</v>
      </c>
      <c r="Z25" s="70">
        <f>'[1]cálculos teóricos'!I232</f>
        <v>11.184406482772879</v>
      </c>
      <c r="AA25" s="71">
        <f t="shared" si="3"/>
        <v>89.410198166552718</v>
      </c>
      <c r="AB25" s="3"/>
    </row>
    <row r="26" spans="1:28" ht="18" customHeight="1">
      <c r="A26" s="84">
        <v>18</v>
      </c>
      <c r="B26" s="75">
        <v>25</v>
      </c>
      <c r="C26" s="73">
        <f>'[1]cálculos teóricos'!K233</f>
        <v>0.98101000857026255</v>
      </c>
      <c r="D26" s="58">
        <f t="shared" si="4"/>
        <v>357.17348149532546</v>
      </c>
      <c r="E26" s="59">
        <f t="shared" si="5"/>
        <v>14.954139323246286</v>
      </c>
      <c r="F26" s="60">
        <f t="shared" si="6"/>
        <v>19.021756634057859</v>
      </c>
      <c r="G26" s="61">
        <f>'[1]cálculos teóricos'!T233</f>
        <v>27.520745485092121</v>
      </c>
      <c r="H26" s="74">
        <f t="shared" si="7"/>
        <v>69.117882887154593</v>
      </c>
      <c r="I26" s="75"/>
      <c r="J26" s="81">
        <v>0.3</v>
      </c>
      <c r="K26" s="80">
        <v>1</v>
      </c>
      <c r="L26" s="80">
        <v>1</v>
      </c>
      <c r="M26" s="80">
        <v>1</v>
      </c>
      <c r="N26" s="80">
        <v>1</v>
      </c>
      <c r="O26" s="76">
        <v>1</v>
      </c>
      <c r="P26" s="81">
        <v>1</v>
      </c>
      <c r="Q26" s="80">
        <v>1</v>
      </c>
      <c r="R26" s="80">
        <v>1</v>
      </c>
      <c r="S26" s="80">
        <v>1</v>
      </c>
      <c r="T26" s="80">
        <v>0.8</v>
      </c>
      <c r="U26" s="80"/>
      <c r="V26" s="77"/>
      <c r="W26" s="58">
        <f t="shared" si="0"/>
        <v>5.3</v>
      </c>
      <c r="X26" s="118">
        <f t="shared" si="1"/>
        <v>4.8</v>
      </c>
      <c r="Y26" s="69">
        <f t="shared" si="2"/>
        <v>10.1</v>
      </c>
      <c r="Z26" s="70">
        <f>'[1]cálculos teóricos'!I233</f>
        <v>11.204186882854412</v>
      </c>
      <c r="AA26" s="71">
        <f t="shared" si="3"/>
        <v>90.144872676622953</v>
      </c>
      <c r="AB26" s="3"/>
    </row>
    <row r="27" spans="1:28" ht="18" customHeight="1">
      <c r="A27" s="84">
        <v>19</v>
      </c>
      <c r="B27" s="75">
        <v>24.9</v>
      </c>
      <c r="C27" s="73">
        <f>'[1]cálculos teóricos'!K234</f>
        <v>0.98194424471029895</v>
      </c>
      <c r="D27" s="58">
        <f t="shared" si="4"/>
        <v>356.08357069517717</v>
      </c>
      <c r="E27" s="59">
        <f t="shared" si="5"/>
        <v>14.908506937865678</v>
      </c>
      <c r="F27" s="60">
        <f t="shared" si="6"/>
        <v>18.964716152332095</v>
      </c>
      <c r="G27" s="61">
        <f>'[1]cálculos teóricos'!T234</f>
        <v>27.692702189027393</v>
      </c>
      <c r="H27" s="74">
        <f t="shared" si="7"/>
        <v>68.482721631428348</v>
      </c>
      <c r="I27" s="75"/>
      <c r="J27" s="81">
        <v>0.3</v>
      </c>
      <c r="K27" s="80">
        <v>1</v>
      </c>
      <c r="L27" s="80">
        <v>1</v>
      </c>
      <c r="M27" s="80">
        <v>1</v>
      </c>
      <c r="N27" s="80">
        <v>1</v>
      </c>
      <c r="O27" s="76">
        <v>1</v>
      </c>
      <c r="P27" s="81">
        <v>1</v>
      </c>
      <c r="Q27" s="80">
        <v>1</v>
      </c>
      <c r="R27" s="80">
        <v>1</v>
      </c>
      <c r="S27" s="80">
        <v>1</v>
      </c>
      <c r="T27" s="80">
        <v>1</v>
      </c>
      <c r="U27" s="80">
        <v>0.1</v>
      </c>
      <c r="V27" s="77"/>
      <c r="W27" s="58">
        <f t="shared" si="0"/>
        <v>5.3</v>
      </c>
      <c r="X27" s="118">
        <f t="shared" si="1"/>
        <v>5.0999999999999996</v>
      </c>
      <c r="Y27" s="69">
        <f t="shared" si="2"/>
        <v>10.399999999999999</v>
      </c>
      <c r="Z27" s="70">
        <f>'[1]cálculos teóricos'!I234</f>
        <v>11.224125703390222</v>
      </c>
      <c r="AA27" s="71">
        <f t="shared" si="3"/>
        <v>92.657551018505629</v>
      </c>
      <c r="AB27" s="3"/>
    </row>
    <row r="28" spans="1:28" ht="18" customHeight="1">
      <c r="A28" s="84">
        <v>20</v>
      </c>
      <c r="B28" s="75">
        <v>26.2</v>
      </c>
      <c r="C28" s="73">
        <f>'[1]cálculos teóricos'!K235</f>
        <v>0.98288140548729619</v>
      </c>
      <c r="D28" s="58">
        <f t="shared" si="4"/>
        <v>375.03186573893299</v>
      </c>
      <c r="E28" s="59">
        <f t="shared" si="5"/>
        <v>15.701834154757647</v>
      </c>
      <c r="F28" s="60">
        <f t="shared" si="6"/>
        <v>19.956375173447057</v>
      </c>
      <c r="G28" s="61">
        <f>'[1]cálculos teóricos'!T235</f>
        <v>27.866030393466986</v>
      </c>
      <c r="H28" s="74">
        <f t="shared" si="7"/>
        <v>71.615421686060103</v>
      </c>
      <c r="I28" s="75"/>
      <c r="J28" s="81">
        <v>0.3</v>
      </c>
      <c r="K28" s="80">
        <v>1</v>
      </c>
      <c r="L28" s="80">
        <v>1</v>
      </c>
      <c r="M28" s="80">
        <v>1</v>
      </c>
      <c r="N28" s="80">
        <v>1</v>
      </c>
      <c r="O28" s="76">
        <v>1</v>
      </c>
      <c r="P28" s="81">
        <v>1</v>
      </c>
      <c r="Q28" s="80">
        <v>1</v>
      </c>
      <c r="R28" s="80">
        <v>1</v>
      </c>
      <c r="S28" s="80">
        <v>1</v>
      </c>
      <c r="T28" s="80">
        <v>0.9</v>
      </c>
      <c r="U28" s="80"/>
      <c r="V28" s="77"/>
      <c r="W28" s="58">
        <f t="shared" si="0"/>
        <v>5.3</v>
      </c>
      <c r="X28" s="118">
        <f t="shared" si="1"/>
        <v>4.9000000000000004</v>
      </c>
      <c r="Y28" s="69">
        <f t="shared" si="2"/>
        <v>10.199999999999999</v>
      </c>
      <c r="Z28" s="70">
        <f>'[1]cálculos teóricos'!I235</f>
        <v>11.244217271908742</v>
      </c>
      <c r="AA28" s="71">
        <f t="shared" si="3"/>
        <v>90.713295139560358</v>
      </c>
      <c r="AB28" s="3"/>
    </row>
    <row r="29" spans="1:28" ht="18" customHeight="1">
      <c r="A29" s="84">
        <v>21</v>
      </c>
      <c r="B29" s="75">
        <v>24.8</v>
      </c>
      <c r="C29" s="73">
        <f>'[1]cálculos teóricos'!K236</f>
        <v>0.98382102056150911</v>
      </c>
      <c r="D29" s="58">
        <f t="shared" si="4"/>
        <v>355.331360337099</v>
      </c>
      <c r="E29" s="59">
        <f t="shared" si="5"/>
        <v>14.877013394593659</v>
      </c>
      <c r="F29" s="60">
        <f t="shared" si="6"/>
        <v>18.925349223242073</v>
      </c>
      <c r="G29" s="61">
        <f>'[1]cálculos teóricos'!T236</f>
        <v>28.040661313965174</v>
      </c>
      <c r="H29" s="74">
        <f t="shared" si="7"/>
        <v>67.492520990639491</v>
      </c>
      <c r="I29" s="75"/>
      <c r="J29" s="81">
        <v>0.2</v>
      </c>
      <c r="K29" s="80">
        <v>1</v>
      </c>
      <c r="L29" s="80">
        <v>1</v>
      </c>
      <c r="M29" s="80">
        <v>1</v>
      </c>
      <c r="N29" s="80">
        <v>1</v>
      </c>
      <c r="O29" s="76">
        <v>1</v>
      </c>
      <c r="P29" s="81">
        <v>1</v>
      </c>
      <c r="Q29" s="80">
        <v>1</v>
      </c>
      <c r="R29" s="80">
        <v>1</v>
      </c>
      <c r="S29" s="80">
        <v>1</v>
      </c>
      <c r="T29" s="80">
        <v>1</v>
      </c>
      <c r="U29" s="80"/>
      <c r="V29" s="77"/>
      <c r="W29" s="58">
        <f t="shared" si="0"/>
        <v>5.2</v>
      </c>
      <c r="X29" s="118">
        <f t="shared" si="1"/>
        <v>5</v>
      </c>
      <c r="Y29" s="69">
        <f t="shared" si="2"/>
        <v>10.199999999999999</v>
      </c>
      <c r="Z29" s="70">
        <f>'[1]cálculos teóricos'!I236</f>
        <v>11.264456046405073</v>
      </c>
      <c r="AA29" s="71">
        <f t="shared" si="3"/>
        <v>90.550311155550347</v>
      </c>
      <c r="AB29" s="3"/>
    </row>
    <row r="30" spans="1:28" ht="18" customHeight="1">
      <c r="A30" s="84">
        <v>22</v>
      </c>
      <c r="B30" s="75">
        <v>24.9</v>
      </c>
      <c r="C30" s="73">
        <f>'[1]cálculos teóricos'!K237</f>
        <v>0.98476262510587231</v>
      </c>
      <c r="D30" s="58">
        <f t="shared" si="4"/>
        <v>357.10560321916131</v>
      </c>
      <c r="E30" s="59">
        <f t="shared" si="5"/>
        <v>14.951297395579845</v>
      </c>
      <c r="F30" s="60">
        <f t="shared" si="6"/>
        <v>19.018204224474808</v>
      </c>
      <c r="G30" s="61">
        <f>'[1]cálculos teóricos'!T237</f>
        <v>28.216526179107174</v>
      </c>
      <c r="H30" s="74">
        <f t="shared" si="7"/>
        <v>67.400941220598483</v>
      </c>
      <c r="I30" s="75"/>
      <c r="J30" s="81">
        <v>0.5</v>
      </c>
      <c r="K30" s="80">
        <v>1</v>
      </c>
      <c r="L30" s="80">
        <v>1</v>
      </c>
      <c r="M30" s="80">
        <v>1</v>
      </c>
      <c r="N30" s="80">
        <v>1</v>
      </c>
      <c r="O30" s="77">
        <v>1</v>
      </c>
      <c r="P30" s="81">
        <v>1</v>
      </c>
      <c r="Q30" s="80">
        <v>1</v>
      </c>
      <c r="R30" s="80">
        <v>1</v>
      </c>
      <c r="S30" s="80">
        <v>1</v>
      </c>
      <c r="T30" s="80">
        <v>1</v>
      </c>
      <c r="U30" s="80"/>
      <c r="V30" s="77"/>
      <c r="W30" s="58">
        <f t="shared" si="0"/>
        <v>5.5</v>
      </c>
      <c r="X30" s="118">
        <f t="shared" si="1"/>
        <v>5</v>
      </c>
      <c r="Y30" s="69">
        <f t="shared" si="2"/>
        <v>10.5</v>
      </c>
      <c r="Z30" s="70">
        <f>'[1]cálculos teóricos'!I237</f>
        <v>11.284836615097095</v>
      </c>
      <c r="AA30" s="71">
        <f t="shared" si="3"/>
        <v>93.045210649774717</v>
      </c>
      <c r="AB30" s="3"/>
    </row>
    <row r="31" spans="1:28" ht="18" customHeight="1">
      <c r="A31" s="84">
        <v>23</v>
      </c>
      <c r="B31" s="75">
        <v>24.6</v>
      </c>
      <c r="C31" s="73">
        <f>'[1]cálculos teóricos'!K238</f>
        <v>0.98570576004569876</v>
      </c>
      <c r="D31" s="58">
        <f t="shared" si="4"/>
        <v>353.14101557606818</v>
      </c>
      <c r="E31" s="59">
        <f t="shared" si="5"/>
        <v>14.785308040138823</v>
      </c>
      <c r="F31" s="60">
        <f t="shared" si="6"/>
        <v>18.81071753017353</v>
      </c>
      <c r="G31" s="61">
        <f>'[1]cálculos teóricos'!T238</f>
        <v>28.393556263123799</v>
      </c>
      <c r="H31" s="74">
        <f t="shared" si="7"/>
        <v>66.249952474618325</v>
      </c>
      <c r="I31" s="75"/>
      <c r="J31" s="81">
        <v>0.2</v>
      </c>
      <c r="K31" s="80">
        <v>1</v>
      </c>
      <c r="L31" s="80">
        <v>1</v>
      </c>
      <c r="M31" s="80">
        <v>1</v>
      </c>
      <c r="N31" s="80">
        <v>1</v>
      </c>
      <c r="O31" s="77">
        <v>1</v>
      </c>
      <c r="P31" s="81">
        <v>1</v>
      </c>
      <c r="Q31" s="80">
        <v>1</v>
      </c>
      <c r="R31" s="80">
        <v>1</v>
      </c>
      <c r="S31" s="80">
        <v>1</v>
      </c>
      <c r="T31" s="80">
        <v>1</v>
      </c>
      <c r="U31" s="80"/>
      <c r="V31" s="77"/>
      <c r="W31" s="58">
        <f t="shared" si="0"/>
        <v>5.2</v>
      </c>
      <c r="X31" s="118">
        <f t="shared" si="1"/>
        <v>5</v>
      </c>
      <c r="Y31" s="69">
        <f t="shared" si="2"/>
        <v>10.199999999999999</v>
      </c>
      <c r="Z31" s="70">
        <f>'[1]cálculos teóricos'!I238</f>
        <v>11.30535369579199</v>
      </c>
      <c r="AA31" s="71">
        <f t="shared" si="3"/>
        <v>90.222741140744503</v>
      </c>
      <c r="AB31" s="3"/>
    </row>
    <row r="32" spans="1:28" ht="18" customHeight="1">
      <c r="A32" s="79">
        <v>24</v>
      </c>
      <c r="B32" s="75">
        <v>22.2</v>
      </c>
      <c r="C32" s="73">
        <f>'[1]cálculos teóricos'!K239</f>
        <v>0.98664997228275131</v>
      </c>
      <c r="D32" s="58">
        <f t="shared" si="4"/>
        <v>318.99350654374462</v>
      </c>
      <c r="E32" s="59">
        <f t="shared" si="5"/>
        <v>13.355620131973499</v>
      </c>
      <c r="F32" s="60">
        <f t="shared" si="6"/>
        <v>17.023607644966873</v>
      </c>
      <c r="G32" s="61">
        <f>'[1]cálculos teóricos'!T239</f>
        <v>28.571682917445187</v>
      </c>
      <c r="H32" s="74">
        <f t="shared" si="7"/>
        <v>59.582096350973657</v>
      </c>
      <c r="I32" s="202"/>
      <c r="J32" s="81"/>
      <c r="K32" s="80">
        <v>0.9</v>
      </c>
      <c r="L32" s="80">
        <v>1</v>
      </c>
      <c r="M32" s="80">
        <v>1</v>
      </c>
      <c r="N32" s="80">
        <v>1</v>
      </c>
      <c r="O32" s="77">
        <v>1</v>
      </c>
      <c r="P32" s="81">
        <v>1</v>
      </c>
      <c r="Q32" s="80">
        <v>1</v>
      </c>
      <c r="R32" s="80">
        <v>1</v>
      </c>
      <c r="S32" s="80">
        <v>0.8</v>
      </c>
      <c r="T32" s="80"/>
      <c r="U32" s="80"/>
      <c r="V32" s="77"/>
      <c r="W32" s="58">
        <f t="shared" si="0"/>
        <v>4.9000000000000004</v>
      </c>
      <c r="X32" s="118">
        <f t="shared" si="1"/>
        <v>3.8</v>
      </c>
      <c r="Y32" s="69">
        <f t="shared" si="2"/>
        <v>8.6999999999999993</v>
      </c>
      <c r="Z32" s="70">
        <f>'[1]cálculos teóricos'!I239</f>
        <v>11.326002134878424</v>
      </c>
      <c r="AA32" s="71">
        <f t="shared" si="3"/>
        <v>76.814394844658807</v>
      </c>
      <c r="AB32" s="3"/>
    </row>
    <row r="33" spans="1:28" ht="18" customHeight="1">
      <c r="A33" s="84">
        <v>25</v>
      </c>
      <c r="B33" s="75">
        <v>22.5</v>
      </c>
      <c r="C33" s="73">
        <f>'[1]cálculos teóricos'!K240</f>
        <v>0.98759481490407497</v>
      </c>
      <c r="D33" s="58">
        <f t="shared" si="4"/>
        <v>323.6138344542486</v>
      </c>
      <c r="E33" s="59">
        <f t="shared" si="5"/>
        <v>13.54906402093048</v>
      </c>
      <c r="F33" s="60">
        <f t="shared" si="6"/>
        <v>17.265412506163102</v>
      </c>
      <c r="G33" s="61">
        <f>'[1]cálculos teóricos'!T240</f>
        <v>28.750837601195709</v>
      </c>
      <c r="H33" s="74">
        <f t="shared" si="7"/>
        <v>60.051859168948376</v>
      </c>
      <c r="I33" s="202"/>
      <c r="J33" s="81"/>
      <c r="K33" s="80">
        <v>0.7</v>
      </c>
      <c r="L33" s="80">
        <v>1</v>
      </c>
      <c r="M33" s="80">
        <v>1</v>
      </c>
      <c r="N33" s="80">
        <v>1</v>
      </c>
      <c r="O33" s="77">
        <v>1</v>
      </c>
      <c r="P33" s="81">
        <v>1</v>
      </c>
      <c r="Q33" s="80">
        <v>1</v>
      </c>
      <c r="R33" s="80">
        <v>1</v>
      </c>
      <c r="S33" s="80">
        <v>1</v>
      </c>
      <c r="T33" s="80">
        <v>0.3</v>
      </c>
      <c r="U33" s="80"/>
      <c r="V33" s="77"/>
      <c r="W33" s="58">
        <f t="shared" si="0"/>
        <v>4.7</v>
      </c>
      <c r="X33" s="118">
        <f t="shared" si="1"/>
        <v>4.3</v>
      </c>
      <c r="Y33" s="69">
        <f t="shared" si="2"/>
        <v>9</v>
      </c>
      <c r="Z33" s="70">
        <f>'[1]cálculos teóricos'!I240</f>
        <v>11.346776905959914</v>
      </c>
      <c r="AA33" s="71">
        <f t="shared" si="3"/>
        <v>79.31767826749757</v>
      </c>
      <c r="AB33" s="3"/>
    </row>
    <row r="34" spans="1:28" ht="18" customHeight="1">
      <c r="A34" s="79">
        <v>26</v>
      </c>
      <c r="B34" s="75">
        <v>22.4</v>
      </c>
      <c r="C34" s="73">
        <f>'[1]cálculos teóricos'!K241</f>
        <v>0.98853984737601885</v>
      </c>
      <c r="D34" s="58">
        <f t="shared" si="4"/>
        <v>322.48384150663856</v>
      </c>
      <c r="E34" s="59">
        <f t="shared" si="5"/>
        <v>13.501753476199942</v>
      </c>
      <c r="F34" s="60">
        <f t="shared" si="6"/>
        <v>17.206274325249929</v>
      </c>
      <c r="G34" s="61">
        <f>'[1]cálculos teóricos'!T241</f>
        <v>28.930951910638235</v>
      </c>
      <c r="H34" s="74">
        <f t="shared" si="7"/>
        <v>59.473585170638607</v>
      </c>
      <c r="I34" s="202"/>
      <c r="J34" s="81">
        <v>0.1</v>
      </c>
      <c r="K34" s="80">
        <v>1</v>
      </c>
      <c r="L34" s="80">
        <v>1</v>
      </c>
      <c r="M34" s="80">
        <v>1</v>
      </c>
      <c r="N34" s="80">
        <v>1</v>
      </c>
      <c r="O34" s="77">
        <v>1</v>
      </c>
      <c r="P34" s="81">
        <v>1</v>
      </c>
      <c r="Q34" s="80">
        <v>1</v>
      </c>
      <c r="R34" s="80">
        <v>1</v>
      </c>
      <c r="S34" s="80">
        <v>1</v>
      </c>
      <c r="T34" s="80">
        <v>0.2</v>
      </c>
      <c r="U34" s="80"/>
      <c r="V34" s="77"/>
      <c r="W34" s="58">
        <f t="shared" si="0"/>
        <v>5.0999999999999996</v>
      </c>
      <c r="X34" s="118">
        <f t="shared" si="1"/>
        <v>4.2</v>
      </c>
      <c r="Y34" s="69">
        <f t="shared" si="2"/>
        <v>9.3000000000000007</v>
      </c>
      <c r="Z34" s="70">
        <f>'[1]cálculos teóricos'!I241</f>
        <v>11.367673108144633</v>
      </c>
      <c r="AA34" s="71">
        <f t="shared" si="3"/>
        <v>81.810938012782941</v>
      </c>
      <c r="AB34" s="3"/>
    </row>
    <row r="35" spans="1:28" ht="18" customHeight="1">
      <c r="A35" s="84">
        <v>27</v>
      </c>
      <c r="B35" s="75">
        <v>6.8</v>
      </c>
      <c r="C35" s="73">
        <f>'[1]cálculos teóricos'!K242</f>
        <v>0.98948463572391299</v>
      </c>
      <c r="D35" s="58">
        <f t="shared" si="4"/>
        <v>97.990444548083417</v>
      </c>
      <c r="E35" s="59">
        <f t="shared" si="5"/>
        <v>4.1026639323391558</v>
      </c>
      <c r="F35" s="60">
        <f t="shared" si="6"/>
        <v>5.4574123954239449</v>
      </c>
      <c r="G35" s="61">
        <f>'[1]cálculos teóricos'!T242</f>
        <v>29.111957607581996</v>
      </c>
      <c r="H35" s="74">
        <f t="shared" si="7"/>
        <v>18.74629136586336</v>
      </c>
      <c r="I35" s="202"/>
      <c r="J35" s="81"/>
      <c r="K35" s="80"/>
      <c r="L35" s="80"/>
      <c r="M35" s="80"/>
      <c r="N35" s="80"/>
      <c r="O35" s="77"/>
      <c r="P35" s="81"/>
      <c r="Q35" s="80"/>
      <c r="R35" s="80"/>
      <c r="S35" s="80"/>
      <c r="T35" s="80"/>
      <c r="U35" s="80"/>
      <c r="V35" s="77"/>
      <c r="W35" s="58">
        <f t="shared" si="0"/>
        <v>0</v>
      </c>
      <c r="X35" s="118">
        <f t="shared" si="1"/>
        <v>0</v>
      </c>
      <c r="Y35" s="69">
        <f t="shared" si="2"/>
        <v>0</v>
      </c>
      <c r="Z35" s="70">
        <f>'[1]cálculos teóricos'!I242</f>
        <v>11.388685964007152</v>
      </c>
      <c r="AA35" s="71">
        <f t="shared" si="3"/>
        <v>0</v>
      </c>
      <c r="AB35" s="3"/>
    </row>
    <row r="36" spans="1:28" ht="18" customHeight="1">
      <c r="A36" s="84">
        <v>28</v>
      </c>
      <c r="B36" s="75">
        <v>6</v>
      </c>
      <c r="C36" s="73">
        <f>'[1]cálculos teóricos'!K243</f>
        <v>0.99042875269791231</v>
      </c>
      <c r="D36" s="58">
        <f t="shared" si="4"/>
        <v>86.544654839496275</v>
      </c>
      <c r="E36" s="59">
        <f t="shared" si="5"/>
        <v>3.6234516088200297</v>
      </c>
      <c r="F36" s="60">
        <f t="shared" si="6"/>
        <v>4.8583969910250371</v>
      </c>
      <c r="G36" s="61">
        <f>'[1]cálculos teóricos'!T243</f>
        <v>29.29378664677364</v>
      </c>
      <c r="H36" s="74">
        <f t="shared" si="7"/>
        <v>16.5850767249994</v>
      </c>
      <c r="I36" s="202"/>
      <c r="J36" s="81"/>
      <c r="K36" s="80"/>
      <c r="L36" s="80"/>
      <c r="M36" s="80"/>
      <c r="N36" s="80"/>
      <c r="O36" s="77"/>
      <c r="P36" s="81"/>
      <c r="Q36" s="80"/>
      <c r="R36" s="80"/>
      <c r="S36" s="80"/>
      <c r="T36" s="80"/>
      <c r="U36" s="80"/>
      <c r="V36" s="77"/>
      <c r="W36" s="58">
        <f t="shared" si="0"/>
        <v>0</v>
      </c>
      <c r="X36" s="118">
        <f t="shared" si="1"/>
        <v>0</v>
      </c>
      <c r="Y36" s="69">
        <f t="shared" si="2"/>
        <v>0</v>
      </c>
      <c r="Z36" s="70">
        <f>'[1]cálculos teóricos'!I243</f>
        <v>11.409810817237096</v>
      </c>
      <c r="AA36" s="71">
        <f t="shared" si="3"/>
        <v>0</v>
      </c>
      <c r="AB36" s="3"/>
    </row>
    <row r="37" spans="1:28" ht="18" customHeight="1">
      <c r="A37" s="84">
        <v>29</v>
      </c>
      <c r="B37" s="75">
        <v>9.8000000000000007</v>
      </c>
      <c r="C37" s="73">
        <f>'[1]cálculos teóricos'!K244</f>
        <v>0.99137177792554487</v>
      </c>
      <c r="D37" s="58">
        <f t="shared" si="4"/>
        <v>141.49086030062301</v>
      </c>
      <c r="E37" s="59">
        <f t="shared" si="5"/>
        <v>5.9239393390664841</v>
      </c>
      <c r="F37" s="60">
        <f t="shared" si="6"/>
        <v>7.7340066538331049</v>
      </c>
      <c r="G37" s="61">
        <f>'[1]cálculos teóricos'!T244</f>
        <v>29.476371202297315</v>
      </c>
      <c r="H37" s="74">
        <f t="shared" si="7"/>
        <v>26.237987711426079</v>
      </c>
      <c r="I37" s="202"/>
      <c r="J37" s="81"/>
      <c r="K37" s="80"/>
      <c r="L37" s="80">
        <v>0.1</v>
      </c>
      <c r="M37" s="80"/>
      <c r="N37" s="80">
        <v>0.1</v>
      </c>
      <c r="O37" s="77">
        <v>0.2</v>
      </c>
      <c r="P37" s="81"/>
      <c r="Q37" s="80"/>
      <c r="R37" s="80"/>
      <c r="S37" s="80"/>
      <c r="T37" s="80"/>
      <c r="U37" s="80"/>
      <c r="V37" s="77"/>
      <c r="W37" s="58">
        <f t="shared" si="0"/>
        <v>0.4</v>
      </c>
      <c r="X37" s="118">
        <f>SUM(P37:V37)</f>
        <v>0</v>
      </c>
      <c r="Y37" s="69">
        <f>W37+X37</f>
        <v>0.4</v>
      </c>
      <c r="Z37" s="70">
        <f>'[1]cálculos teóricos'!I244</f>
        <v>11.431043129989952</v>
      </c>
      <c r="AA37" s="71">
        <f t="shared" si="3"/>
        <v>3.4992432051155387</v>
      </c>
      <c r="AB37" s="3"/>
    </row>
    <row r="38" spans="1:28" ht="18" customHeight="1">
      <c r="A38" s="79">
        <v>30</v>
      </c>
      <c r="B38" s="75">
        <v>19.3</v>
      </c>
      <c r="C38" s="73">
        <f>'[1]cálculos teóricos'!K245</f>
        <v>0.9923132980515369</v>
      </c>
      <c r="D38" s="58">
        <f t="shared" si="4"/>
        <v>278.91500602214967</v>
      </c>
      <c r="E38" s="59">
        <f t="shared" si="5"/>
        <v>11.677613472135363</v>
      </c>
      <c r="F38" s="60">
        <f t="shared" si="6"/>
        <v>14.9260993201692</v>
      </c>
      <c r="G38" s="61">
        <f>'[1]cálculos teóricos'!T245</f>
        <v>29.659643693014726</v>
      </c>
      <c r="H38" s="74">
        <f t="shared" si="7"/>
        <v>50.324607654287206</v>
      </c>
      <c r="I38" s="202"/>
      <c r="J38" s="81"/>
      <c r="K38" s="80">
        <v>0.4</v>
      </c>
      <c r="L38" s="80">
        <v>0.1</v>
      </c>
      <c r="M38" s="80">
        <v>0.3</v>
      </c>
      <c r="N38" s="80">
        <v>0.4</v>
      </c>
      <c r="O38" s="77">
        <v>0.9</v>
      </c>
      <c r="P38" s="81">
        <v>0.8</v>
      </c>
      <c r="Q38" s="80">
        <v>1</v>
      </c>
      <c r="R38" s="80">
        <v>0.8</v>
      </c>
      <c r="S38" s="80">
        <v>1</v>
      </c>
      <c r="T38" s="80">
        <v>0.2</v>
      </c>
      <c r="U38" s="80"/>
      <c r="V38" s="77"/>
      <c r="W38" s="58">
        <f t="shared" si="0"/>
        <v>2.1</v>
      </c>
      <c r="X38" s="118">
        <f>SUM(P38:V38)</f>
        <v>3.8000000000000003</v>
      </c>
      <c r="Y38" s="69">
        <f>W38+X38</f>
        <v>5.9</v>
      </c>
      <c r="Z38" s="70">
        <f>'[1]cálculos teóricos'!I245</f>
        <v>11.452378479954556</v>
      </c>
      <c r="AA38" s="71">
        <f t="shared" si="3"/>
        <v>51.517682639697497</v>
      </c>
      <c r="AB38" s="3"/>
    </row>
    <row r="39" spans="1:28" ht="18" customHeight="1" thickBot="1">
      <c r="A39" s="86">
        <v>31</v>
      </c>
      <c r="B39" s="87">
        <v>23.1</v>
      </c>
      <c r="C39" s="88">
        <f>'[1]cálculos teóricos'!K246</f>
        <v>0.99325290686551726</v>
      </c>
      <c r="D39" s="89">
        <f t="shared" si="4"/>
        <v>334.14701418104067</v>
      </c>
      <c r="E39" s="90">
        <f t="shared" si="5"/>
        <v>13.990067189731811</v>
      </c>
      <c r="F39" s="91">
        <f t="shared" si="6"/>
        <v>17.816666467164765</v>
      </c>
      <c r="G39" s="92">
        <f>'[1]cálculos teóricos'!T246</f>
        <v>29.843536807081268</v>
      </c>
      <c r="H39" s="93">
        <f t="shared" si="7"/>
        <v>59.700251288370183</v>
      </c>
      <c r="I39" s="203"/>
      <c r="J39" s="81"/>
      <c r="K39" s="80">
        <v>0.3</v>
      </c>
      <c r="L39" s="80">
        <v>0.1</v>
      </c>
      <c r="M39" s="80">
        <v>0.8</v>
      </c>
      <c r="N39" s="80">
        <v>0.9</v>
      </c>
      <c r="O39" s="204">
        <v>1</v>
      </c>
      <c r="P39" s="81">
        <v>1</v>
      </c>
      <c r="Q39" s="80">
        <v>1</v>
      </c>
      <c r="R39" s="80">
        <v>1</v>
      </c>
      <c r="S39" s="80">
        <v>1</v>
      </c>
      <c r="T39" s="80">
        <v>1</v>
      </c>
      <c r="U39" s="80">
        <v>0.1</v>
      </c>
      <c r="V39" s="77"/>
      <c r="W39" s="205">
        <f t="shared" si="0"/>
        <v>3.1</v>
      </c>
      <c r="X39" s="206">
        <f>SUM(P39:V39)</f>
        <v>5.0999999999999996</v>
      </c>
      <c r="Y39" s="169">
        <f>W39+X39</f>
        <v>8.1999999999999993</v>
      </c>
      <c r="Z39" s="100">
        <f>'[1]cálculos teóricos'!I246</f>
        <v>11.473812557151932</v>
      </c>
      <c r="AA39" s="101">
        <f t="shared" si="3"/>
        <v>71.467090464962496</v>
      </c>
      <c r="AB39" s="3"/>
    </row>
    <row r="40" spans="1:28" s="107" customFormat="1" ht="15.75" thickTop="1">
      <c r="A40" s="102"/>
      <c r="B40" s="102"/>
      <c r="C40" s="102"/>
      <c r="D40" s="102"/>
      <c r="E40" s="102"/>
      <c r="F40" s="102"/>
      <c r="G40" s="102"/>
      <c r="H40" s="102"/>
      <c r="I40" s="199">
        <f>SUM(I9:I39)</f>
        <v>0</v>
      </c>
      <c r="J40" s="199">
        <f t="shared" ref="J40:AA40" si="8">SUM(J9:J39)</f>
        <v>3.1000000000000005</v>
      </c>
      <c r="K40" s="199">
        <f t="shared" si="8"/>
        <v>15</v>
      </c>
      <c r="L40" s="199">
        <f t="shared" si="8"/>
        <v>17.400000000000006</v>
      </c>
      <c r="M40" s="199">
        <f t="shared" si="8"/>
        <v>20.700000000000003</v>
      </c>
      <c r="N40" s="199">
        <f t="shared" si="8"/>
        <v>22.099999999999998</v>
      </c>
      <c r="O40" s="199">
        <f t="shared" si="8"/>
        <v>22.799999999999997</v>
      </c>
      <c r="P40" s="199">
        <f t="shared" si="8"/>
        <v>21.8</v>
      </c>
      <c r="Q40" s="199">
        <f t="shared" si="8"/>
        <v>22.299999999999997</v>
      </c>
      <c r="R40" s="199">
        <f t="shared" si="8"/>
        <v>22.4</v>
      </c>
      <c r="S40" s="199">
        <f t="shared" si="8"/>
        <v>21.599999999999998</v>
      </c>
      <c r="T40" s="199">
        <f t="shared" si="8"/>
        <v>15</v>
      </c>
      <c r="U40" s="199">
        <f t="shared" si="8"/>
        <v>0.2</v>
      </c>
      <c r="V40" s="199">
        <f t="shared" si="8"/>
        <v>0</v>
      </c>
      <c r="W40" s="105">
        <f t="shared" si="0"/>
        <v>101.10000000000001</v>
      </c>
      <c r="X40" s="105">
        <f>SUM(P40:V40)</f>
        <v>103.3</v>
      </c>
      <c r="Y40" s="105">
        <f>W40+X40</f>
        <v>204.4</v>
      </c>
      <c r="Z40" s="105">
        <f t="shared" si="8"/>
        <v>346.32135512431353</v>
      </c>
      <c r="AA40" s="105">
        <f t="shared" si="8"/>
        <v>1831.2145214644363</v>
      </c>
      <c r="AB40" s="102"/>
    </row>
    <row r="41" spans="1:28" s="107" customFormat="1" ht="15">
      <c r="A41" s="102"/>
      <c r="B41" s="102" t="s">
        <v>50</v>
      </c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207"/>
      <c r="X41" s="207"/>
      <c r="Y41" s="207"/>
      <c r="Z41" s="102"/>
      <c r="AA41" s="102"/>
      <c r="AB41" s="102"/>
    </row>
    <row r="42" spans="1:28" s="107" customFormat="1" ht="1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</row>
    <row r="43" spans="1:28" s="107" customFormat="1" ht="15">
      <c r="A43" s="102"/>
      <c r="B43" s="102" t="s">
        <v>51</v>
      </c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</row>
    <row r="44" spans="1:28" s="107" customFormat="1" ht="15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</row>
    <row r="45" spans="1:28" s="107" customFormat="1" ht="15">
      <c r="A45" s="102"/>
      <c r="B45" s="102" t="s">
        <v>52</v>
      </c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</row>
    <row r="46" spans="1:28" s="107" customFormat="1" ht="1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</row>
    <row r="47" spans="1:28" s="107" customFormat="1" ht="15">
      <c r="A47" s="102"/>
      <c r="B47" s="102" t="s">
        <v>53</v>
      </c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</row>
    <row r="48" spans="1:28" s="107" customFormat="1" ht="15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</row>
    <row r="49" spans="1:28" s="107" customFormat="1" ht="15">
      <c r="A49" s="102"/>
      <c r="B49" s="102" t="s">
        <v>54</v>
      </c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2" t="s">
        <v>55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2" t="s">
        <v>56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7" t="s">
        <v>57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B55"/>
  <sheetViews>
    <sheetView zoomScale="75" zoomScaleNormal="75" workbookViewId="0">
      <selection activeCell="A8" sqref="A8"/>
    </sheetView>
  </sheetViews>
  <sheetFormatPr defaultColWidth="11.42578125" defaultRowHeight="12.75"/>
  <cols>
    <col min="1" max="1" width="8.7109375" style="7" customWidth="1"/>
    <col min="2" max="2" width="12.7109375" style="7" customWidth="1"/>
    <col min="3" max="3" width="13.42578125" style="7" customWidth="1"/>
    <col min="4" max="8" width="12.7109375" style="7" customWidth="1"/>
    <col min="9" max="25" width="8.7109375" style="7" customWidth="1"/>
    <col min="26" max="27" width="12.7109375" style="7" customWidth="1"/>
    <col min="28" max="16384" width="11.42578125" style="7"/>
  </cols>
  <sheetData>
    <row r="1" spans="1:28" ht="18" customHeight="1">
      <c r="A1" s="1" t="s">
        <v>83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6"/>
      <c r="Y1" s="6"/>
      <c r="Z1" s="6"/>
      <c r="AA1" s="6"/>
      <c r="AB1" s="3"/>
    </row>
    <row r="2" spans="1:28" ht="18" customHeight="1">
      <c r="A2" s="3"/>
      <c r="B2" s="8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149"/>
      <c r="S2" s="149"/>
      <c r="T2" s="149"/>
      <c r="U2" s="3"/>
      <c r="V2" s="8" t="s">
        <v>64</v>
      </c>
      <c r="W2" s="3"/>
      <c r="X2" s="110"/>
      <c r="Y2" s="3"/>
      <c r="Z2" s="3"/>
      <c r="AA2" s="3"/>
      <c r="AB2" s="3"/>
    </row>
    <row r="3" spans="1:28" ht="18" customHeight="1">
      <c r="A3" s="3"/>
      <c r="B3" s="8" t="s">
        <v>84</v>
      </c>
      <c r="C3" s="3"/>
      <c r="D3" s="149"/>
      <c r="E3" s="150"/>
      <c r="F3" s="3"/>
      <c r="G3" s="4" t="s">
        <v>5</v>
      </c>
      <c r="H3" s="3"/>
      <c r="I3" s="3"/>
      <c r="J3" s="3"/>
      <c r="K3" s="3"/>
      <c r="L3" s="3"/>
      <c r="M3" s="3"/>
      <c r="N3" s="3"/>
      <c r="O3" s="3"/>
      <c r="P3" s="3"/>
      <c r="Q3" s="3"/>
      <c r="R3" s="149"/>
      <c r="S3" s="149"/>
      <c r="T3" s="176"/>
      <c r="U3" s="3"/>
      <c r="V3" s="8" t="s">
        <v>85</v>
      </c>
      <c r="W3" s="3"/>
      <c r="X3" s="6"/>
      <c r="Y3" s="6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8" customHeight="1" thickTop="1" thickBot="1">
      <c r="A5" s="10" t="s">
        <v>7</v>
      </c>
      <c r="B5" s="11"/>
      <c r="C5" s="12" t="s">
        <v>8</v>
      </c>
      <c r="D5" s="13"/>
      <c r="E5" s="14"/>
      <c r="F5" s="13"/>
      <c r="G5" s="13"/>
      <c r="H5" s="15"/>
      <c r="I5" s="16" t="s">
        <v>9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2"/>
      <c r="Y5" s="17"/>
      <c r="Z5" s="14"/>
      <c r="AA5" s="18"/>
      <c r="AB5" s="3"/>
    </row>
    <row r="6" spans="1:28" ht="18" customHeight="1">
      <c r="A6" s="19"/>
      <c r="B6" s="20" t="s">
        <v>10</v>
      </c>
      <c r="C6" s="21" t="s">
        <v>11</v>
      </c>
      <c r="D6" s="22" t="s">
        <v>12</v>
      </c>
      <c r="E6" s="21" t="s">
        <v>12</v>
      </c>
      <c r="F6" s="23" t="s">
        <v>13</v>
      </c>
      <c r="G6" s="23" t="s">
        <v>14</v>
      </c>
      <c r="H6" s="23" t="s">
        <v>15</v>
      </c>
      <c r="I6" s="24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6"/>
      <c r="V6" s="27"/>
      <c r="W6" s="28"/>
      <c r="X6" s="29"/>
      <c r="Y6" s="30"/>
      <c r="Z6" s="31" t="s">
        <v>16</v>
      </c>
      <c r="AA6" s="32" t="s">
        <v>17</v>
      </c>
      <c r="AB6" s="3"/>
    </row>
    <row r="7" spans="1:28" ht="18" customHeight="1" thickBot="1">
      <c r="A7" s="33"/>
      <c r="B7" s="34" t="s">
        <v>18</v>
      </c>
      <c r="C7" s="35" t="s">
        <v>19</v>
      </c>
      <c r="D7" s="22" t="s">
        <v>20</v>
      </c>
      <c r="E7" s="23" t="s">
        <v>20</v>
      </c>
      <c r="F7" s="23" t="s">
        <v>21</v>
      </c>
      <c r="G7" s="23" t="s">
        <v>22</v>
      </c>
      <c r="H7" s="23" t="s">
        <v>23</v>
      </c>
      <c r="I7" s="36" t="s">
        <v>24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7"/>
      <c r="W7" s="38"/>
      <c r="X7" s="39" t="s">
        <v>25</v>
      </c>
      <c r="Y7" s="40"/>
      <c r="Z7" s="41" t="s">
        <v>26</v>
      </c>
      <c r="AA7" s="42" t="s">
        <v>27</v>
      </c>
      <c r="AB7" s="3"/>
    </row>
    <row r="8" spans="1:28" ht="18" customHeight="1" thickBot="1">
      <c r="A8" s="43"/>
      <c r="B8" s="44" t="s">
        <v>28</v>
      </c>
      <c r="C8" s="45" t="s">
        <v>29</v>
      </c>
      <c r="D8" s="45" t="s">
        <v>30</v>
      </c>
      <c r="E8" s="46" t="s">
        <v>31</v>
      </c>
      <c r="F8" s="46" t="s">
        <v>31</v>
      </c>
      <c r="G8" s="45" t="s">
        <v>31</v>
      </c>
      <c r="H8" s="23" t="s">
        <v>32</v>
      </c>
      <c r="I8" s="47" t="s">
        <v>33</v>
      </c>
      <c r="J8" s="48" t="s">
        <v>34</v>
      </c>
      <c r="K8" s="48" t="s">
        <v>35</v>
      </c>
      <c r="L8" s="48" t="s">
        <v>36</v>
      </c>
      <c r="M8" s="48" t="s">
        <v>37</v>
      </c>
      <c r="N8" s="48" t="s">
        <v>38</v>
      </c>
      <c r="O8" s="49" t="s">
        <v>39</v>
      </c>
      <c r="P8" s="48" t="s">
        <v>40</v>
      </c>
      <c r="Q8" s="48" t="s">
        <v>41</v>
      </c>
      <c r="R8" s="48" t="s">
        <v>42</v>
      </c>
      <c r="S8" s="48" t="s">
        <v>43</v>
      </c>
      <c r="T8" s="48" t="s">
        <v>44</v>
      </c>
      <c r="U8" s="48" t="s">
        <v>45</v>
      </c>
      <c r="V8" s="50" t="s">
        <v>46</v>
      </c>
      <c r="W8" s="53" t="s">
        <v>47</v>
      </c>
      <c r="X8" s="111" t="s">
        <v>48</v>
      </c>
      <c r="Y8" s="164" t="s">
        <v>49</v>
      </c>
      <c r="Z8" s="53" t="s">
        <v>49</v>
      </c>
      <c r="AA8" s="54" t="s">
        <v>49</v>
      </c>
      <c r="AB8" s="3"/>
    </row>
    <row r="9" spans="1:28" ht="18" customHeight="1">
      <c r="A9" s="112">
        <v>1</v>
      </c>
      <c r="B9" s="56">
        <v>29.8</v>
      </c>
      <c r="C9" s="73">
        <f>'[1]cálculos teóricos'!K247</f>
        <v>0.99419020541821523</v>
      </c>
      <c r="D9" s="58">
        <f>IF(B9&gt;0,B9*C9*14.25*1.022,-999)</f>
        <v>431.4708938869237</v>
      </c>
      <c r="E9" s="59">
        <f>IF(B9&gt;0,D9*4.1868/100,-999)</f>
        <v>18.064823385257721</v>
      </c>
      <c r="F9" s="60">
        <f>IF(B9&gt;0,(7.86+1.25*D9)*4.1868/100,-999)</f>
        <v>22.910111711572149</v>
      </c>
      <c r="G9" s="61">
        <f>'[1]cálculos teóricos'!T247</f>
        <v>30.02798352557965</v>
      </c>
      <c r="H9" s="62">
        <f>IF(B9&gt;0,100*F9/G9,-999)</f>
        <v>76.295871456223267</v>
      </c>
      <c r="I9" s="63"/>
      <c r="J9" s="63">
        <v>0.4</v>
      </c>
      <c r="K9" s="166">
        <v>1</v>
      </c>
      <c r="L9" s="166">
        <v>1</v>
      </c>
      <c r="M9" s="166">
        <v>1</v>
      </c>
      <c r="N9" s="166">
        <v>1</v>
      </c>
      <c r="O9" s="167">
        <v>1</v>
      </c>
      <c r="P9" s="166">
        <v>1</v>
      </c>
      <c r="Q9" s="166">
        <v>1</v>
      </c>
      <c r="R9" s="166">
        <v>1</v>
      </c>
      <c r="S9" s="166">
        <v>1</v>
      </c>
      <c r="T9" s="63">
        <v>1</v>
      </c>
      <c r="U9" s="63">
        <v>0.3</v>
      </c>
      <c r="V9" s="208"/>
      <c r="W9" s="118">
        <f t="shared" ref="W9:W38" si="0">SUM(I9:O9)</f>
        <v>5.4</v>
      </c>
      <c r="X9" s="118">
        <f>SUM(P9:V9)</f>
        <v>5.3</v>
      </c>
      <c r="Y9" s="119">
        <f t="shared" ref="Y9:Y16" si="1">W9+X9</f>
        <v>10.7</v>
      </c>
      <c r="Z9" s="70">
        <f>'[1]cálculos teóricos'!I247</f>
        <v>11.495341160479503</v>
      </c>
      <c r="AA9" s="71">
        <f>100*Y9/Z9</f>
        <v>93.081186983698643</v>
      </c>
      <c r="AB9" s="3"/>
    </row>
    <row r="10" spans="1:28" ht="18" customHeight="1">
      <c r="A10" s="112">
        <v>2</v>
      </c>
      <c r="B10" s="56">
        <v>28.5</v>
      </c>
      <c r="C10" s="73">
        <f>'[1]cálculos teóricos'!K248</f>
        <v>0.99512480212680143</v>
      </c>
      <c r="D10" s="58">
        <f>IF(B10&gt;0,B10*C10*14.25*1.022,-999)</f>
        <v>413.03625158954964</v>
      </c>
      <c r="E10" s="59">
        <f>IF(B10&gt;0,D10*4.1868/100,-999)</f>
        <v>17.293001781551265</v>
      </c>
      <c r="F10" s="60">
        <f>IF(B10&gt;0,(7.86+1.25*D10)*4.1868/100,-999)</f>
        <v>21.945334706939079</v>
      </c>
      <c r="G10" s="61">
        <f>'[1]cálculos teóricos'!T248</f>
        <v>30.21291714531624</v>
      </c>
      <c r="H10" s="74">
        <f>IF(B10&gt;0,100*F10/G10,-999)</f>
        <v>72.635603511530348</v>
      </c>
      <c r="I10" s="56"/>
      <c r="J10" s="75">
        <v>0.1</v>
      </c>
      <c r="K10" s="75">
        <v>1</v>
      </c>
      <c r="L10" s="78">
        <v>1</v>
      </c>
      <c r="M10" s="78">
        <v>1</v>
      </c>
      <c r="N10" s="78">
        <v>1</v>
      </c>
      <c r="O10" s="76">
        <v>1</v>
      </c>
      <c r="P10" s="78">
        <v>1</v>
      </c>
      <c r="Q10" s="78">
        <v>0.9</v>
      </c>
      <c r="R10" s="78">
        <v>0.9</v>
      </c>
      <c r="S10" s="78">
        <v>1</v>
      </c>
      <c r="T10" s="81">
        <v>1</v>
      </c>
      <c r="U10" s="81">
        <v>0.3</v>
      </c>
      <c r="V10" s="208"/>
      <c r="W10" s="118">
        <f t="shared" si="0"/>
        <v>5.0999999999999996</v>
      </c>
      <c r="X10" s="118">
        <f t="shared" ref="X10:X38" si="2">SUM(P10:V10)</f>
        <v>5.0999999999999996</v>
      </c>
      <c r="Y10" s="69">
        <f t="shared" si="1"/>
        <v>10.199999999999999</v>
      </c>
      <c r="Z10" s="70">
        <f>'[1]cálculos teóricos'!I248</f>
        <v>11.516960194014535</v>
      </c>
      <c r="AA10" s="71">
        <f t="shared" ref="AA10:AA38" si="3">100*Y10/Z10</f>
        <v>88.565036504172582</v>
      </c>
      <c r="AB10" s="3"/>
    </row>
    <row r="11" spans="1:28" ht="18" customHeight="1">
      <c r="A11" s="112">
        <v>3</v>
      </c>
      <c r="B11" s="56">
        <v>26</v>
      </c>
      <c r="C11" s="73">
        <f>'[1]cálculos teóricos'!K249</f>
        <v>0.99605631287002294</v>
      </c>
      <c r="D11" s="58">
        <f t="shared" ref="D11:D38" si="4">IF(B11&gt;0,B11*C11*14.25*1.022,-999)</f>
        <v>377.157718924547</v>
      </c>
      <c r="E11" s="59">
        <f t="shared" ref="E11:E38" si="5">IF(B11&gt;0,D11*4.1868/100,-999)</f>
        <v>15.790839375932933</v>
      </c>
      <c r="F11" s="60">
        <f t="shared" ref="F11:F38" si="6">IF(B11&gt;0,(7.86+1.25*D11)*4.1868/100,-999)</f>
        <v>20.067631699916166</v>
      </c>
      <c r="G11" s="61">
        <f>'[1]cálculos teóricos'!T249</f>
        <v>30.398271300830679</v>
      </c>
      <c r="H11" s="74">
        <f t="shared" ref="H11:H38" si="7">IF(B11&gt;0,100*F11/G11,-999)</f>
        <v>66.015700370987176</v>
      </c>
      <c r="I11" s="56"/>
      <c r="J11" s="75">
        <v>0.5</v>
      </c>
      <c r="K11" s="75">
        <v>1</v>
      </c>
      <c r="L11" s="78">
        <v>1</v>
      </c>
      <c r="M11" s="78">
        <v>1</v>
      </c>
      <c r="N11" s="78">
        <v>1</v>
      </c>
      <c r="O11" s="76">
        <v>1</v>
      </c>
      <c r="P11" s="78">
        <v>1</v>
      </c>
      <c r="Q11" s="78">
        <v>1</v>
      </c>
      <c r="R11" s="78">
        <v>1</v>
      </c>
      <c r="S11" s="78">
        <v>1</v>
      </c>
      <c r="T11" s="81">
        <v>1</v>
      </c>
      <c r="U11" s="81"/>
      <c r="V11" s="208"/>
      <c r="W11" s="118">
        <f t="shared" si="0"/>
        <v>5.5</v>
      </c>
      <c r="X11" s="118">
        <f t="shared" si="2"/>
        <v>5</v>
      </c>
      <c r="Y11" s="69">
        <f t="shared" si="1"/>
        <v>10.5</v>
      </c>
      <c r="Z11" s="70">
        <f>'[1]cálculos teóricos'!I249</f>
        <v>11.538665663090258</v>
      </c>
      <c r="AA11" s="71">
        <f t="shared" si="3"/>
        <v>90.998390165574094</v>
      </c>
      <c r="AB11" s="3"/>
    </row>
    <row r="12" spans="1:28" ht="18" customHeight="1">
      <c r="A12" s="112">
        <v>4</v>
      </c>
      <c r="B12" s="56">
        <v>25.4</v>
      </c>
      <c r="C12" s="73">
        <f>'[1]cálculos teóricos'!K250</f>
        <v>0.99698436107380495</v>
      </c>
      <c r="D12" s="58">
        <f t="shared" si="4"/>
        <v>368.79737625945825</v>
      </c>
      <c r="E12" s="59">
        <f t="shared" si="5"/>
        <v>15.440808549230997</v>
      </c>
      <c r="F12" s="60">
        <f t="shared" si="6"/>
        <v>19.630093166538746</v>
      </c>
      <c r="G12" s="61">
        <f>'[1]cálculos teóricos'!T250</f>
        <v>30.583979985672055</v>
      </c>
      <c r="H12" s="74">
        <f t="shared" si="7"/>
        <v>64.184233627327202</v>
      </c>
      <c r="I12" s="56"/>
      <c r="J12" s="75"/>
      <c r="K12" s="75">
        <v>0.5</v>
      </c>
      <c r="L12" s="78">
        <v>1</v>
      </c>
      <c r="M12" s="78">
        <v>1</v>
      </c>
      <c r="N12" s="78">
        <v>1</v>
      </c>
      <c r="O12" s="76">
        <v>1</v>
      </c>
      <c r="P12" s="78">
        <v>1</v>
      </c>
      <c r="Q12" s="78">
        <v>1</v>
      </c>
      <c r="R12" s="78">
        <v>0.8</v>
      </c>
      <c r="S12" s="78">
        <v>1</v>
      </c>
      <c r="T12" s="81">
        <v>0.1</v>
      </c>
      <c r="U12" s="81"/>
      <c r="V12" s="208"/>
      <c r="W12" s="118">
        <f t="shared" si="0"/>
        <v>4.5</v>
      </c>
      <c r="X12" s="118">
        <f t="shared" si="2"/>
        <v>3.9</v>
      </c>
      <c r="Y12" s="69">
        <f t="shared" si="1"/>
        <v>8.4</v>
      </c>
      <c r="Z12" s="70">
        <f>'[1]cálculos teóricos'!I250</f>
        <v>11.560453670157653</v>
      </c>
      <c r="AA12" s="71">
        <f t="shared" si="3"/>
        <v>72.661508273536867</v>
      </c>
      <c r="AB12" s="3"/>
    </row>
    <row r="13" spans="1:28" ht="18" customHeight="1">
      <c r="A13" s="72">
        <v>5</v>
      </c>
      <c r="B13" s="56">
        <v>23.2</v>
      </c>
      <c r="C13" s="73">
        <f>'[1]cálculos teóricos'!K251</f>
        <v>0.99790857778799535</v>
      </c>
      <c r="D13" s="58">
        <f t="shared" si="4"/>
        <v>337.16656448467887</v>
      </c>
      <c r="E13" s="59">
        <f t="shared" si="5"/>
        <v>14.116489721844534</v>
      </c>
      <c r="F13" s="60">
        <f t="shared" si="6"/>
        <v>17.97469463230567</v>
      </c>
      <c r="G13" s="61">
        <f>'[1]cálculos teóricos'!T251</f>
        <v>30.769977572999139</v>
      </c>
      <c r="H13" s="74">
        <f t="shared" si="7"/>
        <v>58.4163397248576</v>
      </c>
      <c r="I13" s="56"/>
      <c r="J13" s="75"/>
      <c r="K13" s="75"/>
      <c r="L13" s="75"/>
      <c r="M13" s="75"/>
      <c r="N13" s="75">
        <v>0.6</v>
      </c>
      <c r="O13" s="76">
        <v>1</v>
      </c>
      <c r="P13" s="78">
        <v>1</v>
      </c>
      <c r="Q13" s="78">
        <v>1</v>
      </c>
      <c r="R13" s="75">
        <v>1</v>
      </c>
      <c r="S13" s="75">
        <v>1</v>
      </c>
      <c r="T13" s="75">
        <v>1</v>
      </c>
      <c r="U13" s="81">
        <v>0.2</v>
      </c>
      <c r="V13" s="208"/>
      <c r="W13" s="118">
        <f t="shared" si="0"/>
        <v>1.6</v>
      </c>
      <c r="X13" s="118">
        <f t="shared" si="2"/>
        <v>5.2</v>
      </c>
      <c r="Y13" s="69">
        <f t="shared" si="1"/>
        <v>6.8000000000000007</v>
      </c>
      <c r="Z13" s="70">
        <f>'[1]cálculos teóricos'!I251</f>
        <v>11.582320410445583</v>
      </c>
      <c r="AA13" s="71">
        <f t="shared" si="3"/>
        <v>58.710169974812487</v>
      </c>
      <c r="AB13" s="3"/>
    </row>
    <row r="14" spans="1:28" ht="18" customHeight="1">
      <c r="A14" s="112">
        <v>6</v>
      </c>
      <c r="B14" s="56">
        <v>19.600000000000001</v>
      </c>
      <c r="C14" s="73">
        <f>'[1]cálculos teóricos'!K252</f>
        <v>0.99882860175493227</v>
      </c>
      <c r="D14" s="58">
        <f t="shared" si="4"/>
        <v>285.11023069649593</v>
      </c>
      <c r="E14" s="59">
        <f t="shared" si="5"/>
        <v>11.936995138800892</v>
      </c>
      <c r="F14" s="60">
        <f t="shared" si="6"/>
        <v>15.250326403501113</v>
      </c>
      <c r="G14" s="61">
        <f>'[1]cálculos teóricos'!T252</f>
        <v>30.956198835564976</v>
      </c>
      <c r="H14" s="74">
        <f t="shared" si="7"/>
        <v>49.264208711504686</v>
      </c>
      <c r="I14" s="56"/>
      <c r="J14" s="75"/>
      <c r="K14" s="75"/>
      <c r="L14" s="75"/>
      <c r="M14" s="75"/>
      <c r="N14" s="75">
        <v>0.3</v>
      </c>
      <c r="O14" s="76">
        <v>0.9</v>
      </c>
      <c r="P14" s="78">
        <v>1</v>
      </c>
      <c r="Q14" s="78">
        <v>1</v>
      </c>
      <c r="R14" s="75">
        <v>0.8</v>
      </c>
      <c r="S14" s="75">
        <v>0.8</v>
      </c>
      <c r="T14" s="75"/>
      <c r="U14" s="81"/>
      <c r="V14" s="208"/>
      <c r="W14" s="118">
        <f t="shared" si="0"/>
        <v>1.2</v>
      </c>
      <c r="X14" s="118">
        <f t="shared" si="2"/>
        <v>3.5999999999999996</v>
      </c>
      <c r="Y14" s="69">
        <f t="shared" si="1"/>
        <v>4.8</v>
      </c>
      <c r="Z14" s="70">
        <f>'[1]cálculos teóricos'!I252</f>
        <v>11.604262167431463</v>
      </c>
      <c r="AA14" s="71">
        <f t="shared" si="3"/>
        <v>41.364112002499276</v>
      </c>
      <c r="AB14" s="3"/>
    </row>
    <row r="15" spans="1:28" ht="18" customHeight="1">
      <c r="A15" s="72">
        <v>7</v>
      </c>
      <c r="B15" s="56">
        <v>25.8</v>
      </c>
      <c r="C15" s="73">
        <f>'[1]cálculos teóricos'!K253</f>
        <v>0.99974407947051991</v>
      </c>
      <c r="D15" s="58">
        <f t="shared" si="4"/>
        <v>375.64214085531808</v>
      </c>
      <c r="E15" s="59">
        <f t="shared" si="5"/>
        <v>15.727385153330456</v>
      </c>
      <c r="F15" s="60">
        <f t="shared" si="6"/>
        <v>19.988313921663071</v>
      </c>
      <c r="G15" s="61">
        <f>'[1]cálculos teóricos'!T253</f>
        <v>31.142578965148473</v>
      </c>
      <c r="H15" s="74">
        <f t="shared" si="7"/>
        <v>64.183232686130154</v>
      </c>
      <c r="I15" s="56"/>
      <c r="J15" s="75"/>
      <c r="K15" s="75"/>
      <c r="L15" s="75">
        <v>0.1</v>
      </c>
      <c r="M15" s="75">
        <v>1</v>
      </c>
      <c r="N15" s="75">
        <v>1</v>
      </c>
      <c r="O15" s="76">
        <v>1</v>
      </c>
      <c r="P15" s="78">
        <v>1</v>
      </c>
      <c r="Q15" s="78">
        <v>1</v>
      </c>
      <c r="R15" s="75">
        <v>1</v>
      </c>
      <c r="S15" s="75">
        <v>0.9</v>
      </c>
      <c r="T15" s="81"/>
      <c r="U15" s="81"/>
      <c r="V15" s="208"/>
      <c r="W15" s="118">
        <f t="shared" si="0"/>
        <v>3.1</v>
      </c>
      <c r="X15" s="118">
        <f t="shared" si="2"/>
        <v>3.9</v>
      </c>
      <c r="Y15" s="69">
        <f t="shared" si="1"/>
        <v>7</v>
      </c>
      <c r="Z15" s="70">
        <f>'[1]cálculos teóricos'!I253</f>
        <v>11.626275308134208</v>
      </c>
      <c r="AA15" s="71">
        <f t="shared" si="3"/>
        <v>60.208448660273163</v>
      </c>
      <c r="AB15" s="3"/>
    </row>
    <row r="16" spans="1:28" ht="18" customHeight="1">
      <c r="A16" s="79">
        <v>8</v>
      </c>
      <c r="B16" s="75">
        <v>26.7</v>
      </c>
      <c r="C16" s="73">
        <f>'[1]cálculos teóricos'!K254</f>
        <v>1.0006546652384873</v>
      </c>
      <c r="D16" s="58">
        <f t="shared" si="4"/>
        <v>389.100013599259</v>
      </c>
      <c r="E16" s="59">
        <f t="shared" si="5"/>
        <v>16.290839369373774</v>
      </c>
      <c r="F16" s="60">
        <f t="shared" si="6"/>
        <v>20.692631691717221</v>
      </c>
      <c r="G16" s="61">
        <f>'[1]cálculos teóricos'!T254</f>
        <v>31.329053591497956</v>
      </c>
      <c r="H16" s="74">
        <f t="shared" si="7"/>
        <v>66.04933542369362</v>
      </c>
      <c r="I16" s="78"/>
      <c r="J16" s="80"/>
      <c r="K16" s="80">
        <v>0.8</v>
      </c>
      <c r="L16" s="80">
        <v>1</v>
      </c>
      <c r="M16" s="80">
        <v>1</v>
      </c>
      <c r="N16" s="80">
        <v>1</v>
      </c>
      <c r="O16" s="77">
        <v>1</v>
      </c>
      <c r="P16" s="81">
        <v>1</v>
      </c>
      <c r="Q16" s="81">
        <v>1</v>
      </c>
      <c r="R16" s="80">
        <v>1</v>
      </c>
      <c r="S16" s="80">
        <v>1</v>
      </c>
      <c r="T16" s="80">
        <v>0.2</v>
      </c>
      <c r="U16" s="80"/>
      <c r="V16" s="208"/>
      <c r="W16" s="118">
        <f t="shared" si="0"/>
        <v>4.8</v>
      </c>
      <c r="X16" s="118">
        <f t="shared" si="2"/>
        <v>4.2</v>
      </c>
      <c r="Y16" s="69">
        <f t="shared" si="1"/>
        <v>9</v>
      </c>
      <c r="Z16" s="70">
        <f>'[1]cálculos teóricos'!I254</f>
        <v>11.648356278240907</v>
      </c>
      <c r="AA16" s="71">
        <f t="shared" si="3"/>
        <v>77.264120233100797</v>
      </c>
      <c r="AB16" s="3"/>
    </row>
    <row r="17" spans="1:28" ht="18" customHeight="1">
      <c r="A17" s="79">
        <v>9</v>
      </c>
      <c r="B17" s="75">
        <v>15.8</v>
      </c>
      <c r="C17" s="73">
        <f>'[1]cálculos teóricos'!K255</f>
        <v>1.0015600212185085</v>
      </c>
      <c r="D17" s="58">
        <f t="shared" si="4"/>
        <v>230.46226603044883</v>
      </c>
      <c r="E17" s="59">
        <f t="shared" si="5"/>
        <v>9.6489941541628301</v>
      </c>
      <c r="F17" s="60">
        <f t="shared" si="6"/>
        <v>12.390325172703539</v>
      </c>
      <c r="G17" s="61">
        <f>'[1]cálculos teóricos'!T255</f>
        <v>31.515558800853107</v>
      </c>
      <c r="H17" s="74">
        <f t="shared" si="7"/>
        <v>39.314946788657736</v>
      </c>
      <c r="I17" s="78"/>
      <c r="J17" s="80"/>
      <c r="K17" s="80">
        <v>1</v>
      </c>
      <c r="L17" s="80">
        <v>1</v>
      </c>
      <c r="M17" s="80">
        <v>1</v>
      </c>
      <c r="N17" s="80">
        <v>0.5</v>
      </c>
      <c r="O17" s="77">
        <v>0.3</v>
      </c>
      <c r="P17" s="81">
        <v>1</v>
      </c>
      <c r="Q17" s="81">
        <v>0.3</v>
      </c>
      <c r="R17" s="80"/>
      <c r="S17" s="80"/>
      <c r="T17" s="80"/>
      <c r="U17" s="80"/>
      <c r="V17" s="208"/>
      <c r="W17" s="118">
        <f t="shared" si="0"/>
        <v>3.8</v>
      </c>
      <c r="X17" s="118">
        <f t="shared" si="2"/>
        <v>1.3</v>
      </c>
      <c r="Y17" s="69">
        <f>W17+X17</f>
        <v>5.0999999999999996</v>
      </c>
      <c r="Z17" s="70">
        <f>'[1]cálculos teóricos'!I255</f>
        <v>11.670501597078111</v>
      </c>
      <c r="AA17" s="71">
        <f t="shared" si="3"/>
        <v>43.699921186565476</v>
      </c>
      <c r="AB17" s="3"/>
    </row>
    <row r="18" spans="1:28" ht="18" customHeight="1">
      <c r="A18" s="79">
        <v>10</v>
      </c>
      <c r="B18" s="75">
        <v>15.3</v>
      </c>
      <c r="C18" s="73">
        <f>'[1]cálculos teóricos'!K256</f>
        <v>1.0024598174688395</v>
      </c>
      <c r="D18" s="58">
        <f t="shared" si="4"/>
        <v>223.3696503411239</v>
      </c>
      <c r="E18" s="59">
        <f t="shared" si="5"/>
        <v>9.3520405204821753</v>
      </c>
      <c r="F18" s="60">
        <f t="shared" si="6"/>
        <v>12.01913313060272</v>
      </c>
      <c r="G18" s="61">
        <f>'[1]cálculos teóricos'!T256</f>
        <v>31.702031154112685</v>
      </c>
      <c r="H18" s="74">
        <f t="shared" si="7"/>
        <v>37.912817232985041</v>
      </c>
      <c r="I18" s="78"/>
      <c r="J18" s="80"/>
      <c r="K18" s="80"/>
      <c r="L18" s="80">
        <v>0.2</v>
      </c>
      <c r="M18" s="80"/>
      <c r="N18" s="80">
        <v>0.5</v>
      </c>
      <c r="O18" s="77">
        <v>0.4</v>
      </c>
      <c r="P18" s="81">
        <v>0.2</v>
      </c>
      <c r="Q18" s="81">
        <v>0.6</v>
      </c>
      <c r="R18" s="80"/>
      <c r="S18" s="80"/>
      <c r="T18" s="80"/>
      <c r="U18" s="80"/>
      <c r="V18" s="208"/>
      <c r="W18" s="118">
        <f t="shared" si="0"/>
        <v>1.1000000000000001</v>
      </c>
      <c r="X18" s="118">
        <f t="shared" si="2"/>
        <v>0.8</v>
      </c>
      <c r="Y18" s="69">
        <f>W18+X18</f>
        <v>1.9000000000000001</v>
      </c>
      <c r="Z18" s="70">
        <f>'[1]cálculos teóricos'!I256</f>
        <v>11.692707852438252</v>
      </c>
      <c r="AA18" s="71">
        <f t="shared" si="3"/>
        <v>16.249443875430426</v>
      </c>
      <c r="AB18" s="3"/>
    </row>
    <row r="19" spans="1:28" ht="18" customHeight="1">
      <c r="A19" s="84">
        <v>11</v>
      </c>
      <c r="B19" s="75">
        <v>20.100000000000001</v>
      </c>
      <c r="C19" s="73">
        <f>'[1]cálculos teóricos'!K257</f>
        <v>1.0033537319841259</v>
      </c>
      <c r="D19" s="58">
        <f t="shared" si="4"/>
        <v>293.70807572259145</v>
      </c>
      <c r="E19" s="59">
        <f t="shared" si="5"/>
        <v>12.296969714353459</v>
      </c>
      <c r="F19" s="60">
        <f t="shared" si="6"/>
        <v>15.700294622941824</v>
      </c>
      <c r="G19" s="61">
        <f>'[1]cálculos teóricos'!T257</f>
        <v>31.888407704716052</v>
      </c>
      <c r="H19" s="74">
        <f t="shared" si="7"/>
        <v>49.235116310369648</v>
      </c>
      <c r="I19" s="78"/>
      <c r="J19" s="80"/>
      <c r="K19" s="80"/>
      <c r="L19" s="80"/>
      <c r="M19" s="80">
        <v>0.2</v>
      </c>
      <c r="N19" s="80">
        <v>0.5</v>
      </c>
      <c r="O19" s="77"/>
      <c r="P19" s="81">
        <v>0.2</v>
      </c>
      <c r="Q19" s="81">
        <v>0.6</v>
      </c>
      <c r="R19" s="80">
        <v>0.9</v>
      </c>
      <c r="S19" s="80">
        <v>0.6</v>
      </c>
      <c r="T19" s="80">
        <v>0.2</v>
      </c>
      <c r="U19" s="80"/>
      <c r="V19" s="208"/>
      <c r="W19" s="118">
        <f t="shared" si="0"/>
        <v>0.7</v>
      </c>
      <c r="X19" s="118">
        <f t="shared" si="2"/>
        <v>2.5000000000000004</v>
      </c>
      <c r="Y19" s="69">
        <f t="shared" ref="Y19:Y38" si="8">W19+X19</f>
        <v>3.2</v>
      </c>
      <c r="Z19" s="70">
        <f>'[1]cálculos teóricos'!I257</f>
        <v>11.714971695271378</v>
      </c>
      <c r="AA19" s="71">
        <f t="shared" si="3"/>
        <v>27.315473594286576</v>
      </c>
      <c r="AB19" s="3"/>
    </row>
    <row r="20" spans="1:28" ht="18" customHeight="1">
      <c r="A20" s="79">
        <v>12</v>
      </c>
      <c r="B20" s="75">
        <v>27.8</v>
      </c>
      <c r="C20" s="73">
        <f>'[1]cálculos teóricos'!K258</f>
        <v>1.0042414507290078</v>
      </c>
      <c r="D20" s="58">
        <f t="shared" si="4"/>
        <v>406.58251622183496</v>
      </c>
      <c r="E20" s="59">
        <f t="shared" si="5"/>
        <v>17.022796789175786</v>
      </c>
      <c r="F20" s="60">
        <f t="shared" si="6"/>
        <v>21.607578466469732</v>
      </c>
      <c r="G20" s="61">
        <f>'[1]cálculos teóricos'!T258</f>
        <v>32.074626016306389</v>
      </c>
      <c r="H20" s="74">
        <f t="shared" si="7"/>
        <v>67.36657959935269</v>
      </c>
      <c r="I20" s="78"/>
      <c r="J20" s="80"/>
      <c r="K20" s="80">
        <v>0.4</v>
      </c>
      <c r="L20" s="80">
        <v>0.9</v>
      </c>
      <c r="M20" s="80"/>
      <c r="N20" s="80"/>
      <c r="O20" s="77"/>
      <c r="P20" s="81">
        <v>0.2</v>
      </c>
      <c r="Q20" s="81"/>
      <c r="R20" s="80">
        <v>0.8</v>
      </c>
      <c r="S20" s="80">
        <v>1</v>
      </c>
      <c r="T20" s="80">
        <v>0.6</v>
      </c>
      <c r="U20" s="80"/>
      <c r="V20" s="208"/>
      <c r="W20" s="118">
        <f t="shared" si="0"/>
        <v>1.3</v>
      </c>
      <c r="X20" s="118">
        <f t="shared" si="2"/>
        <v>2.6</v>
      </c>
      <c r="Y20" s="69">
        <f t="shared" si="8"/>
        <v>3.9000000000000004</v>
      </c>
      <c r="Z20" s="70">
        <f>'[1]cálculos teóricos'!I258</f>
        <v>11.737289834251907</v>
      </c>
      <c r="AA20" s="71">
        <f t="shared" si="3"/>
        <v>33.227432014322176</v>
      </c>
      <c r="AB20" s="3"/>
    </row>
    <row r="21" spans="1:28" ht="18" customHeight="1">
      <c r="A21" s="79">
        <v>13</v>
      </c>
      <c r="B21" s="75">
        <v>24.7</v>
      </c>
      <c r="C21" s="73">
        <f>'[1]cálculos teóricos'!K259</f>
        <v>1.0051226676681373</v>
      </c>
      <c r="D21" s="58">
        <f t="shared" si="4"/>
        <v>361.56116807344745</v>
      </c>
      <c r="E21" s="59">
        <f t="shared" si="5"/>
        <v>15.137842984899098</v>
      </c>
      <c r="F21" s="60">
        <f t="shared" si="6"/>
        <v>19.251386211123869</v>
      </c>
      <c r="G21" s="61">
        <f>'[1]cálculos teóricos'!T259</f>
        <v>32.260624180242964</v>
      </c>
      <c r="H21" s="74">
        <f t="shared" si="7"/>
        <v>59.674562102595004</v>
      </c>
      <c r="I21" s="78"/>
      <c r="J21" s="80"/>
      <c r="K21" s="80">
        <v>1</v>
      </c>
      <c r="L21" s="80">
        <v>1</v>
      </c>
      <c r="M21" s="80">
        <v>1</v>
      </c>
      <c r="N21" s="80">
        <v>1</v>
      </c>
      <c r="O21" s="77">
        <v>1</v>
      </c>
      <c r="P21" s="81">
        <v>1</v>
      </c>
      <c r="Q21" s="81">
        <v>0.6</v>
      </c>
      <c r="R21" s="80">
        <v>1</v>
      </c>
      <c r="S21" s="80">
        <v>1</v>
      </c>
      <c r="T21" s="80"/>
      <c r="U21" s="80"/>
      <c r="V21" s="208"/>
      <c r="W21" s="118">
        <f t="shared" si="0"/>
        <v>5</v>
      </c>
      <c r="X21" s="118">
        <f t="shared" si="2"/>
        <v>3.6</v>
      </c>
      <c r="Y21" s="69">
        <f t="shared" si="8"/>
        <v>8.6</v>
      </c>
      <c r="Z21" s="70">
        <f>'[1]cálculos teóricos'!I259</f>
        <v>11.759659030229781</v>
      </c>
      <c r="AA21" s="71">
        <f t="shared" si="3"/>
        <v>73.131372073735704</v>
      </c>
      <c r="AB21" s="3"/>
    </row>
    <row r="22" spans="1:28" ht="18" customHeight="1">
      <c r="A22" s="79">
        <v>14</v>
      </c>
      <c r="B22" s="75">
        <v>19.899999999999999</v>
      </c>
      <c r="C22" s="73">
        <f>'[1]cálculos teóricos'!K260</f>
        <v>1.0059970847931912</v>
      </c>
      <c r="D22" s="58">
        <f t="shared" si="4"/>
        <v>291.55168703327422</v>
      </c>
      <c r="E22" s="59">
        <f t="shared" si="5"/>
        <v>12.206686032709124</v>
      </c>
      <c r="F22" s="60">
        <f t="shared" si="6"/>
        <v>15.587440020886406</v>
      </c>
      <c r="G22" s="61">
        <f>'[1]cálculos teóricos'!T260</f>
        <v>32.446340833028621</v>
      </c>
      <c r="H22" s="74">
        <f t="shared" si="7"/>
        <v>48.040671523179078</v>
      </c>
      <c r="I22" s="78"/>
      <c r="J22" s="80"/>
      <c r="K22" s="80"/>
      <c r="L22" s="80">
        <v>0.1</v>
      </c>
      <c r="M22" s="80">
        <v>0.8</v>
      </c>
      <c r="N22" s="80">
        <v>1</v>
      </c>
      <c r="O22" s="77">
        <v>1</v>
      </c>
      <c r="P22" s="81">
        <v>0.3</v>
      </c>
      <c r="Q22" s="80">
        <v>0.7</v>
      </c>
      <c r="R22" s="80"/>
      <c r="S22" s="80"/>
      <c r="T22" s="80"/>
      <c r="U22" s="80"/>
      <c r="V22" s="208"/>
      <c r="W22" s="118">
        <f t="shared" si="0"/>
        <v>2.9</v>
      </c>
      <c r="X22" s="118">
        <f t="shared" si="2"/>
        <v>1</v>
      </c>
      <c r="Y22" s="69">
        <f t="shared" si="8"/>
        <v>3.9</v>
      </c>
      <c r="Z22" s="70">
        <f>'[1]cálculos teóricos'!I260</f>
        <v>11.782076090575021</v>
      </c>
      <c r="AA22" s="71">
        <f t="shared" si="3"/>
        <v>33.101127254811857</v>
      </c>
      <c r="AB22" s="3"/>
    </row>
    <row r="23" spans="1:28" ht="18" customHeight="1">
      <c r="A23" s="79">
        <v>15</v>
      </c>
      <c r="B23" s="75">
        <v>5.4</v>
      </c>
      <c r="C23" s="73">
        <f>'[1]cálculos teóricos'!K261</f>
        <v>1.0068644121474433</v>
      </c>
      <c r="D23" s="58">
        <f t="shared" si="4"/>
        <v>79.182737278070178</v>
      </c>
      <c r="E23" s="59">
        <f t="shared" si="5"/>
        <v>3.3152228443582419</v>
      </c>
      <c r="F23" s="60">
        <f t="shared" si="6"/>
        <v>4.4731110354478032</v>
      </c>
      <c r="G23" s="61">
        <f>'[1]cálculos teóricos'!T261</f>
        <v>32.63171517371709</v>
      </c>
      <c r="H23" s="74">
        <f t="shared" si="7"/>
        <v>13.707863689159156</v>
      </c>
      <c r="I23" s="78"/>
      <c r="J23" s="80"/>
      <c r="K23" s="80"/>
      <c r="L23" s="80"/>
      <c r="M23" s="80"/>
      <c r="N23" s="80"/>
      <c r="O23" s="77"/>
      <c r="P23" s="81"/>
      <c r="Q23" s="80"/>
      <c r="R23" s="80"/>
      <c r="S23" s="80"/>
      <c r="T23" s="80"/>
      <c r="U23" s="80"/>
      <c r="V23" s="208"/>
      <c r="W23" s="118">
        <f t="shared" si="0"/>
        <v>0</v>
      </c>
      <c r="X23" s="118">
        <f t="shared" si="2"/>
        <v>0</v>
      </c>
      <c r="Y23" s="69">
        <f t="shared" si="8"/>
        <v>0</v>
      </c>
      <c r="Z23" s="70">
        <f>'[1]cálculos teóricos'!I261</f>
        <v>11.804537863424434</v>
      </c>
      <c r="AA23" s="71">
        <f t="shared" si="3"/>
        <v>0</v>
      </c>
      <c r="AB23" s="3"/>
    </row>
    <row r="24" spans="1:28" ht="18" customHeight="1">
      <c r="A24" s="79">
        <v>16</v>
      </c>
      <c r="B24" s="75">
        <v>5.4</v>
      </c>
      <c r="C24" s="73">
        <f>'[1]cálculos teóricos'!K262</f>
        <v>1.0077243678484233</v>
      </c>
      <c r="D24" s="58">
        <f t="shared" si="4"/>
        <v>79.250366688266766</v>
      </c>
      <c r="E24" s="59">
        <f t="shared" si="5"/>
        <v>3.3180543525043529</v>
      </c>
      <c r="F24" s="60">
        <f t="shared" si="6"/>
        <v>4.4766504206304409</v>
      </c>
      <c r="G24" s="61">
        <f>'[1]cálculos teóricos'!T262</f>
        <v>32.816686981362338</v>
      </c>
      <c r="H24" s="74">
        <f t="shared" si="7"/>
        <v>13.641384406576069</v>
      </c>
      <c r="I24" s="78"/>
      <c r="J24" s="80"/>
      <c r="K24" s="80"/>
      <c r="L24" s="80"/>
      <c r="M24" s="80"/>
      <c r="N24" s="80"/>
      <c r="O24" s="77"/>
      <c r="P24" s="81"/>
      <c r="Q24" s="80"/>
      <c r="R24" s="80"/>
      <c r="S24" s="80"/>
      <c r="T24" s="80"/>
      <c r="U24" s="80"/>
      <c r="V24" s="208"/>
      <c r="W24" s="118">
        <f t="shared" si="0"/>
        <v>0</v>
      </c>
      <c r="X24" s="118">
        <f t="shared" si="2"/>
        <v>0</v>
      </c>
      <c r="Y24" s="69">
        <f t="shared" si="8"/>
        <v>0</v>
      </c>
      <c r="Z24" s="70">
        <f>'[1]cálculos teóricos'!I262</f>
        <v>11.827041231838793</v>
      </c>
      <c r="AA24" s="71">
        <f t="shared" si="3"/>
        <v>0</v>
      </c>
      <c r="AB24" s="3"/>
    </row>
    <row r="25" spans="1:28" ht="18" customHeight="1">
      <c r="A25" s="79">
        <v>17</v>
      </c>
      <c r="B25" s="75">
        <v>13.7</v>
      </c>
      <c r="C25" s="73">
        <f>'[1]cálculos teóricos'!K263</f>
        <v>1.0085766781091658</v>
      </c>
      <c r="D25" s="58">
        <f t="shared" si="4"/>
        <v>201.23116838750687</v>
      </c>
      <c r="E25" s="59">
        <f t="shared" si="5"/>
        <v>8.4251465580481373</v>
      </c>
      <c r="F25" s="60">
        <f t="shared" si="6"/>
        <v>10.860515677560169</v>
      </c>
      <c r="G25" s="61">
        <f>'[1]cálculos teóricos'!T263</f>
        <v>33.001196632569247</v>
      </c>
      <c r="H25" s="74">
        <f t="shared" si="7"/>
        <v>32.909460218911597</v>
      </c>
      <c r="I25" s="78"/>
      <c r="J25" s="80"/>
      <c r="K25" s="80"/>
      <c r="L25" s="80"/>
      <c r="M25" s="80"/>
      <c r="N25" s="80"/>
      <c r="O25" s="77">
        <v>0.3</v>
      </c>
      <c r="P25" s="81">
        <v>0.5</v>
      </c>
      <c r="Q25" s="80">
        <v>0.2</v>
      </c>
      <c r="R25" s="80"/>
      <c r="S25" s="80"/>
      <c r="T25" s="80"/>
      <c r="U25" s="80"/>
      <c r="V25" s="208"/>
      <c r="W25" s="118">
        <f t="shared" si="0"/>
        <v>0.3</v>
      </c>
      <c r="X25" s="118">
        <f t="shared" si="2"/>
        <v>0.7</v>
      </c>
      <c r="Y25" s="69">
        <f t="shared" si="8"/>
        <v>1</v>
      </c>
      <c r="Z25" s="70">
        <f>'[1]cálculos teóricos'!I263</f>
        <v>11.849583107878678</v>
      </c>
      <c r="AA25" s="71">
        <f t="shared" si="3"/>
        <v>8.4391154599785825</v>
      </c>
      <c r="AB25" s="3"/>
    </row>
    <row r="26" spans="1:28" ht="18" customHeight="1">
      <c r="A26" s="79">
        <v>18</v>
      </c>
      <c r="B26" s="75">
        <v>25.1</v>
      </c>
      <c r="C26" s="73">
        <f>'[1]cálculos teóricos'!K264</f>
        <v>1.0094210772585084</v>
      </c>
      <c r="D26" s="58">
        <f t="shared" si="4"/>
        <v>368.98766685222262</v>
      </c>
      <c r="E26" s="59">
        <f t="shared" si="5"/>
        <v>15.448775635768857</v>
      </c>
      <c r="F26" s="60">
        <f t="shared" si="6"/>
        <v>19.640052024711071</v>
      </c>
      <c r="G26" s="61">
        <f>'[1]cálculos teóricos'!T264</f>
        <v>33.185185119202401</v>
      </c>
      <c r="H26" s="74">
        <f t="shared" si="7"/>
        <v>59.183192602853609</v>
      </c>
      <c r="I26" s="78"/>
      <c r="J26" s="80"/>
      <c r="K26" s="80">
        <v>0.2</v>
      </c>
      <c r="L26" s="80">
        <v>0.9</v>
      </c>
      <c r="M26" s="80">
        <v>1</v>
      </c>
      <c r="N26" s="80">
        <v>1</v>
      </c>
      <c r="O26" s="77">
        <v>1</v>
      </c>
      <c r="P26" s="81">
        <v>1</v>
      </c>
      <c r="Q26" s="80">
        <v>1</v>
      </c>
      <c r="R26" s="80">
        <v>1</v>
      </c>
      <c r="S26" s="80">
        <v>0.6</v>
      </c>
      <c r="T26" s="80"/>
      <c r="U26" s="80"/>
      <c r="V26" s="208"/>
      <c r="W26" s="118">
        <f t="shared" si="0"/>
        <v>4.0999999999999996</v>
      </c>
      <c r="X26" s="118">
        <f t="shared" si="2"/>
        <v>3.6</v>
      </c>
      <c r="Y26" s="69">
        <f t="shared" si="8"/>
        <v>7.6999999999999993</v>
      </c>
      <c r="Z26" s="70">
        <f>'[1]cálculos teóricos'!I264</f>
        <v>11.872160426606762</v>
      </c>
      <c r="AA26" s="71">
        <f t="shared" si="3"/>
        <v>64.857614143618619</v>
      </c>
      <c r="AB26" s="3"/>
    </row>
    <row r="27" spans="1:28" ht="18" customHeight="1">
      <c r="A27" s="79">
        <v>19</v>
      </c>
      <c r="B27" s="75">
        <v>28.6</v>
      </c>
      <c r="C27" s="73">
        <f>'[1]cálculos teóricos'!K265</f>
        <v>1.0102573077608699</v>
      </c>
      <c r="D27" s="58">
        <f t="shared" si="4"/>
        <v>420.78843382505721</v>
      </c>
      <c r="E27" s="59">
        <f t="shared" si="5"/>
        <v>17.617570147387493</v>
      </c>
      <c r="F27" s="60">
        <f t="shared" si="6"/>
        <v>22.351045164234371</v>
      </c>
      <c r="G27" s="61">
        <f>'[1]cálculos teóricos'!T265</f>
        <v>33.368594066304397</v>
      </c>
      <c r="H27" s="74">
        <f t="shared" si="7"/>
        <v>66.982280163863578</v>
      </c>
      <c r="I27" s="78"/>
      <c r="J27" s="80"/>
      <c r="K27" s="80">
        <v>0.9</v>
      </c>
      <c r="L27" s="80">
        <v>1</v>
      </c>
      <c r="M27" s="80">
        <v>1</v>
      </c>
      <c r="N27" s="80">
        <v>1</v>
      </c>
      <c r="O27" s="77">
        <v>1</v>
      </c>
      <c r="P27" s="81">
        <v>1</v>
      </c>
      <c r="Q27" s="80">
        <v>1</v>
      </c>
      <c r="R27" s="80">
        <v>1</v>
      </c>
      <c r="S27" s="80">
        <v>1</v>
      </c>
      <c r="T27" s="80">
        <v>0.8</v>
      </c>
      <c r="U27" s="80"/>
      <c r="V27" s="208"/>
      <c r="W27" s="118">
        <f t="shared" si="0"/>
        <v>4.9000000000000004</v>
      </c>
      <c r="X27" s="118">
        <f t="shared" si="2"/>
        <v>4.8</v>
      </c>
      <c r="Y27" s="69">
        <f t="shared" si="8"/>
        <v>9.6999999999999993</v>
      </c>
      <c r="Z27" s="70">
        <f>'[1]cálculos teóricos'!I265</f>
        <v>11.894770140024326</v>
      </c>
      <c r="AA27" s="71">
        <f t="shared" si="3"/>
        <v>81.54844428107765</v>
      </c>
      <c r="AB27" s="3"/>
    </row>
    <row r="28" spans="1:28" ht="18" customHeight="1">
      <c r="A28" s="79">
        <v>20</v>
      </c>
      <c r="B28" s="75">
        <v>27.1</v>
      </c>
      <c r="C28" s="73">
        <f>'[1]cálculos teóricos'!K266</f>
        <v>1.0110851202358924</v>
      </c>
      <c r="D28" s="58">
        <f t="shared" si="4"/>
        <v>399.04582382585187</v>
      </c>
      <c r="E28" s="59">
        <f t="shared" si="5"/>
        <v>16.707250551940763</v>
      </c>
      <c r="F28" s="60">
        <f t="shared" si="6"/>
        <v>21.213145669925957</v>
      </c>
      <c r="G28" s="61">
        <f>'[1]cálculos teóricos'!T266</f>
        <v>33.551365750272652</v>
      </c>
      <c r="H28" s="74">
        <f t="shared" si="7"/>
        <v>63.225878278154951</v>
      </c>
      <c r="I28" s="78"/>
      <c r="J28" s="80"/>
      <c r="K28" s="80"/>
      <c r="L28" s="80">
        <v>0.6</v>
      </c>
      <c r="M28" s="80">
        <v>1</v>
      </c>
      <c r="N28" s="80">
        <v>1</v>
      </c>
      <c r="O28" s="77">
        <v>1</v>
      </c>
      <c r="P28" s="81">
        <v>1</v>
      </c>
      <c r="Q28" s="80">
        <v>1</v>
      </c>
      <c r="R28" s="80">
        <v>1</v>
      </c>
      <c r="S28" s="80">
        <v>0.9</v>
      </c>
      <c r="T28" s="80"/>
      <c r="U28" s="80"/>
      <c r="V28" s="208"/>
      <c r="W28" s="118">
        <f t="shared" si="0"/>
        <v>3.6</v>
      </c>
      <c r="X28" s="118">
        <f t="shared" si="2"/>
        <v>3.9</v>
      </c>
      <c r="Y28" s="69">
        <f t="shared" si="8"/>
        <v>7.5</v>
      </c>
      <c r="Z28" s="70">
        <f>'[1]cálculos teóricos'!I266</f>
        <v>11.917409210949348</v>
      </c>
      <c r="AA28" s="71">
        <f t="shared" si="3"/>
        <v>62.933141484385978</v>
      </c>
      <c r="AB28" s="3"/>
    </row>
    <row r="29" spans="1:28" ht="18" customHeight="1">
      <c r="A29" s="79">
        <v>21</v>
      </c>
      <c r="B29" s="75">
        <v>18</v>
      </c>
      <c r="C29" s="73">
        <f>'[1]cálculos teóricos'!K267</f>
        <v>1.0119042734782999</v>
      </c>
      <c r="D29" s="58">
        <f t="shared" si="4"/>
        <v>265.26362196242201</v>
      </c>
      <c r="E29" s="59">
        <f t="shared" si="5"/>
        <v>11.106057324322684</v>
      </c>
      <c r="F29" s="60">
        <f t="shared" si="6"/>
        <v>14.211654135403355</v>
      </c>
      <c r="G29" s="61">
        <f>'[1]cálculos teóricos'!T267</f>
        <v>33.733443117336968</v>
      </c>
      <c r="H29" s="74">
        <f t="shared" si="7"/>
        <v>42.129272383996337</v>
      </c>
      <c r="I29" s="78"/>
      <c r="J29" s="80">
        <v>0.3</v>
      </c>
      <c r="K29" s="80">
        <v>1</v>
      </c>
      <c r="L29" s="80">
        <v>0.8</v>
      </c>
      <c r="M29" s="80">
        <v>1</v>
      </c>
      <c r="N29" s="80">
        <v>1</v>
      </c>
      <c r="O29" s="77">
        <v>1</v>
      </c>
      <c r="P29" s="81">
        <v>0.7</v>
      </c>
      <c r="Q29" s="81"/>
      <c r="R29" s="81"/>
      <c r="S29" s="81"/>
      <c r="T29" s="80"/>
      <c r="U29" s="80"/>
      <c r="V29" s="208"/>
      <c r="W29" s="118">
        <f t="shared" si="0"/>
        <v>5.0999999999999996</v>
      </c>
      <c r="X29" s="118">
        <f t="shared" si="2"/>
        <v>0.7</v>
      </c>
      <c r="Y29" s="69">
        <f t="shared" si="8"/>
        <v>5.8</v>
      </c>
      <c r="Z29" s="70">
        <f>'[1]cálculos teóricos'!I267</f>
        <v>11.940074606843586</v>
      </c>
      <c r="AA29" s="71">
        <f t="shared" si="3"/>
        <v>48.575910879783493</v>
      </c>
      <c r="AB29" s="3"/>
    </row>
    <row r="30" spans="1:28" ht="18" customHeight="1">
      <c r="A30" s="79">
        <v>22</v>
      </c>
      <c r="B30" s="75">
        <v>14.1</v>
      </c>
      <c r="C30" s="73">
        <f>'[1]cálculos teóricos'!K268</f>
        <v>1.0127145344782673</v>
      </c>
      <c r="D30" s="58">
        <f t="shared" si="4"/>
        <v>207.95622053252688</v>
      </c>
      <c r="E30" s="59">
        <f t="shared" si="5"/>
        <v>8.7067110412558346</v>
      </c>
      <c r="F30" s="60">
        <f t="shared" si="6"/>
        <v>11.212471281569794</v>
      </c>
      <c r="G30" s="61">
        <f>'[1]cálculos teóricos'!T268</f>
        <v>33.914769802376469</v>
      </c>
      <c r="H30" s="74">
        <f t="shared" si="7"/>
        <v>33.060732379743634</v>
      </c>
      <c r="I30" s="78"/>
      <c r="J30" s="80"/>
      <c r="K30" s="80"/>
      <c r="L30" s="80"/>
      <c r="M30" s="80"/>
      <c r="N30" s="80">
        <v>0.1</v>
      </c>
      <c r="O30" s="77"/>
      <c r="P30" s="81">
        <v>0.3</v>
      </c>
      <c r="Q30" s="80">
        <v>0.1</v>
      </c>
      <c r="R30" s="80">
        <v>0.4</v>
      </c>
      <c r="S30" s="80">
        <v>0.2</v>
      </c>
      <c r="T30" s="80"/>
      <c r="U30" s="80"/>
      <c r="V30" s="208"/>
      <c r="W30" s="118">
        <f t="shared" si="0"/>
        <v>0.1</v>
      </c>
      <c r="X30" s="118">
        <f t="shared" si="2"/>
        <v>1</v>
      </c>
      <c r="Y30" s="69">
        <f t="shared" si="8"/>
        <v>1.1000000000000001</v>
      </c>
      <c r="Z30" s="70">
        <f>'[1]cálculos teóricos'!I268</f>
        <v>11.962763293595893</v>
      </c>
      <c r="AA30" s="71">
        <f t="shared" si="3"/>
        <v>9.1951999132915265</v>
      </c>
      <c r="AB30" s="3"/>
    </row>
    <row r="31" spans="1:28" ht="18" customHeight="1">
      <c r="A31" s="79">
        <v>23</v>
      </c>
      <c r="B31" s="75">
        <v>27.5</v>
      </c>
      <c r="C31" s="73">
        <f>'[1]cálculos teóricos'!K269</f>
        <v>1.0135156784425661</v>
      </c>
      <c r="D31" s="58">
        <f t="shared" si="4"/>
        <v>405.90922853245354</v>
      </c>
      <c r="E31" s="59">
        <f t="shared" si="5"/>
        <v>16.994607580196764</v>
      </c>
      <c r="F31" s="60">
        <f t="shared" si="6"/>
        <v>21.572341955245957</v>
      </c>
      <c r="G31" s="61">
        <f>'[1]cálculos teóricos'!T269</f>
        <v>34.095290148107495</v>
      </c>
      <c r="H31" s="74">
        <f t="shared" si="7"/>
        <v>63.270738748775123</v>
      </c>
      <c r="I31" s="78"/>
      <c r="J31" s="80"/>
      <c r="K31" s="80"/>
      <c r="L31" s="80">
        <v>0.2</v>
      </c>
      <c r="M31" s="80">
        <v>0.3</v>
      </c>
      <c r="N31" s="80">
        <v>0.5</v>
      </c>
      <c r="O31" s="77">
        <v>1</v>
      </c>
      <c r="P31" s="81">
        <v>1</v>
      </c>
      <c r="Q31" s="80">
        <v>1</v>
      </c>
      <c r="R31" s="80">
        <v>1</v>
      </c>
      <c r="S31" s="80">
        <v>1</v>
      </c>
      <c r="T31" s="80">
        <v>1</v>
      </c>
      <c r="U31" s="80">
        <v>0.1</v>
      </c>
      <c r="V31" s="208"/>
      <c r="W31" s="118">
        <f t="shared" si="0"/>
        <v>2</v>
      </c>
      <c r="X31" s="118">
        <f t="shared" si="2"/>
        <v>5.0999999999999996</v>
      </c>
      <c r="Y31" s="69">
        <f t="shared" si="8"/>
        <v>7.1</v>
      </c>
      <c r="Z31" s="70">
        <f>'[1]cálculos teóricos'!I269</f>
        <v>11.985472229268808</v>
      </c>
      <c r="AA31" s="71">
        <f t="shared" si="3"/>
        <v>59.23838347112958</v>
      </c>
      <c r="AB31" s="3"/>
    </row>
    <row r="32" spans="1:28" ht="18" customHeight="1">
      <c r="A32" s="79">
        <v>24</v>
      </c>
      <c r="B32" s="75">
        <v>28.2</v>
      </c>
      <c r="C32" s="73">
        <f>'[1]cálculos teóricos'!K270</f>
        <v>1.0143074888166961</v>
      </c>
      <c r="D32" s="58">
        <f t="shared" si="4"/>
        <v>416.56665259737105</v>
      </c>
      <c r="E32" s="59">
        <f t="shared" si="5"/>
        <v>17.440812610946729</v>
      </c>
      <c r="F32" s="60">
        <f t="shared" si="6"/>
        <v>22.13009824368341</v>
      </c>
      <c r="G32" s="61">
        <f>'[1]cálculos teóricos'!T270</f>
        <v>34.274949224668816</v>
      </c>
      <c r="H32" s="74">
        <f t="shared" si="7"/>
        <v>64.566392494480041</v>
      </c>
      <c r="I32" s="78"/>
      <c r="J32" s="80"/>
      <c r="K32" s="80">
        <v>0.9</v>
      </c>
      <c r="L32" s="80">
        <v>1</v>
      </c>
      <c r="M32" s="80">
        <v>1</v>
      </c>
      <c r="N32" s="80">
        <v>1</v>
      </c>
      <c r="O32" s="77">
        <v>1</v>
      </c>
      <c r="P32" s="81">
        <v>0.9</v>
      </c>
      <c r="Q32" s="80">
        <v>1</v>
      </c>
      <c r="R32" s="80">
        <v>0.3</v>
      </c>
      <c r="S32" s="80">
        <v>0.5</v>
      </c>
      <c r="T32" s="80"/>
      <c r="U32" s="80"/>
      <c r="V32" s="208"/>
      <c r="W32" s="118">
        <f t="shared" si="0"/>
        <v>4.9000000000000004</v>
      </c>
      <c r="X32" s="118">
        <f t="shared" si="2"/>
        <v>2.6999999999999997</v>
      </c>
      <c r="Y32" s="69">
        <f t="shared" si="8"/>
        <v>7.6</v>
      </c>
      <c r="Z32" s="70">
        <f>'[1]cálculos teóricos'!I270</f>
        <v>12.008198357815731</v>
      </c>
      <c r="AA32" s="71">
        <f t="shared" si="3"/>
        <v>63.290093763761128</v>
      </c>
      <c r="AB32" s="3"/>
    </row>
    <row r="33" spans="1:28" ht="18" customHeight="1">
      <c r="A33" s="79">
        <v>25</v>
      </c>
      <c r="B33" s="75">
        <v>13.4</v>
      </c>
      <c r="C33" s="73">
        <f>'[1]cálculos teóricos'!K271</f>
        <v>1.0150897573081683</v>
      </c>
      <c r="D33" s="58">
        <f t="shared" si="4"/>
        <v>198.09567971947064</v>
      </c>
      <c r="E33" s="59">
        <f t="shared" si="5"/>
        <v>8.2938699184947957</v>
      </c>
      <c r="F33" s="60">
        <f t="shared" si="6"/>
        <v>10.696419878118496</v>
      </c>
      <c r="G33" s="61">
        <f>'[1]cálculos teóricos'!T271</f>
        <v>34.453692849623536</v>
      </c>
      <c r="H33" s="74">
        <f t="shared" si="7"/>
        <v>31.045786368399028</v>
      </c>
      <c r="I33" s="153"/>
      <c r="J33" s="80"/>
      <c r="K33" s="80"/>
      <c r="L33" s="80">
        <v>0.2</v>
      </c>
      <c r="M33" s="80">
        <v>0.3</v>
      </c>
      <c r="N33" s="80"/>
      <c r="O33" s="77">
        <v>0.2</v>
      </c>
      <c r="P33" s="81">
        <v>0.7</v>
      </c>
      <c r="Q33" s="80">
        <v>0.2</v>
      </c>
      <c r="R33" s="80"/>
      <c r="S33" s="80"/>
      <c r="T33" s="80"/>
      <c r="U33" s="80"/>
      <c r="V33" s="208"/>
      <c r="W33" s="118">
        <f t="shared" si="0"/>
        <v>0.7</v>
      </c>
      <c r="X33" s="118">
        <f t="shared" si="2"/>
        <v>0.89999999999999991</v>
      </c>
      <c r="Y33" s="69">
        <f t="shared" si="8"/>
        <v>1.5999999999999999</v>
      </c>
      <c r="Z33" s="70">
        <f>'[1]cálculos teóricos'!I271</f>
        <v>12.030938602775587</v>
      </c>
      <c r="AA33" s="71">
        <f t="shared" si="3"/>
        <v>13.299045509473995</v>
      </c>
      <c r="AB33" s="3"/>
    </row>
    <row r="34" spans="1:28" ht="18" customHeight="1">
      <c r="A34" s="79">
        <v>26</v>
      </c>
      <c r="B34" s="75">
        <v>25.5</v>
      </c>
      <c r="C34" s="73">
        <f>'[1]cálculos teóricos'!K272</f>
        <v>1.0158622839110589</v>
      </c>
      <c r="D34" s="58">
        <f t="shared" si="4"/>
        <v>377.26001447933703</v>
      </c>
      <c r="E34" s="59">
        <f t="shared" si="5"/>
        <v>15.795122286220883</v>
      </c>
      <c r="F34" s="60">
        <f t="shared" si="6"/>
        <v>20.072985337776103</v>
      </c>
      <c r="G34" s="61">
        <f>'[1]cálculos teóricos'!T272</f>
        <v>34.631467608390317</v>
      </c>
      <c r="H34" s="74">
        <f t="shared" si="7"/>
        <v>57.961694158502638</v>
      </c>
      <c r="I34" s="153"/>
      <c r="J34" s="80"/>
      <c r="K34" s="80">
        <v>1</v>
      </c>
      <c r="L34" s="80">
        <v>1</v>
      </c>
      <c r="M34" s="80">
        <v>1</v>
      </c>
      <c r="N34" s="80">
        <v>1</v>
      </c>
      <c r="O34" s="77">
        <v>1</v>
      </c>
      <c r="P34" s="81">
        <v>1</v>
      </c>
      <c r="Q34" s="80">
        <v>0.8</v>
      </c>
      <c r="R34" s="80">
        <v>0.2</v>
      </c>
      <c r="S34" s="80"/>
      <c r="T34" s="80">
        <v>0.9</v>
      </c>
      <c r="U34" s="80">
        <v>0.1</v>
      </c>
      <c r="V34" s="208"/>
      <c r="W34" s="118">
        <f t="shared" si="0"/>
        <v>5</v>
      </c>
      <c r="X34" s="118">
        <f t="shared" si="2"/>
        <v>3</v>
      </c>
      <c r="Y34" s="69">
        <f t="shared" si="8"/>
        <v>8</v>
      </c>
      <c r="Z34" s="70">
        <f>'[1]cálculos teóricos'!I272</f>
        <v>12.053689860952399</v>
      </c>
      <c r="AA34" s="71">
        <f t="shared" si="3"/>
        <v>66.369718254621617</v>
      </c>
      <c r="AB34" s="3"/>
    </row>
    <row r="35" spans="1:28" ht="18" customHeight="1">
      <c r="A35" s="79">
        <v>27</v>
      </c>
      <c r="B35" s="75">
        <v>31</v>
      </c>
      <c r="C35" s="73">
        <f>'[1]cálculos teóricos'!K273</f>
        <v>1.0166248769318984</v>
      </c>
      <c r="D35" s="58">
        <f t="shared" si="4"/>
        <v>458.97410825112871</v>
      </c>
      <c r="E35" s="59">
        <f t="shared" si="5"/>
        <v>19.216327964258255</v>
      </c>
      <c r="F35" s="60">
        <f t="shared" si="6"/>
        <v>24.349492435322823</v>
      </c>
      <c r="G35" s="61">
        <f>'[1]cálculos teóricos'!T273</f>
        <v>34.808220875109512</v>
      </c>
      <c r="H35" s="74">
        <f t="shared" si="7"/>
        <v>69.95328064220179</v>
      </c>
      <c r="I35" s="153"/>
      <c r="J35" s="80">
        <v>0.4</v>
      </c>
      <c r="K35" s="80">
        <v>1</v>
      </c>
      <c r="L35" s="80">
        <v>1</v>
      </c>
      <c r="M35" s="80">
        <v>1</v>
      </c>
      <c r="N35" s="80">
        <v>1</v>
      </c>
      <c r="O35" s="77">
        <v>1</v>
      </c>
      <c r="P35" s="81">
        <v>1</v>
      </c>
      <c r="Q35" s="80">
        <v>1</v>
      </c>
      <c r="R35" s="80">
        <v>1</v>
      </c>
      <c r="S35" s="80">
        <v>1</v>
      </c>
      <c r="T35" s="80">
        <v>1</v>
      </c>
      <c r="U35" s="80">
        <v>0.2</v>
      </c>
      <c r="V35" s="208"/>
      <c r="W35" s="118">
        <f t="shared" si="0"/>
        <v>5.4</v>
      </c>
      <c r="X35" s="118">
        <f t="shared" si="2"/>
        <v>5.2</v>
      </c>
      <c r="Y35" s="69">
        <f t="shared" si="8"/>
        <v>10.600000000000001</v>
      </c>
      <c r="Z35" s="70">
        <f>'[1]cálculos teóricos'!I273</f>
        <v>12.076448996086873</v>
      </c>
      <c r="AA35" s="71">
        <f t="shared" si="3"/>
        <v>87.774146219925385</v>
      </c>
      <c r="AB35" s="3"/>
    </row>
    <row r="36" spans="1:28" ht="18" customHeight="1">
      <c r="A36" s="79">
        <v>28</v>
      </c>
      <c r="B36" s="75">
        <v>31.5</v>
      </c>
      <c r="C36" s="73">
        <f>'[1]cálculos teóricos'!K274</f>
        <v>1.0173773530169188</v>
      </c>
      <c r="D36" s="58">
        <f t="shared" si="4"/>
        <v>466.7221150408497</v>
      </c>
      <c r="E36" s="59">
        <f t="shared" si="5"/>
        <v>19.540721512530293</v>
      </c>
      <c r="F36" s="60">
        <f t="shared" si="6"/>
        <v>24.754984370662868</v>
      </c>
      <c r="G36" s="61">
        <f>'[1]cálculos teóricos'!T274</f>
        <v>34.983900833942378</v>
      </c>
      <c r="H36" s="74">
        <f t="shared" si="7"/>
        <v>70.761075181887307</v>
      </c>
      <c r="I36" s="153"/>
      <c r="J36" s="80">
        <v>0.5</v>
      </c>
      <c r="K36" s="80">
        <v>1</v>
      </c>
      <c r="L36" s="80">
        <v>1</v>
      </c>
      <c r="M36" s="80">
        <v>1</v>
      </c>
      <c r="N36" s="80">
        <v>1</v>
      </c>
      <c r="O36" s="77">
        <v>1</v>
      </c>
      <c r="P36" s="81">
        <v>1</v>
      </c>
      <c r="Q36" s="80">
        <v>1</v>
      </c>
      <c r="R36" s="80">
        <v>1</v>
      </c>
      <c r="S36" s="80">
        <v>1</v>
      </c>
      <c r="T36" s="80">
        <v>1</v>
      </c>
      <c r="U36" s="80"/>
      <c r="V36" s="208"/>
      <c r="W36" s="118">
        <f t="shared" si="0"/>
        <v>5.5</v>
      </c>
      <c r="X36" s="118">
        <f t="shared" si="2"/>
        <v>5</v>
      </c>
      <c r="Y36" s="69">
        <f t="shared" si="8"/>
        <v>10.5</v>
      </c>
      <c r="Z36" s="70">
        <f>'[1]cálculos teóricos'!I274</f>
        <v>12.099212832527423</v>
      </c>
      <c r="AA36" s="71">
        <f t="shared" si="3"/>
        <v>86.782505154152574</v>
      </c>
      <c r="AB36" s="3"/>
    </row>
    <row r="37" spans="1:28" ht="18" customHeight="1">
      <c r="A37" s="84">
        <v>29</v>
      </c>
      <c r="B37" s="75">
        <v>22.6</v>
      </c>
      <c r="C37" s="73">
        <f>'[1]cálculos teóricos'!K275</f>
        <v>1.0181195371806306</v>
      </c>
      <c r="D37" s="58">
        <f t="shared" si="4"/>
        <v>335.09887568190067</v>
      </c>
      <c r="E37" s="59">
        <f t="shared" si="5"/>
        <v>14.029919727049817</v>
      </c>
      <c r="F37" s="60">
        <f t="shared" si="6"/>
        <v>17.86648213881227</v>
      </c>
      <c r="G37" s="61">
        <f>'[1]cálculos teóricos'!T275</f>
        <v>35.158456500793754</v>
      </c>
      <c r="H37" s="74">
        <f t="shared" si="7"/>
        <v>50.81702644827115</v>
      </c>
      <c r="I37" s="78"/>
      <c r="J37" s="80"/>
      <c r="K37" s="80"/>
      <c r="L37" s="80"/>
      <c r="M37" s="80">
        <v>0.2</v>
      </c>
      <c r="N37" s="80">
        <v>1</v>
      </c>
      <c r="O37" s="77">
        <v>1</v>
      </c>
      <c r="P37" s="81">
        <v>1</v>
      </c>
      <c r="Q37" s="80">
        <v>1</v>
      </c>
      <c r="R37" s="80">
        <v>1</v>
      </c>
      <c r="S37" s="80">
        <v>0.3</v>
      </c>
      <c r="T37" s="80"/>
      <c r="U37" s="80"/>
      <c r="V37" s="208"/>
      <c r="W37" s="118">
        <f t="shared" si="0"/>
        <v>2.2000000000000002</v>
      </c>
      <c r="X37" s="118">
        <f t="shared" si="2"/>
        <v>3.3</v>
      </c>
      <c r="Y37" s="69">
        <f t="shared" si="8"/>
        <v>5.5</v>
      </c>
      <c r="Z37" s="70">
        <f>'[1]cálculos teóricos'!I275</f>
        <v>12.121978148908402</v>
      </c>
      <c r="AA37" s="71">
        <f t="shared" si="3"/>
        <v>45.372132604407319</v>
      </c>
      <c r="AB37" s="3"/>
    </row>
    <row r="38" spans="1:28" ht="18" customHeight="1">
      <c r="A38" s="79">
        <v>30</v>
      </c>
      <c r="B38" s="75">
        <v>24.3</v>
      </c>
      <c r="C38" s="73">
        <f>'[1]cálculos teóricos'!K276</f>
        <v>1.018851262835645</v>
      </c>
      <c r="D38" s="58">
        <f t="shared" si="4"/>
        <v>360.56438090125806</v>
      </c>
      <c r="E38" s="59">
        <f t="shared" si="5"/>
        <v>15.096109499573872</v>
      </c>
      <c r="F38" s="60">
        <f t="shared" si="6"/>
        <v>19.199219354467342</v>
      </c>
      <c r="G38" s="61">
        <f>'[1]cálculos teóricos'!T276</f>
        <v>35.331837745441064</v>
      </c>
      <c r="H38" s="74">
        <f t="shared" si="7"/>
        <v>54.339713356531121</v>
      </c>
      <c r="I38" s="78"/>
      <c r="J38" s="80"/>
      <c r="K38" s="80"/>
      <c r="L38" s="80">
        <v>0.1</v>
      </c>
      <c r="M38" s="80">
        <v>0.8</v>
      </c>
      <c r="N38" s="80">
        <v>0.6</v>
      </c>
      <c r="O38" s="77">
        <v>1</v>
      </c>
      <c r="P38" s="81">
        <v>1</v>
      </c>
      <c r="Q38" s="80">
        <v>1</v>
      </c>
      <c r="R38" s="80">
        <v>1</v>
      </c>
      <c r="S38" s="80">
        <v>0.1</v>
      </c>
      <c r="T38" s="80"/>
      <c r="U38" s="80"/>
      <c r="V38" s="208"/>
      <c r="W38" s="118">
        <f t="shared" si="0"/>
        <v>2.5</v>
      </c>
      <c r="X38" s="118">
        <f t="shared" si="2"/>
        <v>3.1</v>
      </c>
      <c r="Y38" s="69">
        <f t="shared" si="8"/>
        <v>5.6</v>
      </c>
      <c r="Z38" s="70">
        <f>'[1]cálculos teóricos'!I276</f>
        <v>12.144741671843036</v>
      </c>
      <c r="AA38" s="71">
        <f t="shared" si="3"/>
        <v>46.110490871809276</v>
      </c>
      <c r="AB38" s="3"/>
    </row>
    <row r="39" spans="1:28" ht="18" customHeight="1" thickBot="1">
      <c r="A39" s="86"/>
      <c r="B39" s="87"/>
      <c r="C39" s="88"/>
      <c r="D39" s="89"/>
      <c r="E39" s="123"/>
      <c r="F39" s="91"/>
      <c r="G39" s="92"/>
      <c r="H39" s="93"/>
      <c r="I39" s="94"/>
      <c r="J39" s="80"/>
      <c r="K39" s="80"/>
      <c r="L39" s="80"/>
      <c r="M39" s="80"/>
      <c r="N39" s="80"/>
      <c r="O39" s="95"/>
      <c r="P39" s="81"/>
      <c r="Q39" s="80"/>
      <c r="R39" s="80"/>
      <c r="S39" s="80"/>
      <c r="T39" s="80"/>
      <c r="U39" s="80"/>
      <c r="V39" s="208"/>
      <c r="W39" s="118"/>
      <c r="X39" s="89"/>
      <c r="Y39" s="209"/>
      <c r="Z39" s="173"/>
      <c r="AA39" s="125"/>
      <c r="AB39" s="3"/>
    </row>
    <row r="40" spans="1:28" s="107" customFormat="1" ht="15.75" thickTop="1">
      <c r="A40" s="102"/>
      <c r="B40" s="102"/>
      <c r="C40" s="102"/>
      <c r="D40" s="102"/>
      <c r="E40" s="102"/>
      <c r="F40" s="102"/>
      <c r="G40" s="102"/>
      <c r="H40" s="102"/>
      <c r="I40" s="126">
        <f>SUM(I9:I39)</f>
        <v>0</v>
      </c>
      <c r="J40" s="105">
        <f t="shared" ref="J40:AA40" si="9">SUM(J9:J39)</f>
        <v>2.2000000000000002</v>
      </c>
      <c r="K40" s="105">
        <f t="shared" si="9"/>
        <v>12.700000000000001</v>
      </c>
      <c r="L40" s="105">
        <f t="shared" si="9"/>
        <v>16.099999999999998</v>
      </c>
      <c r="M40" s="105">
        <f t="shared" si="9"/>
        <v>18.600000000000001</v>
      </c>
      <c r="N40" s="105">
        <f t="shared" si="9"/>
        <v>20.6</v>
      </c>
      <c r="O40" s="105">
        <f t="shared" si="9"/>
        <v>22.1</v>
      </c>
      <c r="P40" s="105">
        <f t="shared" si="9"/>
        <v>22.999999999999996</v>
      </c>
      <c r="Q40" s="105">
        <f t="shared" si="9"/>
        <v>21</v>
      </c>
      <c r="R40" s="105">
        <f t="shared" si="9"/>
        <v>19.100000000000001</v>
      </c>
      <c r="S40" s="105">
        <f t="shared" si="9"/>
        <v>16.900000000000002</v>
      </c>
      <c r="T40" s="105">
        <f t="shared" si="9"/>
        <v>9.8000000000000007</v>
      </c>
      <c r="U40" s="105">
        <f t="shared" si="9"/>
        <v>1.2</v>
      </c>
      <c r="V40" s="105">
        <f t="shared" si="9"/>
        <v>0</v>
      </c>
      <c r="W40" s="105">
        <f t="shared" si="9"/>
        <v>92.300000000000011</v>
      </c>
      <c r="X40" s="105">
        <f t="shared" si="9"/>
        <v>91</v>
      </c>
      <c r="Y40" s="105">
        <f t="shared" si="9"/>
        <v>183.29999999999998</v>
      </c>
      <c r="Z40" s="105">
        <f t="shared" si="9"/>
        <v>354.51886153317855</v>
      </c>
      <c r="AA40" s="105">
        <f t="shared" si="9"/>
        <v>1553.3636848082372</v>
      </c>
      <c r="AB40" s="102"/>
    </row>
    <row r="41" spans="1:28" s="107" customFormat="1" ht="15">
      <c r="A41" s="102"/>
      <c r="B41" s="102" t="s">
        <v>50</v>
      </c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</row>
    <row r="42" spans="1:28" s="107" customFormat="1" ht="1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</row>
    <row r="43" spans="1:28" s="107" customFormat="1" ht="15">
      <c r="A43" s="102"/>
      <c r="B43" s="102" t="s">
        <v>51</v>
      </c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</row>
    <row r="44" spans="1:28" s="107" customFormat="1" ht="15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</row>
    <row r="45" spans="1:28" s="107" customFormat="1" ht="15">
      <c r="A45" s="102"/>
      <c r="B45" s="102" t="s">
        <v>52</v>
      </c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</row>
    <row r="46" spans="1:28" s="107" customFormat="1" ht="1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</row>
    <row r="47" spans="1:28" s="107" customFormat="1" ht="15">
      <c r="A47" s="102"/>
      <c r="B47" s="102" t="s">
        <v>53</v>
      </c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</row>
    <row r="48" spans="1:28" s="107" customFormat="1" ht="15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</row>
    <row r="49" spans="1:28" s="107" customFormat="1" ht="15">
      <c r="A49" s="102"/>
      <c r="B49" s="102" t="s">
        <v>54</v>
      </c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2" t="s">
        <v>55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2" t="s">
        <v>56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7" t="s">
        <v>57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55"/>
  <sheetViews>
    <sheetView topLeftCell="A4" zoomScale="75" zoomScaleNormal="75" workbookViewId="0">
      <selection activeCell="A8" sqref="A8"/>
    </sheetView>
  </sheetViews>
  <sheetFormatPr defaultColWidth="11.42578125" defaultRowHeight="12.75"/>
  <cols>
    <col min="1" max="1" width="8.7109375" style="7" customWidth="1"/>
    <col min="2" max="2" width="12.7109375" style="7" customWidth="1"/>
    <col min="3" max="3" width="13.42578125" style="7" customWidth="1"/>
    <col min="4" max="8" width="12.7109375" style="7" customWidth="1"/>
    <col min="9" max="25" width="8.7109375" style="7" customWidth="1"/>
    <col min="26" max="27" width="12.7109375" style="7" customWidth="1"/>
    <col min="28" max="16384" width="11.42578125" style="7"/>
  </cols>
  <sheetData>
    <row r="1" spans="1:28" ht="18" customHeight="1">
      <c r="A1" s="1" t="s">
        <v>86</v>
      </c>
      <c r="B1" s="2"/>
      <c r="C1" s="3"/>
      <c r="D1" s="4"/>
      <c r="E1" s="3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6"/>
      <c r="Y1" s="6"/>
      <c r="Z1" s="6"/>
      <c r="AA1" s="6"/>
      <c r="AB1" s="3"/>
    </row>
    <row r="2" spans="1:28" ht="18" customHeight="1">
      <c r="A2" s="3"/>
      <c r="B2" s="8" t="s">
        <v>87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8" t="s">
        <v>87</v>
      </c>
      <c r="X2" s="3"/>
      <c r="Y2" s="3"/>
      <c r="Z2" s="3"/>
      <c r="AA2" s="3"/>
      <c r="AB2" s="3"/>
    </row>
    <row r="3" spans="1:28" ht="18" customHeight="1">
      <c r="A3" s="3"/>
      <c r="B3" s="8" t="s">
        <v>84</v>
      </c>
      <c r="C3" s="3"/>
      <c r="D3" s="3"/>
      <c r="E3" s="3"/>
      <c r="F3" s="3"/>
      <c r="G3" s="4" t="s">
        <v>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8" t="s">
        <v>84</v>
      </c>
      <c r="X3" s="3"/>
      <c r="Y3" s="3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9"/>
      <c r="X4" s="3"/>
      <c r="Y4" s="110"/>
      <c r="Z4" s="3"/>
      <c r="AA4" s="3"/>
      <c r="AB4" s="3"/>
    </row>
    <row r="5" spans="1:28" ht="18" customHeight="1" thickTop="1" thickBot="1">
      <c r="A5" s="10" t="s">
        <v>7</v>
      </c>
      <c r="B5" s="11"/>
      <c r="C5" s="12" t="s">
        <v>8</v>
      </c>
      <c r="D5" s="13"/>
      <c r="E5" s="14"/>
      <c r="F5" s="13"/>
      <c r="G5" s="13"/>
      <c r="H5" s="15"/>
      <c r="I5" s="16" t="s">
        <v>9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2"/>
      <c r="Y5" s="17"/>
      <c r="Z5" s="14"/>
      <c r="AA5" s="18"/>
      <c r="AB5" s="3"/>
    </row>
    <row r="6" spans="1:28" ht="18" customHeight="1">
      <c r="A6" s="19"/>
      <c r="B6" s="20" t="s">
        <v>10</v>
      </c>
      <c r="C6" s="21" t="s">
        <v>11</v>
      </c>
      <c r="D6" s="22" t="s">
        <v>12</v>
      </c>
      <c r="E6" s="21" t="s">
        <v>12</v>
      </c>
      <c r="F6" s="23" t="s">
        <v>13</v>
      </c>
      <c r="G6" s="23" t="s">
        <v>14</v>
      </c>
      <c r="H6" s="23" t="s">
        <v>15</v>
      </c>
      <c r="I6" s="24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6"/>
      <c r="V6" s="27"/>
      <c r="W6" s="28"/>
      <c r="X6" s="29"/>
      <c r="Y6" s="30"/>
      <c r="Z6" s="31" t="s">
        <v>16</v>
      </c>
      <c r="AA6" s="32" t="s">
        <v>17</v>
      </c>
      <c r="AB6" s="3"/>
    </row>
    <row r="7" spans="1:28" ht="18" customHeight="1" thickBot="1">
      <c r="A7" s="33"/>
      <c r="B7" s="34" t="s">
        <v>18</v>
      </c>
      <c r="C7" s="35" t="s">
        <v>19</v>
      </c>
      <c r="D7" s="22" t="s">
        <v>20</v>
      </c>
      <c r="E7" s="23" t="s">
        <v>20</v>
      </c>
      <c r="F7" s="23" t="s">
        <v>21</v>
      </c>
      <c r="G7" s="23" t="s">
        <v>22</v>
      </c>
      <c r="H7" s="23" t="s">
        <v>23</v>
      </c>
      <c r="I7" s="36" t="s">
        <v>24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7"/>
      <c r="W7" s="38"/>
      <c r="X7" s="39" t="s">
        <v>25</v>
      </c>
      <c r="Y7" s="40"/>
      <c r="Z7" s="41" t="s">
        <v>26</v>
      </c>
      <c r="AA7" s="42" t="s">
        <v>27</v>
      </c>
      <c r="AB7" s="3"/>
    </row>
    <row r="8" spans="1:28" ht="18" customHeight="1" thickBot="1">
      <c r="A8" s="43"/>
      <c r="B8" s="44" t="s">
        <v>28</v>
      </c>
      <c r="C8" s="45" t="s">
        <v>29</v>
      </c>
      <c r="D8" s="45" t="s">
        <v>30</v>
      </c>
      <c r="E8" s="46" t="s">
        <v>31</v>
      </c>
      <c r="F8" s="46" t="s">
        <v>31</v>
      </c>
      <c r="G8" s="45" t="s">
        <v>31</v>
      </c>
      <c r="H8" s="23" t="s">
        <v>32</v>
      </c>
      <c r="I8" s="47" t="s">
        <v>33</v>
      </c>
      <c r="J8" s="48" t="s">
        <v>34</v>
      </c>
      <c r="K8" s="48" t="s">
        <v>35</v>
      </c>
      <c r="L8" s="48" t="s">
        <v>36</v>
      </c>
      <c r="M8" s="48" t="s">
        <v>37</v>
      </c>
      <c r="N8" s="48" t="s">
        <v>38</v>
      </c>
      <c r="O8" s="111" t="s">
        <v>39</v>
      </c>
      <c r="P8" s="48" t="s">
        <v>40</v>
      </c>
      <c r="Q8" s="48" t="s">
        <v>41</v>
      </c>
      <c r="R8" s="48" t="s">
        <v>42</v>
      </c>
      <c r="S8" s="48" t="s">
        <v>43</v>
      </c>
      <c r="T8" s="48" t="s">
        <v>44</v>
      </c>
      <c r="U8" s="48" t="s">
        <v>45</v>
      </c>
      <c r="V8" s="50" t="s">
        <v>46</v>
      </c>
      <c r="W8" s="53" t="s">
        <v>47</v>
      </c>
      <c r="X8" s="111" t="s">
        <v>48</v>
      </c>
      <c r="Y8" s="52" t="s">
        <v>49</v>
      </c>
      <c r="Z8" s="53" t="s">
        <v>49</v>
      </c>
      <c r="AA8" s="54" t="s">
        <v>49</v>
      </c>
      <c r="AB8" s="3"/>
    </row>
    <row r="9" spans="1:28" ht="18" customHeight="1">
      <c r="A9" s="112">
        <v>1</v>
      </c>
      <c r="B9" s="56">
        <v>11.2</v>
      </c>
      <c r="C9" s="73">
        <f>'[1]cálculos teóricos'!K277</f>
        <v>1.01957237182362</v>
      </c>
      <c r="D9" s="58">
        <f>IF(B9&gt;0,B9*C9*14.25*1.022,-999)</f>
        <v>166.30367305499686</v>
      </c>
      <c r="E9" s="59">
        <f>IF(B9&gt;0,D9*4.1868/100,-999)</f>
        <v>6.9628021834666081</v>
      </c>
      <c r="F9" s="60">
        <f>IF(B9&gt;0,(7.86+1.25*D9)*4.1868/100,-999)</f>
        <v>9.032585209333261</v>
      </c>
      <c r="G9" s="61">
        <f>'[1]cálculos teóricos'!T277</f>
        <v>35.503995314044545</v>
      </c>
      <c r="H9" s="62">
        <f>IF(B9&gt;0,100*F9/G9,-999)</f>
        <v>25.441038760390391</v>
      </c>
      <c r="I9" s="63"/>
      <c r="J9" s="63"/>
      <c r="K9" s="63"/>
      <c r="L9" s="63">
        <v>0.5</v>
      </c>
      <c r="M9" s="63">
        <v>0.8</v>
      </c>
      <c r="N9" s="63">
        <v>0.2</v>
      </c>
      <c r="O9" s="64"/>
      <c r="P9" s="78"/>
      <c r="Q9" s="75"/>
      <c r="R9" s="75"/>
      <c r="S9" s="75"/>
      <c r="T9" s="81"/>
      <c r="U9" s="63"/>
      <c r="V9" s="64"/>
      <c r="W9" s="118">
        <f>SUM(I9:O9)</f>
        <v>1.5</v>
      </c>
      <c r="X9" s="118">
        <f>SUM(P9:V9)</f>
        <v>0</v>
      </c>
      <c r="Y9" s="119">
        <f>W9+X9</f>
        <v>1.5</v>
      </c>
      <c r="Z9" s="70">
        <f>'[1]cálculos teóricos'!I277</f>
        <v>12.167500069639472</v>
      </c>
      <c r="AA9" s="71">
        <f>100*Y9/Z9</f>
        <v>12.327922674459829</v>
      </c>
      <c r="AB9" s="3"/>
    </row>
    <row r="10" spans="1:28" ht="18" customHeight="1">
      <c r="A10" s="112">
        <v>2</v>
      </c>
      <c r="B10" s="56">
        <v>16.8</v>
      </c>
      <c r="C10" s="73">
        <f>'[1]cálculos teóricos'!K278</f>
        <v>1.020282714447148</v>
      </c>
      <c r="D10" s="58">
        <f>IF(B10&gt;0,B10*C10*14.25*1.022,-999)</f>
        <v>249.6293068390975</v>
      </c>
      <c r="E10" s="59">
        <f>IF(B10&gt;0,D10*4.1868/100,-999)</f>
        <v>10.451479818739333</v>
      </c>
      <c r="F10" s="60">
        <f>IF(B10&gt;0,(7.86+1.25*D10)*4.1868/100,-999)</f>
        <v>13.393432253424166</v>
      </c>
      <c r="G10" s="61">
        <f>'[1]cálculos teóricos'!T278</f>
        <v>35.67488085200516</v>
      </c>
      <c r="H10" s="74">
        <f>IF(B10&gt;0,100*F10/G10,-999)</f>
        <v>37.543032894730381</v>
      </c>
      <c r="I10" s="56"/>
      <c r="J10" s="75"/>
      <c r="K10" s="75"/>
      <c r="L10" s="75">
        <v>0.1</v>
      </c>
      <c r="M10" s="75"/>
      <c r="N10" s="75"/>
      <c r="O10" s="76">
        <v>1</v>
      </c>
      <c r="P10" s="78">
        <v>0.1</v>
      </c>
      <c r="Q10" s="75">
        <v>0.5</v>
      </c>
      <c r="R10" s="75"/>
      <c r="S10" s="75"/>
      <c r="T10" s="81"/>
      <c r="U10" s="81"/>
      <c r="V10" s="77"/>
      <c r="W10" s="118">
        <f t="shared" ref="W10:W39" si="0">SUM(I10:O10)</f>
        <v>1.1000000000000001</v>
      </c>
      <c r="X10" s="118">
        <f t="shared" ref="X10:X39" si="1">SUM(P10:V10)</f>
        <v>0.6</v>
      </c>
      <c r="Y10" s="69">
        <f t="shared" ref="Y10:Y29" si="2">W10+X10</f>
        <v>1.7000000000000002</v>
      </c>
      <c r="Z10" s="70">
        <f>'[1]cálculos teóricos'!I278</f>
        <v>12.190249946048064</v>
      </c>
      <c r="AA10" s="71">
        <f t="shared" ref="AA10:AA39" si="3">100*Y10/Z10</f>
        <v>13.945571317437345</v>
      </c>
      <c r="AB10" s="3"/>
    </row>
    <row r="11" spans="1:28" ht="18" customHeight="1">
      <c r="A11" s="112">
        <v>3</v>
      </c>
      <c r="B11" s="210">
        <v>-99</v>
      </c>
      <c r="C11" s="73">
        <f>'[1]cálculos teóricos'!K279</f>
        <v>1.0209821495023679</v>
      </c>
      <c r="D11" s="58">
        <f t="shared" ref="D11:D39" si="4">IF(B11&gt;0,B11*C11*14.25*1.022,-999)</f>
        <v>-999</v>
      </c>
      <c r="E11" s="59">
        <f t="shared" ref="E11:E39" si="5">IF(B11&gt;0,D11*4.1868/100,-999)</f>
        <v>-999</v>
      </c>
      <c r="F11" s="60">
        <f t="shared" ref="F11:F39" si="6">IF(B11&gt;0,(7.86+1.25*D11)*4.1868/100,-999)</f>
        <v>-999</v>
      </c>
      <c r="G11" s="61">
        <f>'[1]cálculos teóricos'!T279</f>
        <v>35.84444692712988</v>
      </c>
      <c r="H11" s="74">
        <f t="shared" ref="H11:H39" si="7">IF(B11&gt;0,100*F11/G11,-999)</f>
        <v>-999</v>
      </c>
      <c r="I11" s="56"/>
      <c r="J11" s="75">
        <v>0.1</v>
      </c>
      <c r="K11" s="75">
        <v>0.4</v>
      </c>
      <c r="L11" s="75">
        <v>0.8</v>
      </c>
      <c r="M11" s="75">
        <v>1</v>
      </c>
      <c r="N11" s="75">
        <v>0.8</v>
      </c>
      <c r="O11" s="76">
        <v>0.2</v>
      </c>
      <c r="P11" s="78"/>
      <c r="Q11" s="75"/>
      <c r="R11" s="75"/>
      <c r="S11" s="75">
        <v>0.1</v>
      </c>
      <c r="T11" s="81"/>
      <c r="U11" s="81"/>
      <c r="V11" s="77"/>
      <c r="W11" s="118">
        <f t="shared" si="0"/>
        <v>3.3</v>
      </c>
      <c r="X11" s="118">
        <f t="shared" si="1"/>
        <v>0.1</v>
      </c>
      <c r="Y11" s="69">
        <f t="shared" si="2"/>
        <v>3.4</v>
      </c>
      <c r="Z11" s="70">
        <f>'[1]cálculos teóricos'!I279</f>
        <v>12.212987834048798</v>
      </c>
      <c r="AA11" s="71">
        <f t="shared" si="3"/>
        <v>27.839215482726363</v>
      </c>
      <c r="AB11" s="3"/>
    </row>
    <row r="12" spans="1:28" ht="18" customHeight="1">
      <c r="A12" s="112">
        <v>4</v>
      </c>
      <c r="B12" s="210">
        <v>-99</v>
      </c>
      <c r="C12" s="73">
        <f>'[1]cálculos teóricos'!K280</f>
        <v>1.0216705443120255</v>
      </c>
      <c r="D12" s="58">
        <f t="shared" si="4"/>
        <v>-999</v>
      </c>
      <c r="E12" s="59">
        <f t="shared" si="5"/>
        <v>-999</v>
      </c>
      <c r="F12" s="60">
        <f t="shared" si="6"/>
        <v>-999</v>
      </c>
      <c r="G12" s="61">
        <f>'[1]cálculos teóricos'!T280</f>
        <v>36.012647053054536</v>
      </c>
      <c r="H12" s="74">
        <f t="shared" si="7"/>
        <v>-999</v>
      </c>
      <c r="I12" s="56"/>
      <c r="J12" s="75"/>
      <c r="K12" s="75"/>
      <c r="L12" s="75"/>
      <c r="M12" s="75">
        <v>0.3</v>
      </c>
      <c r="N12" s="75">
        <v>0.8</v>
      </c>
      <c r="O12" s="76">
        <v>0.5</v>
      </c>
      <c r="P12" s="78"/>
      <c r="Q12" s="78"/>
      <c r="R12" s="75"/>
      <c r="S12" s="75"/>
      <c r="T12" s="81"/>
      <c r="U12" s="81"/>
      <c r="V12" s="77"/>
      <c r="W12" s="118">
        <f t="shared" si="0"/>
        <v>1.6</v>
      </c>
      <c r="X12" s="118">
        <f t="shared" si="1"/>
        <v>0</v>
      </c>
      <c r="Y12" s="69">
        <f t="shared" si="2"/>
        <v>1.6</v>
      </c>
      <c r="Z12" s="70">
        <f>'[1]cálculos teóricos'!I280</f>
        <v>12.235710189687937</v>
      </c>
      <c r="AA12" s="71">
        <f t="shared" si="3"/>
        <v>13.076478399663753</v>
      </c>
      <c r="AB12" s="3"/>
    </row>
    <row r="13" spans="1:28" ht="18" customHeight="1">
      <c r="A13" s="72">
        <v>5</v>
      </c>
      <c r="B13" s="56">
        <v>7.2</v>
      </c>
      <c r="C13" s="73">
        <f>'[1]cálculos teóricos'!K281</f>
        <v>1.0223477747586711</v>
      </c>
      <c r="D13" s="58">
        <f t="shared" si="4"/>
        <v>107.20052508742494</v>
      </c>
      <c r="E13" s="59">
        <f t="shared" si="5"/>
        <v>4.4882715843603069</v>
      </c>
      <c r="F13" s="60">
        <f t="shared" si="6"/>
        <v>5.9394219604503853</v>
      </c>
      <c r="G13" s="61">
        <f>'[1]cálculos teóricos'!T281</f>
        <v>36.179435712867594</v>
      </c>
      <c r="H13" s="74">
        <f t="shared" si="7"/>
        <v>16.416568814360936</v>
      </c>
      <c r="I13" s="56"/>
      <c r="J13" s="75"/>
      <c r="K13" s="75"/>
      <c r="L13" s="75"/>
      <c r="M13" s="75"/>
      <c r="N13" s="75"/>
      <c r="O13" s="76"/>
      <c r="P13" s="78"/>
      <c r="Q13" s="78"/>
      <c r="R13" s="75"/>
      <c r="S13" s="75"/>
      <c r="T13" s="81"/>
      <c r="U13" s="81"/>
      <c r="V13" s="77"/>
      <c r="W13" s="118">
        <f t="shared" si="0"/>
        <v>0</v>
      </c>
      <c r="X13" s="118">
        <f t="shared" si="1"/>
        <v>0</v>
      </c>
      <c r="Y13" s="69">
        <f t="shared" si="2"/>
        <v>0</v>
      </c>
      <c r="Z13" s="70">
        <f>'[1]cálculos teóricos'!I281</f>
        <v>12.25841338597343</v>
      </c>
      <c r="AA13" s="71">
        <f t="shared" si="3"/>
        <v>0</v>
      </c>
      <c r="AB13" s="3"/>
    </row>
    <row r="14" spans="1:28" ht="18" customHeight="1">
      <c r="A14" s="72">
        <v>6</v>
      </c>
      <c r="B14" s="56">
        <v>29.4</v>
      </c>
      <c r="C14" s="73">
        <f>'[1]cálculos teóricos'!K282</f>
        <v>1.0230137253176346</v>
      </c>
      <c r="D14" s="58">
        <f t="shared" si="4"/>
        <v>438.0206154267031</v>
      </c>
      <c r="E14" s="59">
        <f t="shared" si="5"/>
        <v>18.339047126685205</v>
      </c>
      <c r="F14" s="60">
        <f t="shared" si="6"/>
        <v>23.252891388356506</v>
      </c>
      <c r="G14" s="61">
        <f>'[1]cálculos teóricos'!T282</f>
        <v>36.344768382870527</v>
      </c>
      <c r="H14" s="74">
        <f t="shared" si="7"/>
        <v>63.978647885167739</v>
      </c>
      <c r="I14" s="56"/>
      <c r="J14" s="75"/>
      <c r="K14" s="75">
        <v>0.2</v>
      </c>
      <c r="L14" s="75">
        <v>0.9</v>
      </c>
      <c r="M14" s="75">
        <v>1</v>
      </c>
      <c r="N14" s="75">
        <v>1</v>
      </c>
      <c r="O14" s="76">
        <v>1</v>
      </c>
      <c r="P14" s="78">
        <v>1</v>
      </c>
      <c r="Q14" s="81">
        <v>1</v>
      </c>
      <c r="R14" s="81">
        <v>1</v>
      </c>
      <c r="S14" s="81">
        <v>0.5</v>
      </c>
      <c r="T14" s="81"/>
      <c r="U14" s="81"/>
      <c r="V14" s="77"/>
      <c r="W14" s="118">
        <f t="shared" si="0"/>
        <v>4.0999999999999996</v>
      </c>
      <c r="X14" s="118">
        <f t="shared" si="1"/>
        <v>3.5</v>
      </c>
      <c r="Y14" s="69">
        <f t="shared" si="2"/>
        <v>7.6</v>
      </c>
      <c r="Z14" s="70">
        <f>'[1]cálculos teóricos'!I282</f>
        <v>12.281093706839203</v>
      </c>
      <c r="AA14" s="71">
        <f t="shared" si="3"/>
        <v>61.883739196352238</v>
      </c>
      <c r="AB14" s="3"/>
    </row>
    <row r="15" spans="1:28" ht="18" customHeight="1">
      <c r="A15" s="72">
        <v>7</v>
      </c>
      <c r="B15" s="56">
        <v>6.8</v>
      </c>
      <c r="C15" s="73">
        <f>'[1]cálculos teóricos'!K283</f>
        <v>1.0236682890893776</v>
      </c>
      <c r="D15" s="58">
        <f t="shared" si="4"/>
        <v>101.37571327144143</v>
      </c>
      <c r="E15" s="59">
        <f t="shared" si="5"/>
        <v>4.2443983632487097</v>
      </c>
      <c r="F15" s="60">
        <f t="shared" si="6"/>
        <v>5.6345804340608865</v>
      </c>
      <c r="G15" s="61">
        <f>'[1]cálculos teóricos'!T283</f>
        <v>36.508601556402283</v>
      </c>
      <c r="H15" s="74">
        <f t="shared" si="7"/>
        <v>15.433569607852553</v>
      </c>
      <c r="I15" s="56"/>
      <c r="J15" s="75"/>
      <c r="K15" s="75"/>
      <c r="L15" s="75"/>
      <c r="M15" s="75"/>
      <c r="N15" s="75"/>
      <c r="O15" s="76"/>
      <c r="P15" s="78"/>
      <c r="Q15" s="81"/>
      <c r="R15" s="81"/>
      <c r="S15" s="81"/>
      <c r="T15" s="81"/>
      <c r="U15" s="81"/>
      <c r="V15" s="77"/>
      <c r="W15" s="118">
        <f t="shared" si="0"/>
        <v>0</v>
      </c>
      <c r="X15" s="118">
        <f t="shared" si="1"/>
        <v>0</v>
      </c>
      <c r="Y15" s="69">
        <f t="shared" si="2"/>
        <v>0</v>
      </c>
      <c r="Z15" s="70">
        <f>'[1]cálculos teóricos'!I283</f>
        <v>12.303747341188917</v>
      </c>
      <c r="AA15" s="71">
        <f t="shared" si="3"/>
        <v>0</v>
      </c>
      <c r="AB15" s="3"/>
    </row>
    <row r="16" spans="1:28" ht="18" customHeight="1">
      <c r="A16" s="79">
        <v>8</v>
      </c>
      <c r="B16" s="75">
        <v>27.6</v>
      </c>
      <c r="C16" s="73">
        <f>'[1]cálculos teóricos'!K284</f>
        <v>1.0243113678307814</v>
      </c>
      <c r="D16" s="58">
        <f t="shared" si="4"/>
        <v>411.72461750913897</v>
      </c>
      <c r="E16" s="59">
        <f t="shared" si="5"/>
        <v>17.23808628587263</v>
      </c>
      <c r="F16" s="60">
        <f t="shared" si="6"/>
        <v>21.876690337340786</v>
      </c>
      <c r="G16" s="61">
        <f>'[1]cálculos teóricos'!T284</f>
        <v>36.670892767648695</v>
      </c>
      <c r="H16" s="74">
        <f t="shared" si="7"/>
        <v>59.65682503546941</v>
      </c>
      <c r="I16" s="78"/>
      <c r="J16" s="80"/>
      <c r="K16" s="80"/>
      <c r="L16" s="80">
        <v>0.1</v>
      </c>
      <c r="M16" s="80">
        <v>0.2</v>
      </c>
      <c r="N16" s="80">
        <v>0.9</v>
      </c>
      <c r="O16" s="76">
        <v>0.9</v>
      </c>
      <c r="P16" s="81">
        <v>1</v>
      </c>
      <c r="Q16" s="81">
        <v>1</v>
      </c>
      <c r="R16" s="80">
        <v>1</v>
      </c>
      <c r="S16" s="80">
        <v>0.9</v>
      </c>
      <c r="T16" s="80"/>
      <c r="U16" s="80"/>
      <c r="V16" s="77"/>
      <c r="W16" s="118">
        <f t="shared" si="0"/>
        <v>2.1</v>
      </c>
      <c r="X16" s="118">
        <f t="shared" si="1"/>
        <v>3.9</v>
      </c>
      <c r="Y16" s="69">
        <f t="shared" si="2"/>
        <v>6</v>
      </c>
      <c r="Z16" s="70">
        <f>'[1]cálculos teóricos'!I284</f>
        <v>12.326370377030226</v>
      </c>
      <c r="AA16" s="71">
        <f t="shared" si="3"/>
        <v>48.676129440186195</v>
      </c>
      <c r="AB16" s="3"/>
    </row>
    <row r="17" spans="1:28" ht="18" customHeight="1">
      <c r="A17" s="79">
        <v>9</v>
      </c>
      <c r="B17" s="75">
        <v>8.6</v>
      </c>
      <c r="C17" s="73">
        <f>'[1]cálculos teóricos'!K285</f>
        <v>1.0249428719848979</v>
      </c>
      <c r="D17" s="58">
        <f t="shared" si="4"/>
        <v>128.37009743890769</v>
      </c>
      <c r="E17" s="59">
        <f t="shared" si="5"/>
        <v>5.3745992395721878</v>
      </c>
      <c r="F17" s="60">
        <f t="shared" si="6"/>
        <v>7.0473315294652341</v>
      </c>
      <c r="G17" s="61">
        <f>'[1]cálculos teóricos'!T285</f>
        <v>36.831600615350567</v>
      </c>
      <c r="H17" s="74">
        <f t="shared" si="7"/>
        <v>19.133926877258947</v>
      </c>
      <c r="I17" s="78"/>
      <c r="J17" s="80"/>
      <c r="K17" s="80"/>
      <c r="L17" s="80"/>
      <c r="M17" s="80"/>
      <c r="N17" s="80"/>
      <c r="O17" s="76"/>
      <c r="P17" s="81"/>
      <c r="Q17" s="81"/>
      <c r="R17" s="80"/>
      <c r="S17" s="80"/>
      <c r="T17" s="80"/>
      <c r="U17" s="80"/>
      <c r="V17" s="77"/>
      <c r="W17" s="118">
        <f t="shared" si="0"/>
        <v>0</v>
      </c>
      <c r="X17" s="118">
        <f t="shared" si="1"/>
        <v>0</v>
      </c>
      <c r="Y17" s="69">
        <f t="shared" si="2"/>
        <v>0</v>
      </c>
      <c r="Z17" s="70">
        <f>'[1]cálculos teóricos'!I285</f>
        <v>12.348958795711455</v>
      </c>
      <c r="AA17" s="71">
        <f t="shared" si="3"/>
        <v>0</v>
      </c>
      <c r="AB17" s="3"/>
    </row>
    <row r="18" spans="1:28" ht="18" customHeight="1">
      <c r="A18" s="79">
        <v>10</v>
      </c>
      <c r="B18" s="75">
        <v>8.1999999999999993</v>
      </c>
      <c r="C18" s="73">
        <f>'[1]cálculos teóricos'!K286</f>
        <v>1.025562720708646</v>
      </c>
      <c r="D18" s="58">
        <f t="shared" si="4"/>
        <v>122.47341800093101</v>
      </c>
      <c r="E18" s="59">
        <f t="shared" si="5"/>
        <v>5.1277170648629795</v>
      </c>
      <c r="F18" s="60">
        <f t="shared" si="6"/>
        <v>6.7387288110787242</v>
      </c>
      <c r="G18" s="61">
        <f>'[1]cálculos teóricos'!T286</f>
        <v>36.990684786317473</v>
      </c>
      <c r="H18" s="74">
        <f t="shared" si="7"/>
        <v>18.217367020929878</v>
      </c>
      <c r="I18" s="78"/>
      <c r="J18" s="80"/>
      <c r="K18" s="80"/>
      <c r="L18" s="80"/>
      <c r="M18" s="80"/>
      <c r="N18" s="80"/>
      <c r="O18" s="76"/>
      <c r="P18" s="78"/>
      <c r="Q18" s="81"/>
      <c r="R18" s="80"/>
      <c r="S18" s="80"/>
      <c r="T18" s="80"/>
      <c r="U18" s="80"/>
      <c r="V18" s="77"/>
      <c r="W18" s="118">
        <f t="shared" si="0"/>
        <v>0</v>
      </c>
      <c r="X18" s="118">
        <f t="shared" si="1"/>
        <v>0</v>
      </c>
      <c r="Y18" s="69">
        <f t="shared" si="2"/>
        <v>0</v>
      </c>
      <c r="Z18" s="70">
        <f>'[1]cálculos teóricos'!I286</f>
        <v>12.371508466272868</v>
      </c>
      <c r="AA18" s="71">
        <f t="shared" si="3"/>
        <v>0</v>
      </c>
      <c r="AB18" s="3"/>
    </row>
    <row r="19" spans="1:28" ht="18" customHeight="1">
      <c r="A19" s="79">
        <v>11</v>
      </c>
      <c r="B19" s="75">
        <v>8.4</v>
      </c>
      <c r="C19" s="73">
        <f>'[1]cálculos teóricos'!K287</f>
        <v>1.0261708418979132</v>
      </c>
      <c r="D19" s="58">
        <f t="shared" si="4"/>
        <v>125.53496807023419</v>
      </c>
      <c r="E19" s="59">
        <f t="shared" si="5"/>
        <v>5.2558980431645645</v>
      </c>
      <c r="F19" s="60">
        <f t="shared" si="6"/>
        <v>6.8989550339557066</v>
      </c>
      <c r="G19" s="61">
        <f>'[1]cálculos teóricos'!T287</f>
        <v>37.148106078648368</v>
      </c>
      <c r="H19" s="74">
        <f t="shared" si="7"/>
        <v>18.571485230901239</v>
      </c>
      <c r="I19" s="78"/>
      <c r="J19" s="80"/>
      <c r="K19" s="80"/>
      <c r="L19" s="80"/>
      <c r="M19" s="80"/>
      <c r="N19" s="80"/>
      <c r="O19" s="76"/>
      <c r="P19" s="81"/>
      <c r="Q19" s="80"/>
      <c r="R19" s="80"/>
      <c r="S19" s="80"/>
      <c r="T19" s="80"/>
      <c r="U19" s="80"/>
      <c r="V19" s="77"/>
      <c r="W19" s="118">
        <f t="shared" si="0"/>
        <v>0</v>
      </c>
      <c r="X19" s="118">
        <f t="shared" si="1"/>
        <v>0</v>
      </c>
      <c r="Y19" s="69">
        <f t="shared" si="2"/>
        <v>0</v>
      </c>
      <c r="Z19" s="70">
        <f>'[1]cálculos teóricos'!I287</f>
        <v>12.394015139925731</v>
      </c>
      <c r="AA19" s="71">
        <f t="shared" si="3"/>
        <v>0</v>
      </c>
      <c r="AB19" s="3"/>
    </row>
    <row r="20" spans="1:28" ht="18" customHeight="1">
      <c r="A20" s="79">
        <v>12</v>
      </c>
      <c r="B20" s="75">
        <v>23</v>
      </c>
      <c r="C20" s="73">
        <f>'[1]cálculos teóricos'!K288</f>
        <v>1.0267671722094867</v>
      </c>
      <c r="D20" s="58">
        <f t="shared" si="4"/>
        <v>343.92644538687574</v>
      </c>
      <c r="E20" s="59">
        <f t="shared" si="5"/>
        <v>14.399512415457714</v>
      </c>
      <c r="F20" s="60">
        <f t="shared" si="6"/>
        <v>18.328472999322141</v>
      </c>
      <c r="G20" s="61">
        <f>'[1]cálculos teóricos'!T288</f>
        <v>37.303826424554515</v>
      </c>
      <c r="H20" s="74">
        <f t="shared" si="7"/>
        <v>49.132957007482169</v>
      </c>
      <c r="I20" s="78"/>
      <c r="J20" s="80"/>
      <c r="K20" s="80"/>
      <c r="L20" s="80">
        <v>0.3</v>
      </c>
      <c r="M20" s="80">
        <v>0.5</v>
      </c>
      <c r="N20" s="80">
        <v>0.9</v>
      </c>
      <c r="O20" s="76">
        <v>1</v>
      </c>
      <c r="P20" s="81">
        <v>0.5</v>
      </c>
      <c r="Q20" s="80">
        <v>0.8</v>
      </c>
      <c r="R20" s="80">
        <v>0.4</v>
      </c>
      <c r="S20" s="80"/>
      <c r="T20" s="80">
        <v>0.1</v>
      </c>
      <c r="U20" s="80"/>
      <c r="V20" s="77"/>
      <c r="W20" s="118">
        <f t="shared" si="0"/>
        <v>2.7</v>
      </c>
      <c r="X20" s="118">
        <f t="shared" si="1"/>
        <v>1.8000000000000003</v>
      </c>
      <c r="Y20" s="69">
        <f t="shared" si="2"/>
        <v>4.5</v>
      </c>
      <c r="Z20" s="70">
        <f>'[1]cálculos teóricos'!I288</f>
        <v>12.416474444672822</v>
      </c>
      <c r="AA20" s="71">
        <f t="shared" si="3"/>
        <v>36.242171802082552</v>
      </c>
      <c r="AB20" s="3"/>
    </row>
    <row r="21" spans="1:28" ht="18" customHeight="1">
      <c r="A21" s="79">
        <v>13</v>
      </c>
      <c r="B21" s="75">
        <v>24</v>
      </c>
      <c r="C21" s="73">
        <f>'[1]cálculos teóricos'!K289</f>
        <v>1.0273516570792156</v>
      </c>
      <c r="D21" s="58">
        <f t="shared" si="4"/>
        <v>359.08406058895582</v>
      </c>
      <c r="E21" s="59">
        <f t="shared" si="5"/>
        <v>15.034131448738401</v>
      </c>
      <c r="F21" s="60">
        <f t="shared" si="6"/>
        <v>19.121746790923002</v>
      </c>
      <c r="G21" s="61">
        <f>'[1]cálculos teóricos'!T289</f>
        <v>37.457808912674437</v>
      </c>
      <c r="H21" s="74">
        <f t="shared" si="7"/>
        <v>51.048759513674753</v>
      </c>
      <c r="I21" s="78"/>
      <c r="J21" s="80"/>
      <c r="K21" s="80"/>
      <c r="L21" s="80"/>
      <c r="M21" s="80">
        <v>0.5</v>
      </c>
      <c r="N21" s="80">
        <v>1</v>
      </c>
      <c r="O21" s="76">
        <v>1</v>
      </c>
      <c r="P21" s="81">
        <v>0.8</v>
      </c>
      <c r="Q21" s="80">
        <v>1</v>
      </c>
      <c r="R21" s="80">
        <v>0.9</v>
      </c>
      <c r="S21" s="80">
        <v>0.4</v>
      </c>
      <c r="T21" s="80"/>
      <c r="U21" s="80"/>
      <c r="V21" s="77"/>
      <c r="W21" s="118">
        <f t="shared" si="0"/>
        <v>2.5</v>
      </c>
      <c r="X21" s="118">
        <f t="shared" si="1"/>
        <v>3.1</v>
      </c>
      <c r="Y21" s="69">
        <f t="shared" si="2"/>
        <v>5.6</v>
      </c>
      <c r="Z21" s="70">
        <f>'[1]cálculos teóricos'!I289</f>
        <v>12.438881880084809</v>
      </c>
      <c r="AA21" s="71">
        <f t="shared" si="3"/>
        <v>45.020123625145473</v>
      </c>
      <c r="AB21" s="3"/>
    </row>
    <row r="22" spans="1:28" ht="18" customHeight="1">
      <c r="A22" s="79">
        <v>14</v>
      </c>
      <c r="B22" s="75">
        <v>22.1</v>
      </c>
      <c r="C22" s="73">
        <f>'[1]cálculos teóricos'!K290</f>
        <v>1.0279242507357855</v>
      </c>
      <c r="D22" s="58">
        <f t="shared" si="4"/>
        <v>330.84086364555253</v>
      </c>
      <c r="E22" s="59">
        <f t="shared" si="5"/>
        <v>13.851645279111992</v>
      </c>
      <c r="F22" s="60">
        <f t="shared" si="6"/>
        <v>17.64363907888999</v>
      </c>
      <c r="G22" s="61">
        <f>'[1]cálculos teóricos'!T290</f>
        <v>37.610017809767371</v>
      </c>
      <c r="H22" s="74">
        <f t="shared" si="7"/>
        <v>46.91207318255487</v>
      </c>
      <c r="I22" s="78"/>
      <c r="J22" s="80"/>
      <c r="K22" s="80"/>
      <c r="L22" s="80">
        <v>0.4</v>
      </c>
      <c r="M22" s="80">
        <v>1</v>
      </c>
      <c r="N22" s="80">
        <v>0.7</v>
      </c>
      <c r="O22" s="76">
        <v>0.1</v>
      </c>
      <c r="P22" s="81">
        <v>0.8</v>
      </c>
      <c r="Q22" s="80">
        <v>0.8</v>
      </c>
      <c r="R22" s="80">
        <v>0.3</v>
      </c>
      <c r="S22" s="80"/>
      <c r="T22" s="80"/>
      <c r="U22" s="80"/>
      <c r="V22" s="77"/>
      <c r="W22" s="118">
        <f t="shared" si="0"/>
        <v>2.1999999999999997</v>
      </c>
      <c r="X22" s="118">
        <f t="shared" si="1"/>
        <v>1.9000000000000001</v>
      </c>
      <c r="Y22" s="69">
        <f t="shared" si="2"/>
        <v>4.0999999999999996</v>
      </c>
      <c r="Z22" s="70">
        <f>'[1]cálculos teóricos'!I290</f>
        <v>12.461232812247786</v>
      </c>
      <c r="AA22" s="71">
        <f t="shared" si="3"/>
        <v>32.902041569837515</v>
      </c>
      <c r="AB22" s="3"/>
    </row>
    <row r="23" spans="1:28" ht="18" customHeight="1">
      <c r="A23" s="79">
        <v>15</v>
      </c>
      <c r="B23" s="75">
        <v>27.1</v>
      </c>
      <c r="C23" s="73">
        <f>'[1]cálculos teóricos'!K291</f>
        <v>1.0284849162094551</v>
      </c>
      <c r="D23" s="58">
        <f t="shared" si="4"/>
        <v>405.91301609256442</v>
      </c>
      <c r="E23" s="59">
        <f t="shared" si="5"/>
        <v>16.994766157763486</v>
      </c>
      <c r="F23" s="60">
        <f t="shared" si="6"/>
        <v>21.57254017720436</v>
      </c>
      <c r="G23" s="61">
        <f>'[1]cálculos teóricos'!T291</f>
        <v>37.760418581666087</v>
      </c>
      <c r="H23" s="74">
        <f t="shared" si="7"/>
        <v>57.130034537483994</v>
      </c>
      <c r="I23" s="78"/>
      <c r="J23" s="80">
        <v>0.7</v>
      </c>
      <c r="K23" s="80">
        <v>1</v>
      </c>
      <c r="L23" s="80">
        <v>1</v>
      </c>
      <c r="M23" s="80">
        <v>1</v>
      </c>
      <c r="N23" s="80">
        <v>1</v>
      </c>
      <c r="O23" s="76">
        <v>1</v>
      </c>
      <c r="P23" s="81">
        <v>1</v>
      </c>
      <c r="Q23" s="80">
        <v>0.8</v>
      </c>
      <c r="R23" s="80">
        <v>0.3</v>
      </c>
      <c r="S23" s="80"/>
      <c r="T23" s="80"/>
      <c r="U23" s="80"/>
      <c r="V23" s="77"/>
      <c r="W23" s="118">
        <f t="shared" si="0"/>
        <v>5.7</v>
      </c>
      <c r="X23" s="118">
        <f t="shared" si="1"/>
        <v>2.1</v>
      </c>
      <c r="Y23" s="69">
        <f t="shared" si="2"/>
        <v>7.8000000000000007</v>
      </c>
      <c r="Z23" s="70">
        <f>'[1]cálculos teóricos'!I291</f>
        <v>12.483522468897803</v>
      </c>
      <c r="AA23" s="71">
        <f t="shared" si="3"/>
        <v>62.48236440823004</v>
      </c>
      <c r="AB23" s="3"/>
    </row>
    <row r="24" spans="1:28" ht="18" customHeight="1">
      <c r="A24" s="79">
        <v>16</v>
      </c>
      <c r="B24" s="75">
        <v>19.600000000000001</v>
      </c>
      <c r="C24" s="73">
        <f>'[1]cálculos teóricos'!K292</f>
        <v>1.0290336253351089</v>
      </c>
      <c r="D24" s="58">
        <f t="shared" si="4"/>
        <v>293.73209157033006</v>
      </c>
      <c r="E24" s="59">
        <f t="shared" si="5"/>
        <v>12.297975209866578</v>
      </c>
      <c r="F24" s="60">
        <f t="shared" si="6"/>
        <v>15.701551492333223</v>
      </c>
      <c r="G24" s="61">
        <f>'[1]cálculos teóricos'!T292</f>
        <v>37.908977913368176</v>
      </c>
      <c r="H24" s="74">
        <f t="shared" si="7"/>
        <v>41.419084229111455</v>
      </c>
      <c r="I24" s="78"/>
      <c r="J24" s="80">
        <v>0.7</v>
      </c>
      <c r="K24" s="80">
        <v>0.1</v>
      </c>
      <c r="L24" s="80">
        <v>0.5</v>
      </c>
      <c r="M24" s="80">
        <v>1</v>
      </c>
      <c r="N24" s="80">
        <v>1</v>
      </c>
      <c r="O24" s="76">
        <v>0.4</v>
      </c>
      <c r="P24" s="81">
        <v>0.3</v>
      </c>
      <c r="Q24" s="80"/>
      <c r="R24" s="80"/>
      <c r="S24" s="80"/>
      <c r="T24" s="80"/>
      <c r="U24" s="80"/>
      <c r="V24" s="77"/>
      <c r="W24" s="118">
        <f t="shared" si="0"/>
        <v>3.6999999999999997</v>
      </c>
      <c r="X24" s="118">
        <f t="shared" si="1"/>
        <v>0.3</v>
      </c>
      <c r="Y24" s="69">
        <f t="shared" si="2"/>
        <v>3.9999999999999996</v>
      </c>
      <c r="Z24" s="70">
        <f>'[1]cálculos teóricos'!I292</f>
        <v>12.505745934759188</v>
      </c>
      <c r="AA24" s="71">
        <f t="shared" si="3"/>
        <v>31.985297165538679</v>
      </c>
      <c r="AB24" s="3"/>
    </row>
    <row r="25" spans="1:28" ht="18" customHeight="1">
      <c r="A25" s="79">
        <v>17</v>
      </c>
      <c r="B25" s="75">
        <v>7.6</v>
      </c>
      <c r="C25" s="73">
        <f>'[1]cálculos teóricos'!K293</f>
        <v>1.0295703587489491</v>
      </c>
      <c r="D25" s="58">
        <f t="shared" si="4"/>
        <v>113.95552418926643</v>
      </c>
      <c r="E25" s="59">
        <f t="shared" si="5"/>
        <v>4.7710898867562062</v>
      </c>
      <c r="F25" s="60">
        <f t="shared" si="6"/>
        <v>6.2929448384452584</v>
      </c>
      <c r="G25" s="61">
        <f>'[1]cálculos teóricos'!T293</f>
        <v>38.055663728141198</v>
      </c>
      <c r="H25" s="74">
        <f t="shared" si="7"/>
        <v>16.536158411006205</v>
      </c>
      <c r="I25" s="78"/>
      <c r="J25" s="80"/>
      <c r="K25" s="80"/>
      <c r="L25" s="80"/>
      <c r="M25" s="80"/>
      <c r="N25" s="80"/>
      <c r="O25" s="76"/>
      <c r="P25" s="81"/>
      <c r="Q25" s="80"/>
      <c r="R25" s="80"/>
      <c r="S25" s="80"/>
      <c r="T25" s="80"/>
      <c r="U25" s="80"/>
      <c r="V25" s="77"/>
      <c r="W25" s="118">
        <f t="shared" si="0"/>
        <v>0</v>
      </c>
      <c r="X25" s="118">
        <f t="shared" si="1"/>
        <v>0</v>
      </c>
      <c r="Y25" s="69">
        <f t="shared" si="2"/>
        <v>0</v>
      </c>
      <c r="Z25" s="70">
        <f>'[1]cálculos teóricos'!I293</f>
        <v>12.527898147104127</v>
      </c>
      <c r="AA25" s="71">
        <f t="shared" si="3"/>
        <v>0</v>
      </c>
      <c r="AB25" s="3"/>
    </row>
    <row r="26" spans="1:28" ht="18" customHeight="1">
      <c r="A26" s="79">
        <v>18</v>
      </c>
      <c r="B26" s="75">
        <v>9.6</v>
      </c>
      <c r="C26" s="73">
        <f>'[1]cálculos teóricos'!K294</f>
        <v>1.0300951058781556</v>
      </c>
      <c r="D26" s="58">
        <f t="shared" si="4"/>
        <v>144.01718471478256</v>
      </c>
      <c r="E26" s="59">
        <f t="shared" si="5"/>
        <v>6.0297114896385162</v>
      </c>
      <c r="F26" s="60">
        <f t="shared" si="6"/>
        <v>7.8662218420481462</v>
      </c>
      <c r="G26" s="61">
        <f>'[1]cálculos teóricos'!T294</f>
        <v>38.200445205516317</v>
      </c>
      <c r="H26" s="74">
        <f t="shared" si="7"/>
        <v>20.591963784003827</v>
      </c>
      <c r="I26" s="78"/>
      <c r="J26" s="80"/>
      <c r="K26" s="80"/>
      <c r="L26" s="80"/>
      <c r="M26" s="80"/>
      <c r="N26" s="80"/>
      <c r="O26" s="76"/>
      <c r="P26" s="81"/>
      <c r="Q26" s="80"/>
      <c r="R26" s="80"/>
      <c r="S26" s="80"/>
      <c r="T26" s="80"/>
      <c r="U26" s="80"/>
      <c r="V26" s="77"/>
      <c r="W26" s="118">
        <f t="shared" si="0"/>
        <v>0</v>
      </c>
      <c r="X26" s="118">
        <f t="shared" si="1"/>
        <v>0</v>
      </c>
      <c r="Y26" s="69">
        <f t="shared" si="2"/>
        <v>0</v>
      </c>
      <c r="Z26" s="70">
        <f>'[1]cálculos teóricos'!I294</f>
        <v>12.549973891551732</v>
      </c>
      <c r="AA26" s="71">
        <f t="shared" si="3"/>
        <v>0</v>
      </c>
      <c r="AB26" s="3"/>
    </row>
    <row r="27" spans="1:28" ht="18" customHeight="1">
      <c r="A27" s="79">
        <v>19</v>
      </c>
      <c r="B27" s="75">
        <v>9.4</v>
      </c>
      <c r="C27" s="73">
        <f>'[1]cálculos teóricos'!K295</f>
        <v>1.0306078649228301</v>
      </c>
      <c r="D27" s="58">
        <f t="shared" si="4"/>
        <v>141.08702182355418</v>
      </c>
      <c r="E27" s="59">
        <f t="shared" si="5"/>
        <v>5.9070314297085664</v>
      </c>
      <c r="F27" s="60">
        <f t="shared" si="6"/>
        <v>7.7128717671357085</v>
      </c>
      <c r="G27" s="61">
        <f>'[1]cálculos teóricos'!T295</f>
        <v>38.34329279804254</v>
      </c>
      <c r="H27" s="74">
        <f t="shared" si="7"/>
        <v>20.11530884360943</v>
      </c>
      <c r="I27" s="78"/>
      <c r="J27" s="80"/>
      <c r="K27" s="80"/>
      <c r="L27" s="80"/>
      <c r="M27" s="80"/>
      <c r="N27" s="80"/>
      <c r="O27" s="76"/>
      <c r="P27" s="81"/>
      <c r="Q27" s="81"/>
      <c r="R27" s="80"/>
      <c r="S27" s="80"/>
      <c r="T27" s="80"/>
      <c r="U27" s="80"/>
      <c r="V27" s="77"/>
      <c r="W27" s="118">
        <f t="shared" si="0"/>
        <v>0</v>
      </c>
      <c r="X27" s="118">
        <f t="shared" si="1"/>
        <v>0</v>
      </c>
      <c r="Y27" s="69">
        <f t="shared" si="2"/>
        <v>0</v>
      </c>
      <c r="Z27" s="70">
        <f>'[1]cálculos teóricos'!I295</f>
        <v>12.571967798125707</v>
      </c>
      <c r="AA27" s="71">
        <f t="shared" si="3"/>
        <v>0</v>
      </c>
      <c r="AB27" s="3"/>
    </row>
    <row r="28" spans="1:28" ht="18" customHeight="1">
      <c r="A28" s="79">
        <v>20</v>
      </c>
      <c r="B28" s="75">
        <v>12.3</v>
      </c>
      <c r="C28" s="73">
        <f>'[1]cálculos teóricos'!K296</f>
        <v>1.0311086428295455</v>
      </c>
      <c r="D28" s="58">
        <f t="shared" si="4"/>
        <v>184.70357385413146</v>
      </c>
      <c r="E28" s="59">
        <f t="shared" si="5"/>
        <v>7.7331692301247754</v>
      </c>
      <c r="F28" s="60">
        <f t="shared" si="6"/>
        <v>9.9955440176559698</v>
      </c>
      <c r="G28" s="61">
        <f>'[1]cálculos teóricos'!T296</f>
        <v>38.484178246675384</v>
      </c>
      <c r="H28" s="74">
        <f t="shared" si="7"/>
        <v>25.973125770249428</v>
      </c>
      <c r="I28" s="78"/>
      <c r="J28" s="80"/>
      <c r="K28" s="80"/>
      <c r="L28" s="80"/>
      <c r="M28" s="80"/>
      <c r="N28" s="80"/>
      <c r="O28" s="76"/>
      <c r="P28" s="81"/>
      <c r="Q28" s="81"/>
      <c r="R28" s="80"/>
      <c r="S28" s="80"/>
      <c r="T28" s="80"/>
      <c r="U28" s="80"/>
      <c r="V28" s="77"/>
      <c r="W28" s="118">
        <f t="shared" si="0"/>
        <v>0</v>
      </c>
      <c r="X28" s="118">
        <f t="shared" si="1"/>
        <v>0</v>
      </c>
      <c r="Y28" s="69">
        <f t="shared" si="2"/>
        <v>0</v>
      </c>
      <c r="Z28" s="70">
        <f>'[1]cálculos teóricos'!I296</f>
        <v>12.593874337590313</v>
      </c>
      <c r="AA28" s="71">
        <f t="shared" si="3"/>
        <v>0</v>
      </c>
      <c r="AB28" s="3"/>
    </row>
    <row r="29" spans="1:28" ht="18" customHeight="1">
      <c r="A29" s="79">
        <v>21</v>
      </c>
      <c r="B29" s="75">
        <v>26.3</v>
      </c>
      <c r="C29" s="73">
        <f>'[1]cálculos teóricos'!K297</f>
        <v>1.0315974552558274</v>
      </c>
      <c r="D29" s="58">
        <f t="shared" si="4"/>
        <v>395.1225088919598</v>
      </c>
      <c r="E29" s="59">
        <f t="shared" si="5"/>
        <v>16.542989202288574</v>
      </c>
      <c r="F29" s="60">
        <f t="shared" si="6"/>
        <v>21.007818982860716</v>
      </c>
      <c r="G29" s="61">
        <f>'[1]cálculos teóricos'!T297</f>
        <v>38.623074594672374</v>
      </c>
      <c r="H29" s="74">
        <f t="shared" si="7"/>
        <v>54.391886724001289</v>
      </c>
      <c r="I29" s="78"/>
      <c r="J29" s="80">
        <v>0.8</v>
      </c>
      <c r="K29" s="80">
        <v>0.5</v>
      </c>
      <c r="L29" s="80">
        <v>0.1</v>
      </c>
      <c r="M29" s="80">
        <v>0.7</v>
      </c>
      <c r="N29" s="80">
        <v>1</v>
      </c>
      <c r="O29" s="76">
        <v>1</v>
      </c>
      <c r="P29" s="81">
        <v>0.5</v>
      </c>
      <c r="Q29" s="81">
        <v>0.1</v>
      </c>
      <c r="R29" s="80">
        <v>0.9</v>
      </c>
      <c r="S29" s="80">
        <v>0.8</v>
      </c>
      <c r="T29" s="80"/>
      <c r="U29" s="80"/>
      <c r="V29" s="77"/>
      <c r="W29" s="118">
        <f t="shared" si="0"/>
        <v>4.0999999999999996</v>
      </c>
      <c r="X29" s="118">
        <f t="shared" si="1"/>
        <v>2.2999999999999998</v>
      </c>
      <c r="Y29" s="69">
        <f t="shared" si="2"/>
        <v>6.3999999999999995</v>
      </c>
      <c r="Z29" s="70">
        <f>'[1]cálculos teóricos'!I297</f>
        <v>12.615687818085217</v>
      </c>
      <c r="AA29" s="71">
        <f t="shared" si="3"/>
        <v>50.730488042239607</v>
      </c>
      <c r="AB29" s="3"/>
    </row>
    <row r="30" spans="1:28" ht="18" customHeight="1">
      <c r="A30" s="79">
        <v>22</v>
      </c>
      <c r="B30" s="75">
        <v>35.299999999999997</v>
      </c>
      <c r="C30" s="73">
        <f>'[1]cálculos teóricos'!K298</f>
        <v>1.0320743265248982</v>
      </c>
      <c r="D30" s="58">
        <f t="shared" si="4"/>
        <v>530.58069023839096</v>
      </c>
      <c r="E30" s="59">
        <f t="shared" si="5"/>
        <v>22.214352338900952</v>
      </c>
      <c r="F30" s="60">
        <f t="shared" si="6"/>
        <v>28.097022903626193</v>
      </c>
      <c r="G30" s="61">
        <f>'[1]cálculos teóricos'!T298</f>
        <v>38.759956199870359</v>
      </c>
      <c r="H30" s="74">
        <f t="shared" si="7"/>
        <v>72.489821089426741</v>
      </c>
      <c r="I30" s="78"/>
      <c r="J30" s="80">
        <v>0.7</v>
      </c>
      <c r="K30" s="80">
        <v>1</v>
      </c>
      <c r="L30" s="80">
        <v>1</v>
      </c>
      <c r="M30" s="80">
        <v>1</v>
      </c>
      <c r="N30" s="80">
        <v>1</v>
      </c>
      <c r="O30" s="76">
        <v>1</v>
      </c>
      <c r="P30" s="81">
        <v>1</v>
      </c>
      <c r="Q30" s="81">
        <v>1</v>
      </c>
      <c r="R30" s="80">
        <v>1</v>
      </c>
      <c r="S30" s="80">
        <v>1</v>
      </c>
      <c r="T30" s="80">
        <v>1</v>
      </c>
      <c r="U30" s="80">
        <v>0.5</v>
      </c>
      <c r="V30" s="77"/>
      <c r="W30" s="118">
        <f t="shared" si="0"/>
        <v>5.7</v>
      </c>
      <c r="X30" s="118">
        <f t="shared" si="1"/>
        <v>5.5</v>
      </c>
      <c r="Y30" s="69">
        <f>W30+X30</f>
        <v>11.2</v>
      </c>
      <c r="Z30" s="70">
        <f>'[1]cálculos teóricos'!I298</f>
        <v>12.637402382080378</v>
      </c>
      <c r="AA30" s="71">
        <f t="shared" si="3"/>
        <v>88.625808226866383</v>
      </c>
      <c r="AB30" s="3"/>
    </row>
    <row r="31" spans="1:28" ht="18" customHeight="1">
      <c r="A31" s="79">
        <v>23</v>
      </c>
      <c r="B31" s="75">
        <v>35.1</v>
      </c>
      <c r="C31" s="73">
        <f>'[1]cálculos teóricos'!K299</f>
        <v>1.032539289570032</v>
      </c>
      <c r="D31" s="58">
        <f t="shared" si="4"/>
        <v>527.81224662222598</v>
      </c>
      <c r="E31" s="59">
        <f t="shared" si="5"/>
        <v>22.098443141579356</v>
      </c>
      <c r="F31" s="60">
        <f t="shared" si="6"/>
        <v>27.952136406974194</v>
      </c>
      <c r="G31" s="61">
        <f>'[1]cálculos teóricos'!T299</f>
        <v>38.894798745221976</v>
      </c>
      <c r="H31" s="74">
        <f t="shared" si="7"/>
        <v>71.866000876037361</v>
      </c>
      <c r="I31" s="78"/>
      <c r="J31" s="80">
        <v>0.1</v>
      </c>
      <c r="K31" s="80">
        <v>0.8</v>
      </c>
      <c r="L31" s="80">
        <v>1</v>
      </c>
      <c r="M31" s="80">
        <v>1</v>
      </c>
      <c r="N31" s="80">
        <v>1</v>
      </c>
      <c r="O31" s="76">
        <v>1</v>
      </c>
      <c r="P31" s="81">
        <v>1</v>
      </c>
      <c r="Q31" s="81">
        <v>1</v>
      </c>
      <c r="R31" s="80">
        <v>1</v>
      </c>
      <c r="S31" s="80">
        <v>0.6</v>
      </c>
      <c r="T31" s="80"/>
      <c r="U31" s="80"/>
      <c r="V31" s="77"/>
      <c r="W31" s="118">
        <f t="shared" si="0"/>
        <v>4.9000000000000004</v>
      </c>
      <c r="X31" s="118">
        <f t="shared" si="1"/>
        <v>3.6</v>
      </c>
      <c r="Y31" s="69">
        <f>W31+X31</f>
        <v>8.5</v>
      </c>
      <c r="Z31" s="70">
        <f>'[1]cálculos teóricos'!I299</f>
        <v>12.65901200367289</v>
      </c>
      <c r="AA31" s="71">
        <f t="shared" si="3"/>
        <v>67.145840429994124</v>
      </c>
      <c r="AB31" s="3"/>
    </row>
    <row r="32" spans="1:28" ht="18" customHeight="1">
      <c r="A32" s="79">
        <v>24</v>
      </c>
      <c r="B32" s="75">
        <v>12.7</v>
      </c>
      <c r="C32" s="73">
        <f>'[1]cálculos teóricos'!K300</f>
        <v>1.0329923858678827</v>
      </c>
      <c r="D32" s="58">
        <f t="shared" si="4"/>
        <v>191.05860456715374</v>
      </c>
      <c r="E32" s="59">
        <f t="shared" si="5"/>
        <v>7.9992416560175919</v>
      </c>
      <c r="F32" s="60">
        <f t="shared" si="6"/>
        <v>10.328134550021991</v>
      </c>
      <c r="G32" s="61">
        <f>'[1]cálculos teóricos'!T300</f>
        <v>39.027579247470733</v>
      </c>
      <c r="H32" s="74">
        <f t="shared" si="7"/>
        <v>26.463682219520003</v>
      </c>
      <c r="I32" s="78"/>
      <c r="J32" s="80"/>
      <c r="K32" s="80"/>
      <c r="L32" s="80"/>
      <c r="M32" s="80"/>
      <c r="N32" s="80">
        <v>0.5</v>
      </c>
      <c r="O32" s="76">
        <v>0.2</v>
      </c>
      <c r="P32" s="81"/>
      <c r="Q32" s="81"/>
      <c r="R32" s="80"/>
      <c r="S32" s="80"/>
      <c r="T32" s="80"/>
      <c r="U32" s="80"/>
      <c r="V32" s="77"/>
      <c r="W32" s="118">
        <f t="shared" si="0"/>
        <v>0.7</v>
      </c>
      <c r="X32" s="118">
        <f t="shared" si="1"/>
        <v>0</v>
      </c>
      <c r="Y32" s="69">
        <f>W32+X32</f>
        <v>0.7</v>
      </c>
      <c r="Z32" s="70">
        <f>'[1]cálculos teóricos'!I300</f>
        <v>12.680510486248172</v>
      </c>
      <c r="AA32" s="71">
        <f t="shared" si="3"/>
        <v>5.5202824898819314</v>
      </c>
      <c r="AB32" s="3"/>
    </row>
    <row r="33" spans="1:28" ht="18" customHeight="1">
      <c r="A33" s="79">
        <v>25</v>
      </c>
      <c r="B33" s="75">
        <v>14.8</v>
      </c>
      <c r="C33" s="73">
        <f>'[1]cálculos teóricos'!K301</f>
        <v>1.0334336653601741</v>
      </c>
      <c r="D33" s="58">
        <f t="shared" si="4"/>
        <v>222.74608554499886</v>
      </c>
      <c r="E33" s="59">
        <f t="shared" si="5"/>
        <v>9.3259331095980116</v>
      </c>
      <c r="F33" s="60">
        <f t="shared" si="6"/>
        <v>11.986498866997515</v>
      </c>
      <c r="G33" s="61">
        <f>'[1]cálculos teóricos'!T301</f>
        <v>39.158276063849144</v>
      </c>
      <c r="H33" s="74">
        <f t="shared" si="7"/>
        <v>30.610384500719711</v>
      </c>
      <c r="I33" s="78"/>
      <c r="J33" s="80">
        <v>0.3</v>
      </c>
      <c r="K33" s="80">
        <v>0.2</v>
      </c>
      <c r="L33" s="80">
        <v>0.4</v>
      </c>
      <c r="M33" s="80"/>
      <c r="N33" s="80"/>
      <c r="O33" s="77"/>
      <c r="P33" s="78"/>
      <c r="Q33" s="81"/>
      <c r="R33" s="80"/>
      <c r="S33" s="80"/>
      <c r="T33" s="80"/>
      <c r="U33" s="80"/>
      <c r="V33" s="77"/>
      <c r="W33" s="118">
        <f t="shared" si="0"/>
        <v>0.9</v>
      </c>
      <c r="X33" s="118">
        <f t="shared" si="1"/>
        <v>0</v>
      </c>
      <c r="Y33" s="69">
        <f>W33+X33</f>
        <v>0.9</v>
      </c>
      <c r="Z33" s="70">
        <f>'[1]cálculos teóricos'!I301</f>
        <v>12.701891460528639</v>
      </c>
      <c r="AA33" s="71">
        <f t="shared" si="3"/>
        <v>7.0855588933094458</v>
      </c>
      <c r="AB33" s="3"/>
    </row>
    <row r="34" spans="1:28" ht="18" customHeight="1">
      <c r="A34" s="79">
        <v>26</v>
      </c>
      <c r="B34" s="75">
        <v>20.6</v>
      </c>
      <c r="C34" s="73">
        <f>'[1]cálculos teóricos'!K302</f>
        <v>1.03386318636316</v>
      </c>
      <c r="D34" s="58">
        <f t="shared" si="4"/>
        <v>310.16733020075753</v>
      </c>
      <c r="E34" s="59">
        <f t="shared" si="5"/>
        <v>12.986085780845317</v>
      </c>
      <c r="F34" s="60">
        <f t="shared" si="6"/>
        <v>16.561689706056644</v>
      </c>
      <c r="G34" s="61">
        <f>'[1]cálculos teóricos'!T302</f>
        <v>39.286868896688745</v>
      </c>
      <c r="H34" s="74">
        <f t="shared" si="7"/>
        <v>42.155789379928237</v>
      </c>
      <c r="I34" s="78"/>
      <c r="J34" s="80"/>
      <c r="K34" s="80"/>
      <c r="L34" s="80"/>
      <c r="M34" s="80">
        <v>0.4</v>
      </c>
      <c r="N34" s="80">
        <v>1</v>
      </c>
      <c r="O34" s="76">
        <v>1</v>
      </c>
      <c r="P34" s="78">
        <v>0.5</v>
      </c>
      <c r="Q34" s="81">
        <v>0.3</v>
      </c>
      <c r="R34" s="80"/>
      <c r="S34" s="80"/>
      <c r="T34" s="80"/>
      <c r="U34" s="80"/>
      <c r="V34" s="77"/>
      <c r="W34" s="118">
        <f t="shared" si="0"/>
        <v>2.4</v>
      </c>
      <c r="X34" s="118">
        <f t="shared" si="1"/>
        <v>0.8</v>
      </c>
      <c r="Y34" s="69">
        <f t="shared" ref="Y34:Y39" si="8">W34+X34</f>
        <v>3.2</v>
      </c>
      <c r="Z34" s="70">
        <f>'[1]cálculos teóricos'!I302</f>
        <v>12.723148383033188</v>
      </c>
      <c r="AA34" s="71">
        <f t="shared" si="3"/>
        <v>25.151007468146204</v>
      </c>
      <c r="AB34" s="3"/>
    </row>
    <row r="35" spans="1:28" ht="18" customHeight="1">
      <c r="A35" s="79">
        <v>27</v>
      </c>
      <c r="B35" s="75">
        <v>12.2</v>
      </c>
      <c r="C35" s="73">
        <f>'[1]cálculos teóricos'!K303</f>
        <v>1.0342810154643007</v>
      </c>
      <c r="D35" s="58">
        <f t="shared" si="4"/>
        <v>183.76556913831499</v>
      </c>
      <c r="E35" s="59">
        <f t="shared" si="5"/>
        <v>7.6938968486829715</v>
      </c>
      <c r="F35" s="60">
        <f t="shared" si="6"/>
        <v>9.9464535408537138</v>
      </c>
      <c r="G35" s="61">
        <f>'[1]cálculos teóricos'!T303</f>
        <v>39.413338795836367</v>
      </c>
      <c r="H35" s="74">
        <f t="shared" si="7"/>
        <v>25.236262252170476</v>
      </c>
      <c r="I35" s="78"/>
      <c r="J35" s="80"/>
      <c r="K35" s="80"/>
      <c r="L35" s="80"/>
      <c r="M35" s="80"/>
      <c r="N35" s="80"/>
      <c r="O35" s="76"/>
      <c r="P35" s="81"/>
      <c r="Q35" s="81"/>
      <c r="R35" s="80"/>
      <c r="S35" s="80"/>
      <c r="T35" s="80"/>
      <c r="U35" s="80"/>
      <c r="V35" s="77"/>
      <c r="W35" s="118">
        <f t="shared" si="0"/>
        <v>0</v>
      </c>
      <c r="X35" s="118">
        <f t="shared" si="1"/>
        <v>0</v>
      </c>
      <c r="Y35" s="69">
        <f t="shared" si="8"/>
        <v>0</v>
      </c>
      <c r="Z35" s="70">
        <f>'[1]cálculos teóricos'!I303</f>
        <v>12.744274534971474</v>
      </c>
      <c r="AA35" s="71">
        <f t="shared" si="3"/>
        <v>0</v>
      </c>
      <c r="AB35" s="3"/>
    </row>
    <row r="36" spans="1:28" ht="18" customHeight="1">
      <c r="A36" s="79">
        <v>28</v>
      </c>
      <c r="B36" s="75">
        <v>10.8</v>
      </c>
      <c r="C36" s="73">
        <f>'[1]cálculos teóricos'!K304</f>
        <v>1.034687227405628</v>
      </c>
      <c r="D36" s="58">
        <f t="shared" si="4"/>
        <v>162.74160831227616</v>
      </c>
      <c r="E36" s="59">
        <f t="shared" si="5"/>
        <v>6.8136656568183778</v>
      </c>
      <c r="F36" s="60">
        <f t="shared" si="6"/>
        <v>8.8461645510229729</v>
      </c>
      <c r="G36" s="61">
        <f>'[1]cálculos teóricos'!T304</f>
        <v>39.537668158777905</v>
      </c>
      <c r="H36" s="74">
        <f t="shared" si="7"/>
        <v>22.374016888143171</v>
      </c>
      <c r="I36" s="78"/>
      <c r="J36" s="80"/>
      <c r="K36" s="80"/>
      <c r="L36" s="80"/>
      <c r="M36" s="80"/>
      <c r="N36" s="80"/>
      <c r="O36" s="76"/>
      <c r="P36" s="81"/>
      <c r="Q36" s="81"/>
      <c r="R36" s="80"/>
      <c r="S36" s="80"/>
      <c r="T36" s="80"/>
      <c r="U36" s="80"/>
      <c r="V36" s="77"/>
      <c r="W36" s="118">
        <f t="shared" si="0"/>
        <v>0</v>
      </c>
      <c r="X36" s="118">
        <f t="shared" si="1"/>
        <v>0</v>
      </c>
      <c r="Y36" s="69">
        <f t="shared" si="8"/>
        <v>0</v>
      </c>
      <c r="Z36" s="70">
        <f>'[1]cálculos teóricos'!I304</f>
        <v>12.765263021597068</v>
      </c>
      <c r="AA36" s="71">
        <f t="shared" si="3"/>
        <v>0</v>
      </c>
      <c r="AB36" s="3"/>
    </row>
    <row r="37" spans="1:28" ht="18" customHeight="1">
      <c r="A37" s="79">
        <v>29</v>
      </c>
      <c r="B37" s="75">
        <v>19.399999999999999</v>
      </c>
      <c r="C37" s="73">
        <f>'[1]cálculos teóricos'!K305</f>
        <v>1.0350819049533166</v>
      </c>
      <c r="D37" s="58">
        <f t="shared" si="4"/>
        <v>292.44365726207991</v>
      </c>
      <c r="E37" s="59">
        <f t="shared" si="5"/>
        <v>12.244031042248762</v>
      </c>
      <c r="F37" s="60">
        <f t="shared" si="6"/>
        <v>15.634121282810952</v>
      </c>
      <c r="G37" s="61">
        <f>'[1]cálculos teóricos'!T305</f>
        <v>39.659840728377716</v>
      </c>
      <c r="H37" s="74">
        <f t="shared" si="7"/>
        <v>39.420534716429927</v>
      </c>
      <c r="I37" s="78"/>
      <c r="J37" s="80"/>
      <c r="K37" s="80"/>
      <c r="L37" s="80"/>
      <c r="M37" s="80">
        <v>0.4</v>
      </c>
      <c r="N37" s="80"/>
      <c r="O37" s="76"/>
      <c r="P37" s="78">
        <v>0.4</v>
      </c>
      <c r="Q37" s="81">
        <v>0.4</v>
      </c>
      <c r="R37" s="80">
        <v>0.1</v>
      </c>
      <c r="S37" s="80">
        <v>0.2</v>
      </c>
      <c r="T37" s="80"/>
      <c r="U37" s="80"/>
      <c r="V37" s="77"/>
      <c r="W37" s="118">
        <f t="shared" si="0"/>
        <v>0.4</v>
      </c>
      <c r="X37" s="118">
        <f t="shared" si="1"/>
        <v>1.1000000000000001</v>
      </c>
      <c r="Y37" s="69">
        <f t="shared" si="8"/>
        <v>1.5</v>
      </c>
      <c r="Z37" s="70">
        <f>'[1]cálculos teóricos'!I305</f>
        <v>12.786106772043812</v>
      </c>
      <c r="AA37" s="71">
        <f t="shared" si="3"/>
        <v>11.731483451082042</v>
      </c>
      <c r="AB37" s="3"/>
    </row>
    <row r="38" spans="1:28" ht="18" customHeight="1">
      <c r="A38" s="79">
        <v>30</v>
      </c>
      <c r="B38" s="75">
        <v>22</v>
      </c>
      <c r="C38" s="73">
        <f>'[1]cálculos teóricos'!K306</f>
        <v>1.0354651387530205</v>
      </c>
      <c r="D38" s="58">
        <f t="shared" si="4"/>
        <v>331.75992406105155</v>
      </c>
      <c r="E38" s="59">
        <f t="shared" si="5"/>
        <v>13.890124500588106</v>
      </c>
      <c r="F38" s="60">
        <f t="shared" si="6"/>
        <v>17.691738105735134</v>
      </c>
      <c r="G38" s="61">
        <f>'[1]cálculos teóricos'!T306</f>
        <v>39.779841588149978</v>
      </c>
      <c r="H38" s="74">
        <f t="shared" si="7"/>
        <v>44.474129105142858</v>
      </c>
      <c r="I38" s="78"/>
      <c r="J38" s="80"/>
      <c r="K38" s="80"/>
      <c r="L38" s="80"/>
      <c r="M38" s="80">
        <v>0.1</v>
      </c>
      <c r="N38" s="80">
        <v>0.2</v>
      </c>
      <c r="O38" s="76">
        <v>0.8</v>
      </c>
      <c r="P38" s="81">
        <v>0.3</v>
      </c>
      <c r="Q38" s="80">
        <v>0.9</v>
      </c>
      <c r="R38" s="80">
        <v>1</v>
      </c>
      <c r="S38" s="80">
        <v>0.4</v>
      </c>
      <c r="T38" s="80"/>
      <c r="U38" s="80"/>
      <c r="V38" s="77"/>
      <c r="W38" s="118">
        <f t="shared" si="0"/>
        <v>1.1000000000000001</v>
      </c>
      <c r="X38" s="118">
        <f t="shared" si="1"/>
        <v>2.6</v>
      </c>
      <c r="Y38" s="69">
        <f t="shared" si="8"/>
        <v>3.7</v>
      </c>
      <c r="Z38" s="70">
        <f>'[1]cálculos teóricos'!I306</f>
        <v>12.806798539669806</v>
      </c>
      <c r="AA38" s="71">
        <f t="shared" si="3"/>
        <v>28.890905002831378</v>
      </c>
      <c r="AB38" s="3"/>
    </row>
    <row r="39" spans="1:28" ht="18" customHeight="1" thickBot="1">
      <c r="A39" s="86">
        <v>31</v>
      </c>
      <c r="B39" s="87">
        <v>8.3000000000000007</v>
      </c>
      <c r="C39" s="88">
        <f>'[1]cálculos teóricos'!K307</f>
        <v>1.0358370271705748</v>
      </c>
      <c r="D39" s="89">
        <f t="shared" si="4"/>
        <v>125.20892412514894</v>
      </c>
      <c r="E39" s="90">
        <f t="shared" si="5"/>
        <v>5.2422472352717353</v>
      </c>
      <c r="F39" s="91">
        <f t="shared" si="6"/>
        <v>6.8818915240896708</v>
      </c>
      <c r="G39" s="92">
        <f>'[1]cálculos teóricos'!T307</f>
        <v>39.897657154987527</v>
      </c>
      <c r="H39" s="93">
        <f t="shared" si="7"/>
        <v>17.248861248559251</v>
      </c>
      <c r="I39" s="94"/>
      <c r="J39" s="87"/>
      <c r="K39" s="87"/>
      <c r="L39" s="87"/>
      <c r="M39" s="87"/>
      <c r="N39" s="87"/>
      <c r="O39" s="95"/>
      <c r="P39" s="94"/>
      <c r="Q39" s="87"/>
      <c r="R39" s="87"/>
      <c r="S39" s="87"/>
      <c r="T39" s="87"/>
      <c r="U39" s="87"/>
      <c r="V39" s="77"/>
      <c r="W39" s="118">
        <f t="shared" si="0"/>
        <v>0</v>
      </c>
      <c r="X39" s="118">
        <f t="shared" si="1"/>
        <v>0</v>
      </c>
      <c r="Y39" s="69">
        <f t="shared" si="8"/>
        <v>0</v>
      </c>
      <c r="Z39" s="100">
        <f>'[1]cálculos teóricos'!I307</f>
        <v>12.82733090293323</v>
      </c>
      <c r="AA39" s="101">
        <f t="shared" si="3"/>
        <v>0</v>
      </c>
      <c r="AB39" s="3"/>
    </row>
    <row r="40" spans="1:28" s="107" customFormat="1" ht="15.75" thickTop="1">
      <c r="A40" s="102"/>
      <c r="B40" s="102"/>
      <c r="C40" s="102"/>
      <c r="D40" s="102"/>
      <c r="E40" s="102"/>
      <c r="F40" s="102"/>
      <c r="G40" s="102"/>
      <c r="H40" s="102"/>
      <c r="I40" s="126">
        <f>SUM(I9:I39)</f>
        <v>0</v>
      </c>
      <c r="J40" s="105">
        <f t="shared" ref="J40:AA40" si="9">SUM(J9:J39)</f>
        <v>3.4</v>
      </c>
      <c r="K40" s="105">
        <f t="shared" si="9"/>
        <v>4.2</v>
      </c>
      <c r="L40" s="105">
        <f t="shared" si="9"/>
        <v>7.1</v>
      </c>
      <c r="M40" s="105">
        <f t="shared" si="9"/>
        <v>10.9</v>
      </c>
      <c r="N40" s="105">
        <f t="shared" si="9"/>
        <v>13</v>
      </c>
      <c r="O40" s="105">
        <f t="shared" si="9"/>
        <v>12.1</v>
      </c>
      <c r="P40" s="105">
        <f t="shared" si="9"/>
        <v>9.2000000000000011</v>
      </c>
      <c r="Q40" s="105">
        <f t="shared" si="9"/>
        <v>9.6</v>
      </c>
      <c r="R40" s="105">
        <f t="shared" si="9"/>
        <v>7.8999999999999995</v>
      </c>
      <c r="S40" s="105">
        <f t="shared" si="9"/>
        <v>4.9000000000000004</v>
      </c>
      <c r="T40" s="105">
        <f t="shared" si="9"/>
        <v>1.1000000000000001</v>
      </c>
      <c r="U40" s="105">
        <f t="shared" si="9"/>
        <v>0.5</v>
      </c>
      <c r="V40" s="105">
        <f t="shared" si="9"/>
        <v>0</v>
      </c>
      <c r="W40" s="105">
        <f>SUM(I40:O40)</f>
        <v>50.7</v>
      </c>
      <c r="X40" s="105">
        <f>SUM(P40:V40)</f>
        <v>33.200000000000003</v>
      </c>
      <c r="Y40" s="105">
        <f>W40+X40</f>
        <v>83.9</v>
      </c>
      <c r="Z40" s="105">
        <f t="shared" si="9"/>
        <v>387.58755327226424</v>
      </c>
      <c r="AA40" s="105">
        <f t="shared" si="9"/>
        <v>671.26242908601091</v>
      </c>
      <c r="AB40" s="102"/>
    </row>
    <row r="41" spans="1:28" s="107" customFormat="1" ht="15">
      <c r="A41" s="102"/>
      <c r="B41" s="102" t="s">
        <v>50</v>
      </c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207"/>
      <c r="X41" s="207"/>
      <c r="Y41" s="207"/>
      <c r="Z41" s="102"/>
      <c r="AA41" s="102"/>
      <c r="AB41" s="102"/>
    </row>
    <row r="42" spans="1:28" s="107" customFormat="1" ht="1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</row>
    <row r="43" spans="1:28" s="107" customFormat="1" ht="15">
      <c r="A43" s="102"/>
      <c r="B43" s="102" t="s">
        <v>51</v>
      </c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</row>
    <row r="44" spans="1:28" s="107" customFormat="1" ht="15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</row>
    <row r="45" spans="1:28" s="107" customFormat="1" ht="15">
      <c r="A45" s="102"/>
      <c r="B45" s="102" t="s">
        <v>52</v>
      </c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</row>
    <row r="46" spans="1:28" s="107" customFormat="1" ht="1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</row>
    <row r="47" spans="1:28" s="107" customFormat="1" ht="15">
      <c r="A47" s="102"/>
      <c r="B47" s="102" t="s">
        <v>53</v>
      </c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</row>
    <row r="48" spans="1:28" s="107" customFormat="1" ht="15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</row>
    <row r="49" spans="1:28" s="107" customFormat="1" ht="15">
      <c r="A49" s="102"/>
      <c r="B49" s="102" t="s">
        <v>54</v>
      </c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2" t="s">
        <v>55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2" t="s">
        <v>56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7" t="s">
        <v>57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B55"/>
  <sheetViews>
    <sheetView zoomScale="75" zoomScaleNormal="75" workbookViewId="0">
      <selection activeCell="A8" sqref="A8"/>
    </sheetView>
  </sheetViews>
  <sheetFormatPr defaultColWidth="11.42578125" defaultRowHeight="12.75"/>
  <cols>
    <col min="1" max="1" width="8.7109375" style="7" customWidth="1"/>
    <col min="2" max="8" width="12.7109375" style="7" customWidth="1"/>
    <col min="9" max="25" width="8.7109375" style="7" customWidth="1"/>
    <col min="26" max="27" width="12.7109375" style="7" customWidth="1"/>
    <col min="28" max="16384" width="11.42578125" style="7"/>
  </cols>
  <sheetData>
    <row r="1" spans="1:28" ht="18" customHeight="1">
      <c r="A1" s="1" t="s">
        <v>88</v>
      </c>
      <c r="B1" s="2"/>
      <c r="C1" s="3"/>
      <c r="D1" s="4"/>
      <c r="E1" s="211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6"/>
      <c r="Y1" s="6"/>
      <c r="Z1" s="6"/>
      <c r="AA1" s="6"/>
      <c r="AB1" s="3"/>
    </row>
    <row r="2" spans="1:28" ht="18" customHeight="1">
      <c r="A2" s="3"/>
      <c r="B2" s="8" t="s">
        <v>87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8" t="s">
        <v>3</v>
      </c>
      <c r="W2" s="3"/>
      <c r="X2" s="3"/>
      <c r="Y2" s="3"/>
      <c r="Z2" s="3"/>
      <c r="AA2" s="3"/>
      <c r="AB2" s="3"/>
    </row>
    <row r="3" spans="1:28" ht="18" customHeight="1">
      <c r="A3" s="3"/>
      <c r="B3" s="8" t="s">
        <v>89</v>
      </c>
      <c r="C3" s="3"/>
      <c r="D3" s="3"/>
      <c r="E3" s="3"/>
      <c r="F3" s="3"/>
      <c r="G3" s="4" t="s">
        <v>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176"/>
      <c r="T3" s="176"/>
      <c r="U3" s="3"/>
      <c r="V3" s="8" t="s">
        <v>85</v>
      </c>
      <c r="W3" s="3"/>
      <c r="X3" s="3"/>
      <c r="Y3" s="102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176"/>
      <c r="T4" s="176"/>
      <c r="U4" s="176"/>
      <c r="V4" s="3"/>
      <c r="W4" s="9"/>
      <c r="X4" s="3"/>
      <c r="Y4" s="3"/>
      <c r="Z4" s="3"/>
      <c r="AA4" s="3"/>
      <c r="AB4" s="3"/>
    </row>
    <row r="5" spans="1:28" ht="18" customHeight="1" thickTop="1" thickBot="1">
      <c r="A5" s="10" t="s">
        <v>7</v>
      </c>
      <c r="B5" s="11"/>
      <c r="C5" s="12" t="s">
        <v>8</v>
      </c>
      <c r="D5" s="13"/>
      <c r="E5" s="14"/>
      <c r="F5" s="13"/>
      <c r="G5" s="13"/>
      <c r="H5" s="15"/>
      <c r="I5" s="16" t="s">
        <v>9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2"/>
      <c r="Y5" s="17"/>
      <c r="Z5" s="14"/>
      <c r="AA5" s="18"/>
      <c r="AB5" s="3"/>
    </row>
    <row r="6" spans="1:28" ht="18" customHeight="1">
      <c r="A6" s="19"/>
      <c r="B6" s="20" t="s">
        <v>10</v>
      </c>
      <c r="C6" s="21" t="s">
        <v>11</v>
      </c>
      <c r="D6" s="22" t="s">
        <v>12</v>
      </c>
      <c r="E6" s="21" t="s">
        <v>12</v>
      </c>
      <c r="F6" s="23" t="s">
        <v>13</v>
      </c>
      <c r="G6" s="23" t="s">
        <v>14</v>
      </c>
      <c r="H6" s="23" t="s">
        <v>15</v>
      </c>
      <c r="I6" s="24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6"/>
      <c r="V6" s="27"/>
      <c r="W6" s="28"/>
      <c r="X6" s="29"/>
      <c r="Y6" s="30"/>
      <c r="Z6" s="31" t="s">
        <v>16</v>
      </c>
      <c r="AA6" s="32" t="s">
        <v>17</v>
      </c>
      <c r="AB6" s="3"/>
    </row>
    <row r="7" spans="1:28" ht="18" customHeight="1" thickBot="1">
      <c r="A7" s="33"/>
      <c r="B7" s="34" t="s">
        <v>18</v>
      </c>
      <c r="C7" s="35" t="s">
        <v>19</v>
      </c>
      <c r="D7" s="22" t="s">
        <v>20</v>
      </c>
      <c r="E7" s="23" t="s">
        <v>20</v>
      </c>
      <c r="F7" s="23" t="s">
        <v>21</v>
      </c>
      <c r="G7" s="23" t="s">
        <v>22</v>
      </c>
      <c r="H7" s="23" t="s">
        <v>23</v>
      </c>
      <c r="I7" s="36" t="s">
        <v>24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7"/>
      <c r="W7" s="38"/>
      <c r="X7" s="39" t="s">
        <v>25</v>
      </c>
      <c r="Y7" s="40"/>
      <c r="Z7" s="41" t="s">
        <v>26</v>
      </c>
      <c r="AA7" s="42" t="s">
        <v>27</v>
      </c>
      <c r="AB7" s="3"/>
    </row>
    <row r="8" spans="1:28" ht="18" customHeight="1" thickBot="1">
      <c r="A8" s="43"/>
      <c r="B8" s="44" t="s">
        <v>28</v>
      </c>
      <c r="C8" s="45" t="s">
        <v>29</v>
      </c>
      <c r="D8" s="45" t="s">
        <v>30</v>
      </c>
      <c r="E8" s="46" t="s">
        <v>31</v>
      </c>
      <c r="F8" s="46" t="s">
        <v>31</v>
      </c>
      <c r="G8" s="45" t="s">
        <v>31</v>
      </c>
      <c r="H8" s="23" t="s">
        <v>32</v>
      </c>
      <c r="I8" s="47" t="s">
        <v>33</v>
      </c>
      <c r="J8" s="48" t="s">
        <v>34</v>
      </c>
      <c r="K8" s="48" t="s">
        <v>35</v>
      </c>
      <c r="L8" s="48" t="s">
        <v>36</v>
      </c>
      <c r="M8" s="48" t="s">
        <v>37</v>
      </c>
      <c r="N8" s="48" t="s">
        <v>38</v>
      </c>
      <c r="O8" s="49" t="s">
        <v>39</v>
      </c>
      <c r="P8" s="48" t="s">
        <v>40</v>
      </c>
      <c r="Q8" s="48" t="s">
        <v>41</v>
      </c>
      <c r="R8" s="48" t="s">
        <v>42</v>
      </c>
      <c r="S8" s="48" t="s">
        <v>43</v>
      </c>
      <c r="T8" s="48" t="s">
        <v>44</v>
      </c>
      <c r="U8" s="48" t="s">
        <v>45</v>
      </c>
      <c r="V8" s="50" t="s">
        <v>46</v>
      </c>
      <c r="W8" s="53" t="s">
        <v>47</v>
      </c>
      <c r="X8" s="111" t="s">
        <v>48</v>
      </c>
      <c r="Y8" s="52" t="s">
        <v>49</v>
      </c>
      <c r="Z8" s="53" t="s">
        <v>49</v>
      </c>
      <c r="AA8" s="54" t="s">
        <v>49</v>
      </c>
      <c r="AB8" s="3"/>
    </row>
    <row r="9" spans="1:28" ht="18" customHeight="1">
      <c r="A9" s="112">
        <v>1</v>
      </c>
      <c r="B9" s="56">
        <v>16.2</v>
      </c>
      <c r="C9" s="73">
        <f>'[1]cálculos teóricos'!K308</f>
        <v>1.0361976761177196</v>
      </c>
      <c r="D9" s="58">
        <f>IF(B9&gt;0,B9*C9*14.25*1.022,-999)</f>
        <v>244.46877066947462</v>
      </c>
      <c r="E9" s="59">
        <f>IF(B9&gt;0,D9*4.1868/100,-999)</f>
        <v>10.235418490389563</v>
      </c>
      <c r="F9" s="60">
        <f>IF(B9&gt;0,(7.86+1.25*D9)*4.1868/100,-999)</f>
        <v>13.123355592986954</v>
      </c>
      <c r="G9" s="61">
        <f>'[1]cálculos teóricos'!T308</f>
        <v>40.013275169282224</v>
      </c>
      <c r="H9" s="62">
        <f>IF(B9&gt;0,100*F9/G9,-999)</f>
        <v>32.79750417196945</v>
      </c>
      <c r="I9" s="63"/>
      <c r="J9" s="63"/>
      <c r="K9" s="63"/>
      <c r="L9" s="63"/>
      <c r="M9" s="63"/>
      <c r="N9" s="63">
        <v>0.6</v>
      </c>
      <c r="O9" s="64">
        <v>0.4</v>
      </c>
      <c r="P9" s="63">
        <v>0.1</v>
      </c>
      <c r="Q9" s="63"/>
      <c r="R9" s="63">
        <v>0.5</v>
      </c>
      <c r="S9" s="63">
        <v>0.4</v>
      </c>
      <c r="T9" s="63">
        <v>0.1</v>
      </c>
      <c r="U9" s="63">
        <v>0.2</v>
      </c>
      <c r="V9" s="212"/>
      <c r="W9" s="118">
        <f t="shared" ref="W9:W38" si="0">SUM(I9:O9)</f>
        <v>1</v>
      </c>
      <c r="X9" s="201">
        <f>SUM(P9:V9)</f>
        <v>1.3</v>
      </c>
      <c r="Y9" s="213">
        <f>W9+X9</f>
        <v>2.2999999999999998</v>
      </c>
      <c r="Z9" s="70">
        <f>'[1]cálculos teóricos'!I308</f>
        <v>12.847696266824101</v>
      </c>
      <c r="AA9" s="71">
        <f>100*Y9/Z9</f>
        <v>17.902042142287897</v>
      </c>
      <c r="AB9" s="3"/>
    </row>
    <row r="10" spans="1:28" ht="18" customHeight="1">
      <c r="A10" s="112">
        <v>2</v>
      </c>
      <c r="B10" s="56">
        <v>31.5</v>
      </c>
      <c r="C10" s="73">
        <f>'[1]cálculos teóricos'!K309</f>
        <v>1.0365471988625521</v>
      </c>
      <c r="D10" s="58">
        <f>IF(B10&gt;0,B10*C10*14.25*1.022,-999)</f>
        <v>475.51628661499552</v>
      </c>
      <c r="E10" s="59">
        <f>IF(B10&gt;0,D10*4.1868/100,-999)</f>
        <v>19.908915887996631</v>
      </c>
      <c r="F10" s="60">
        <f>IF(B10&gt;0,(7.86+1.25*D10)*4.1868/100,-999)</f>
        <v>25.215227339995792</v>
      </c>
      <c r="G10" s="61">
        <f>'[1]cálculos teóricos'!T309</f>
        <v>40.126684682382106</v>
      </c>
      <c r="H10" s="74">
        <f>IF(B10&gt;0,100*F10/G10,-999)</f>
        <v>62.839049723603772</v>
      </c>
      <c r="I10" s="56"/>
      <c r="J10" s="75"/>
      <c r="K10" s="75">
        <v>0.2</v>
      </c>
      <c r="L10" s="75">
        <v>0.9</v>
      </c>
      <c r="M10" s="75">
        <v>1</v>
      </c>
      <c r="N10" s="75">
        <v>1</v>
      </c>
      <c r="O10" s="76">
        <v>1</v>
      </c>
      <c r="P10" s="78">
        <v>0.4</v>
      </c>
      <c r="Q10" s="81">
        <v>1</v>
      </c>
      <c r="R10" s="81">
        <v>0.3</v>
      </c>
      <c r="S10" s="81">
        <v>0.9</v>
      </c>
      <c r="T10" s="81">
        <v>0.3</v>
      </c>
      <c r="U10" s="81"/>
      <c r="V10" s="212"/>
      <c r="W10" s="118">
        <f t="shared" si="0"/>
        <v>4.0999999999999996</v>
      </c>
      <c r="X10" s="68">
        <f t="shared" ref="X10:X38" si="1">SUM(P10:V10)</f>
        <v>2.9</v>
      </c>
      <c r="Y10" s="214">
        <f t="shared" ref="Y10:Y35" si="2">W10+X10</f>
        <v>7</v>
      </c>
      <c r="Z10" s="70">
        <f>'[1]cálculos teóricos'!I309</f>
        <v>12.867886864875677</v>
      </c>
      <c r="AA10" s="71">
        <f t="shared" ref="AA10:AA38" si="3">100*Y10/Z10</f>
        <v>54.398986201124252</v>
      </c>
      <c r="AB10" s="3"/>
    </row>
    <row r="11" spans="1:28" ht="18" customHeight="1">
      <c r="A11" s="112">
        <v>3</v>
      </c>
      <c r="B11" s="56">
        <v>28.8</v>
      </c>
      <c r="C11" s="73">
        <f>'[1]cálculos teóricos'!K310</f>
        <v>1.0368857158244706</v>
      </c>
      <c r="D11" s="58">
        <f t="shared" ref="D11:D38" si="4">IF(B11&gt;0,B11*C11*14.25*1.022,-999)</f>
        <v>434.89973152539875</v>
      </c>
      <c r="E11" s="59">
        <f t="shared" ref="E11:E38" si="5">IF(B11&gt;0,D11*4.1868/100,-999)</f>
        <v>18.208381959505392</v>
      </c>
      <c r="F11" s="60">
        <f t="shared" ref="F11:F38" si="6">IF(B11&gt;0,(7.86+1.25*D11)*4.1868/100,-999)</f>
        <v>23.089559929381743</v>
      </c>
      <c r="G11" s="61">
        <f>'[1]cálculos teóricos'!T310</f>
        <v>40.237876041340378</v>
      </c>
      <c r="H11" s="74">
        <f t="shared" ref="H11:H38" si="7">IF(B11&gt;0,100*F11/G11,-999)</f>
        <v>57.382650877644586</v>
      </c>
      <c r="I11" s="56"/>
      <c r="J11" s="75"/>
      <c r="K11" s="75">
        <v>0.4</v>
      </c>
      <c r="L11" s="75"/>
      <c r="M11" s="75">
        <v>0.4</v>
      </c>
      <c r="N11" s="75">
        <v>0.4</v>
      </c>
      <c r="O11" s="76">
        <v>1</v>
      </c>
      <c r="P11" s="78">
        <v>1</v>
      </c>
      <c r="Q11" s="81">
        <v>1</v>
      </c>
      <c r="R11" s="81">
        <v>1</v>
      </c>
      <c r="S11" s="81">
        <v>1</v>
      </c>
      <c r="T11" s="81">
        <v>0.2</v>
      </c>
      <c r="U11" s="81"/>
      <c r="V11" s="212"/>
      <c r="W11" s="118">
        <f t="shared" si="0"/>
        <v>2.2000000000000002</v>
      </c>
      <c r="X11" s="68">
        <f t="shared" si="1"/>
        <v>4.2</v>
      </c>
      <c r="Y11" s="214">
        <f t="shared" si="2"/>
        <v>6.4</v>
      </c>
      <c r="Z11" s="70">
        <f>'[1]cálculos teóricos'!I310</f>
        <v>12.887894761778501</v>
      </c>
      <c r="AA11" s="71">
        <f t="shared" si="3"/>
        <v>49.659002640062013</v>
      </c>
      <c r="AB11" s="3"/>
    </row>
    <row r="12" spans="1:28" ht="18" customHeight="1">
      <c r="A12" s="112">
        <v>4</v>
      </c>
      <c r="B12" s="56">
        <v>33.299999999999997</v>
      </c>
      <c r="C12" s="73">
        <f>'[1]cálculos teóricos'!K311</f>
        <v>1.0372133543534348</v>
      </c>
      <c r="D12" s="58">
        <f t="shared" si="4"/>
        <v>503.01170764800401</v>
      </c>
      <c r="E12" s="59">
        <f t="shared" si="5"/>
        <v>21.060094175806629</v>
      </c>
      <c r="F12" s="60">
        <f t="shared" si="6"/>
        <v>26.654200199758289</v>
      </c>
      <c r="G12" s="61">
        <f>'[1]cálculos teóricos'!T311</f>
        <v>40.346840870923295</v>
      </c>
      <c r="H12" s="74">
        <f t="shared" si="7"/>
        <v>66.062669652451362</v>
      </c>
      <c r="I12" s="56"/>
      <c r="J12" s="75"/>
      <c r="K12" s="75"/>
      <c r="L12" s="75">
        <v>0.2</v>
      </c>
      <c r="M12" s="75">
        <v>1</v>
      </c>
      <c r="N12" s="75">
        <v>1</v>
      </c>
      <c r="O12" s="76">
        <v>1</v>
      </c>
      <c r="P12" s="78">
        <v>1</v>
      </c>
      <c r="Q12" s="81">
        <v>1</v>
      </c>
      <c r="R12" s="81">
        <v>0.8</v>
      </c>
      <c r="S12" s="81">
        <v>1</v>
      </c>
      <c r="T12" s="81">
        <v>1</v>
      </c>
      <c r="U12" s="81">
        <v>0.5</v>
      </c>
      <c r="V12" s="212"/>
      <c r="W12" s="118">
        <f t="shared" si="0"/>
        <v>3.2</v>
      </c>
      <c r="X12" s="68">
        <f t="shared" si="1"/>
        <v>5.3</v>
      </c>
      <c r="Y12" s="214">
        <f t="shared" si="2"/>
        <v>8.5</v>
      </c>
      <c r="Z12" s="70">
        <f>'[1]cálculos teóricos'!I311</f>
        <v>12.907711856619468</v>
      </c>
      <c r="AA12" s="71">
        <f t="shared" si="3"/>
        <v>65.852105271787124</v>
      </c>
      <c r="AB12" s="3"/>
    </row>
    <row r="13" spans="1:28" ht="18" customHeight="1">
      <c r="A13" s="72">
        <v>5</v>
      </c>
      <c r="B13" s="56">
        <v>37</v>
      </c>
      <c r="C13" s="73">
        <f>'[1]cálculos teóricos'!K312</f>
        <v>1.0375302484934286</v>
      </c>
      <c r="D13" s="58">
        <f t="shared" si="4"/>
        <v>559.07265563555973</v>
      </c>
      <c r="E13" s="59">
        <f t="shared" si="5"/>
        <v>23.407253946149613</v>
      </c>
      <c r="F13" s="60">
        <f t="shared" si="6"/>
        <v>29.588149912687019</v>
      </c>
      <c r="G13" s="61">
        <f>'[1]cálculos teóricos'!T312</f>
        <v>40.453572052854859</v>
      </c>
      <c r="H13" s="74">
        <f t="shared" si="7"/>
        <v>73.141006865916424</v>
      </c>
      <c r="I13" s="56"/>
      <c r="J13" s="75">
        <v>0.4</v>
      </c>
      <c r="K13" s="75">
        <v>0.8</v>
      </c>
      <c r="L13" s="75">
        <v>1</v>
      </c>
      <c r="M13" s="75">
        <v>1</v>
      </c>
      <c r="N13" s="75">
        <v>1</v>
      </c>
      <c r="O13" s="76">
        <v>1</v>
      </c>
      <c r="P13" s="78">
        <v>1</v>
      </c>
      <c r="Q13" s="81">
        <v>1</v>
      </c>
      <c r="R13" s="81">
        <v>1</v>
      </c>
      <c r="S13" s="81">
        <v>1</v>
      </c>
      <c r="T13" s="81">
        <v>1</v>
      </c>
      <c r="U13" s="81">
        <v>0.3</v>
      </c>
      <c r="V13" s="212"/>
      <c r="W13" s="118">
        <f t="shared" si="0"/>
        <v>5.2</v>
      </c>
      <c r="X13" s="68">
        <f t="shared" si="1"/>
        <v>5.3</v>
      </c>
      <c r="Y13" s="214">
        <f t="shared" si="2"/>
        <v>10.5</v>
      </c>
      <c r="Z13" s="70">
        <f>'[1]cálculos teóricos'!I312</f>
        <v>12.927329886767305</v>
      </c>
      <c r="AA13" s="71">
        <f t="shared" si="3"/>
        <v>81.223269553506384</v>
      </c>
      <c r="AB13" s="3"/>
    </row>
    <row r="14" spans="1:28" ht="18" customHeight="1">
      <c r="A14" s="112">
        <v>6</v>
      </c>
      <c r="B14" s="56">
        <v>37.6</v>
      </c>
      <c r="C14" s="73">
        <f>'[1]cálculos teóricos'!K313</f>
        <v>1.0378365387300734</v>
      </c>
      <c r="D14" s="58">
        <f t="shared" si="4"/>
        <v>568.30641943550791</v>
      </c>
      <c r="E14" s="59">
        <f t="shared" si="5"/>
        <v>23.793853168925843</v>
      </c>
      <c r="F14" s="60">
        <f t="shared" si="6"/>
        <v>30.071398941157305</v>
      </c>
      <c r="G14" s="61">
        <f>'[1]cálculos teóricos'!T313</f>
        <v>40.558063702289274</v>
      </c>
      <c r="H14" s="74">
        <f t="shared" si="7"/>
        <v>74.144069504629584</v>
      </c>
      <c r="I14" s="56"/>
      <c r="J14" s="75">
        <v>0.7</v>
      </c>
      <c r="K14" s="75">
        <v>1</v>
      </c>
      <c r="L14" s="75">
        <v>1</v>
      </c>
      <c r="M14" s="75">
        <v>1</v>
      </c>
      <c r="N14" s="75">
        <v>1</v>
      </c>
      <c r="O14" s="76">
        <v>1</v>
      </c>
      <c r="P14" s="78">
        <v>1</v>
      </c>
      <c r="Q14" s="81">
        <v>1</v>
      </c>
      <c r="R14" s="81">
        <v>1</v>
      </c>
      <c r="S14" s="81">
        <v>1</v>
      </c>
      <c r="T14" s="81">
        <v>0.6</v>
      </c>
      <c r="U14" s="81">
        <v>0.6</v>
      </c>
      <c r="V14" s="212"/>
      <c r="W14" s="118">
        <f t="shared" si="0"/>
        <v>5.7</v>
      </c>
      <c r="X14" s="68">
        <f t="shared" si="1"/>
        <v>5.1999999999999993</v>
      </c>
      <c r="Y14" s="214">
        <f t="shared" si="2"/>
        <v>10.899999999999999</v>
      </c>
      <c r="Z14" s="70">
        <f>'[1]cálculos teóricos'!I313</f>
        <v>12.946740432424651</v>
      </c>
      <c r="AA14" s="71">
        <f t="shared" si="3"/>
        <v>84.191075405368721</v>
      </c>
      <c r="AB14" s="3"/>
    </row>
    <row r="15" spans="1:28" ht="18" customHeight="1">
      <c r="A15" s="72">
        <v>7</v>
      </c>
      <c r="B15" s="56">
        <v>37.299999999999997</v>
      </c>
      <c r="C15" s="73">
        <f>'[1]cálculos teóricos'!K314</f>
        <v>1.0381323717224153</v>
      </c>
      <c r="D15" s="58">
        <f t="shared" si="4"/>
        <v>563.93276167511158</v>
      </c>
      <c r="E15" s="59">
        <f t="shared" si="5"/>
        <v>23.610736865813568</v>
      </c>
      <c r="F15" s="60">
        <f t="shared" si="6"/>
        <v>29.842503562266966</v>
      </c>
      <c r="G15" s="61">
        <f>'[1]cálculos teóricos'!T314</f>
        <v>40.660311141513574</v>
      </c>
      <c r="H15" s="74">
        <f t="shared" si="7"/>
        <v>73.394675850864829</v>
      </c>
      <c r="I15" s="56">
        <v>0.1</v>
      </c>
      <c r="J15" s="75">
        <v>1</v>
      </c>
      <c r="K15" s="75">
        <v>1</v>
      </c>
      <c r="L15" s="75">
        <v>1</v>
      </c>
      <c r="M15" s="75">
        <v>1</v>
      </c>
      <c r="N15" s="75">
        <v>1</v>
      </c>
      <c r="O15" s="76">
        <v>1</v>
      </c>
      <c r="P15" s="78">
        <v>1</v>
      </c>
      <c r="Q15" s="78">
        <v>1</v>
      </c>
      <c r="R15" s="75">
        <v>1</v>
      </c>
      <c r="S15" s="75">
        <v>1</v>
      </c>
      <c r="T15" s="81">
        <v>1</v>
      </c>
      <c r="U15" s="81">
        <v>0.2</v>
      </c>
      <c r="V15" s="212"/>
      <c r="W15" s="118">
        <f t="shared" si="0"/>
        <v>6.1</v>
      </c>
      <c r="X15" s="68">
        <f t="shared" si="1"/>
        <v>5.2</v>
      </c>
      <c r="Y15" s="214">
        <f t="shared" si="2"/>
        <v>11.3</v>
      </c>
      <c r="Z15" s="70">
        <f>'[1]cálculos teóricos'!I314</f>
        <v>12.965934921865541</v>
      </c>
      <c r="AA15" s="71">
        <f t="shared" si="3"/>
        <v>87.151447759805308</v>
      </c>
      <c r="AB15" s="3"/>
    </row>
    <row r="16" spans="1:28" ht="18" customHeight="1">
      <c r="A16" s="79">
        <v>8</v>
      </c>
      <c r="B16" s="75">
        <v>31.4</v>
      </c>
      <c r="C16" s="73">
        <f>'[1]cálculos teóricos'!K315</f>
        <v>1.0384179000189673</v>
      </c>
      <c r="D16" s="58">
        <f t="shared" si="4"/>
        <v>474.86217132948366</v>
      </c>
      <c r="E16" s="59">
        <f t="shared" si="5"/>
        <v>19.88152938922282</v>
      </c>
      <c r="F16" s="60">
        <f t="shared" si="6"/>
        <v>25.180994216528529</v>
      </c>
      <c r="G16" s="61">
        <f>'[1]cálculos teóricos'!T315</f>
        <v>40.76031087089649</v>
      </c>
      <c r="H16" s="74">
        <f t="shared" si="7"/>
        <v>61.778219249324124</v>
      </c>
      <c r="I16" s="78">
        <v>0.2</v>
      </c>
      <c r="J16" s="80">
        <v>1</v>
      </c>
      <c r="K16" s="80">
        <v>1</v>
      </c>
      <c r="L16" s="80">
        <v>1</v>
      </c>
      <c r="M16" s="80">
        <v>1</v>
      </c>
      <c r="N16" s="80">
        <v>1</v>
      </c>
      <c r="O16" s="77">
        <v>1</v>
      </c>
      <c r="P16" s="81">
        <v>1</v>
      </c>
      <c r="Q16" s="81">
        <v>1</v>
      </c>
      <c r="R16" s="80">
        <v>0.6</v>
      </c>
      <c r="S16" s="80"/>
      <c r="T16" s="80"/>
      <c r="U16" s="80"/>
      <c r="V16" s="212"/>
      <c r="W16" s="118">
        <f t="shared" si="0"/>
        <v>6.2</v>
      </c>
      <c r="X16" s="68">
        <f t="shared" si="1"/>
        <v>2.6</v>
      </c>
      <c r="Y16" s="214">
        <f t="shared" si="2"/>
        <v>8.8000000000000007</v>
      </c>
      <c r="Z16" s="70">
        <f>'[1]cálculos teóricos'!I315</f>
        <v>12.984904637375484</v>
      </c>
      <c r="AA16" s="71">
        <f t="shared" si="3"/>
        <v>67.771002142520643</v>
      </c>
      <c r="AB16" s="3"/>
    </row>
    <row r="17" spans="1:28" ht="18" customHeight="1">
      <c r="A17" s="79">
        <v>9</v>
      </c>
      <c r="B17" s="75">
        <v>9.6</v>
      </c>
      <c r="C17" s="73">
        <f>'[1]cálculos teóricos'!K316</f>
        <v>1.0386932817581682</v>
      </c>
      <c r="D17" s="58">
        <f t="shared" si="4"/>
        <v>145.2192922452968</v>
      </c>
      <c r="E17" s="59">
        <f t="shared" si="5"/>
        <v>6.0800413277260859</v>
      </c>
      <c r="F17" s="60">
        <f t="shared" si="6"/>
        <v>7.9291341396576094</v>
      </c>
      <c r="G17" s="61">
        <f>'[1]cálculos teóricos'!T316</f>
        <v>40.858060537111371</v>
      </c>
      <c r="H17" s="74">
        <f t="shared" si="7"/>
        <v>19.406535786140847</v>
      </c>
      <c r="I17" s="78"/>
      <c r="J17" s="80"/>
      <c r="K17" s="80"/>
      <c r="L17" s="80"/>
      <c r="M17" s="80"/>
      <c r="N17" s="80"/>
      <c r="O17" s="77"/>
      <c r="P17" s="78"/>
      <c r="Q17" s="81"/>
      <c r="R17" s="80"/>
      <c r="S17" s="80"/>
      <c r="T17" s="80"/>
      <c r="U17" s="80"/>
      <c r="V17" s="212"/>
      <c r="W17" s="118">
        <f t="shared" si="0"/>
        <v>0</v>
      </c>
      <c r="X17" s="68">
        <f t="shared" si="1"/>
        <v>0</v>
      </c>
      <c r="Y17" s="214">
        <f t="shared" si="2"/>
        <v>0</v>
      </c>
      <c r="Z17" s="70">
        <f>'[1]cálculos teóricos'!I316</f>
        <v>13.003640721909486</v>
      </c>
      <c r="AA17" s="71">
        <f t="shared" si="3"/>
        <v>0</v>
      </c>
      <c r="AB17" s="3"/>
    </row>
    <row r="18" spans="1:28" ht="18" customHeight="1">
      <c r="A18" s="79">
        <v>10</v>
      </c>
      <c r="B18" s="75">
        <v>22.1</v>
      </c>
      <c r="C18" s="73">
        <f>'[1]cálculos teóricos'!K317</f>
        <v>1.0389586803534896</v>
      </c>
      <c r="D18" s="58">
        <f t="shared" si="4"/>
        <v>334.39233178334985</v>
      </c>
      <c r="E18" s="59">
        <f t="shared" si="5"/>
        <v>14.000338147105289</v>
      </c>
      <c r="F18" s="60">
        <f t="shared" si="6"/>
        <v>17.829505163881613</v>
      </c>
      <c r="G18" s="61">
        <f>'[1]cálculos teóricos'!T317</f>
        <v>40.95355889867507</v>
      </c>
      <c r="H18" s="74">
        <f t="shared" si="7"/>
        <v>43.535911513806028</v>
      </c>
      <c r="I18" s="78"/>
      <c r="J18" s="80">
        <v>0.4</v>
      </c>
      <c r="K18" s="80">
        <v>0.4</v>
      </c>
      <c r="L18" s="80">
        <v>0.9</v>
      </c>
      <c r="M18" s="80">
        <v>0.9</v>
      </c>
      <c r="N18" s="80">
        <v>0.2</v>
      </c>
      <c r="O18" s="77">
        <v>0.2</v>
      </c>
      <c r="P18" s="81">
        <v>0.2</v>
      </c>
      <c r="Q18" s="80"/>
      <c r="R18" s="80"/>
      <c r="S18" s="80"/>
      <c r="T18" s="80"/>
      <c r="U18" s="80"/>
      <c r="V18" s="212"/>
      <c r="W18" s="118">
        <f t="shared" si="0"/>
        <v>3.0000000000000004</v>
      </c>
      <c r="X18" s="68">
        <f t="shared" si="1"/>
        <v>0.2</v>
      </c>
      <c r="Y18" s="214">
        <f t="shared" si="2"/>
        <v>3.2000000000000006</v>
      </c>
      <c r="Z18" s="70">
        <f>'[1]cálculos teóricos'!I317</f>
        <v>13.022134186481196</v>
      </c>
      <c r="AA18" s="71">
        <f t="shared" si="3"/>
        <v>24.573544967168669</v>
      </c>
      <c r="AB18" s="3"/>
    </row>
    <row r="19" spans="1:28" ht="18" customHeight="1">
      <c r="A19" s="84">
        <v>11</v>
      </c>
      <c r="B19" s="75">
        <v>3.7</v>
      </c>
      <c r="C19" s="73">
        <f>'[1]cálculos teóricos'!K318</f>
        <v>1.0392142641634872</v>
      </c>
      <c r="D19" s="58">
        <f t="shared" si="4"/>
        <v>55.998008663736307</v>
      </c>
      <c r="E19" s="59">
        <f t="shared" si="5"/>
        <v>2.3445246267333117</v>
      </c>
      <c r="F19" s="60">
        <f t="shared" si="6"/>
        <v>3.2597382634166401</v>
      </c>
      <c r="G19" s="61">
        <f>'[1]cálculos teóricos'!T318</f>
        <v>41.046805788856631</v>
      </c>
      <c r="H19" s="74">
        <f t="shared" si="7"/>
        <v>7.941515060111187</v>
      </c>
      <c r="I19" s="78"/>
      <c r="J19" s="80"/>
      <c r="K19" s="80"/>
      <c r="L19" s="80"/>
      <c r="M19" s="80"/>
      <c r="N19" s="80"/>
      <c r="O19" s="77"/>
      <c r="P19" s="81"/>
      <c r="Q19" s="80"/>
      <c r="R19" s="80"/>
      <c r="S19" s="80"/>
      <c r="T19" s="80"/>
      <c r="U19" s="80"/>
      <c r="V19" s="212"/>
      <c r="W19" s="118">
        <f t="shared" si="0"/>
        <v>0</v>
      </c>
      <c r="X19" s="68">
        <f t="shared" si="1"/>
        <v>0</v>
      </c>
      <c r="Y19" s="214">
        <f t="shared" si="2"/>
        <v>0</v>
      </c>
      <c r="Z19" s="70">
        <f>'[1]cálculos teóricos'!I318</f>
        <v>13.040375918294128</v>
      </c>
      <c r="AA19" s="71">
        <f t="shared" si="3"/>
        <v>0</v>
      </c>
      <c r="AB19" s="3"/>
    </row>
    <row r="20" spans="1:28" ht="18" customHeight="1">
      <c r="A20" s="84">
        <v>12</v>
      </c>
      <c r="B20" s="75">
        <v>17</v>
      </c>
      <c r="C20" s="73">
        <f>'[1]cálculos teóricos'!K319</f>
        <v>1.0394602061471769</v>
      </c>
      <c r="D20" s="58">
        <f t="shared" si="4"/>
        <v>257.34903810781498</v>
      </c>
      <c r="E20" s="59">
        <f t="shared" si="5"/>
        <v>10.774689527497996</v>
      </c>
      <c r="F20" s="60">
        <f t="shared" si="6"/>
        <v>13.797444389372497</v>
      </c>
      <c r="G20" s="61">
        <f>'[1]cálculos teóricos'!T319</f>
        <v>41.137802076023092</v>
      </c>
      <c r="H20" s="74">
        <f t="shared" si="7"/>
        <v>33.539575993570764</v>
      </c>
      <c r="I20" s="78"/>
      <c r="J20" s="80"/>
      <c r="K20" s="80"/>
      <c r="L20" s="80">
        <v>0.4</v>
      </c>
      <c r="M20" s="80"/>
      <c r="N20" s="80"/>
      <c r="O20" s="77"/>
      <c r="P20" s="81"/>
      <c r="Q20" s="80">
        <v>0.6</v>
      </c>
      <c r="R20" s="80"/>
      <c r="S20" s="80"/>
      <c r="T20" s="80"/>
      <c r="U20" s="80"/>
      <c r="V20" s="212"/>
      <c r="W20" s="118">
        <f t="shared" si="0"/>
        <v>0.4</v>
      </c>
      <c r="X20" s="68">
        <f t="shared" si="1"/>
        <v>0.6</v>
      </c>
      <c r="Y20" s="214">
        <f t="shared" si="2"/>
        <v>1</v>
      </c>
      <c r="Z20" s="70">
        <f>'[1]cálculos teóricos'!I319</f>
        <v>13.058356689623087</v>
      </c>
      <c r="AA20" s="71">
        <f t="shared" si="3"/>
        <v>7.6579314209930933</v>
      </c>
      <c r="AB20" s="3"/>
    </row>
    <row r="21" spans="1:28" ht="18" customHeight="1">
      <c r="A21" s="84">
        <v>13</v>
      </c>
      <c r="B21" s="75">
        <v>34</v>
      </c>
      <c r="C21" s="73">
        <f>'[1]cálculos teóricos'!K320</f>
        <v>1.0396966835051891</v>
      </c>
      <c r="D21" s="58">
        <f t="shared" si="4"/>
        <v>514.81517010774587</v>
      </c>
      <c r="E21" s="59">
        <f t="shared" si="5"/>
        <v>21.554281542071102</v>
      </c>
      <c r="F21" s="60">
        <f t="shared" si="6"/>
        <v>27.27193440758888</v>
      </c>
      <c r="G21" s="61">
        <f>'[1]cálculos teóricos'!T320</f>
        <v>41.226549621502578</v>
      </c>
      <c r="H21" s="74">
        <f t="shared" si="7"/>
        <v>66.151387050262926</v>
      </c>
      <c r="I21" s="78"/>
      <c r="J21" s="80">
        <v>0.2</v>
      </c>
      <c r="K21" s="80">
        <v>0.5</v>
      </c>
      <c r="L21" s="80">
        <v>0.8</v>
      </c>
      <c r="M21" s="80">
        <v>1</v>
      </c>
      <c r="N21" s="80">
        <v>1</v>
      </c>
      <c r="O21" s="77">
        <v>1</v>
      </c>
      <c r="P21" s="81">
        <v>1</v>
      </c>
      <c r="Q21" s="80">
        <v>1</v>
      </c>
      <c r="R21" s="80">
        <v>0.8</v>
      </c>
      <c r="S21" s="80">
        <v>0.6</v>
      </c>
      <c r="T21" s="80">
        <v>0.1</v>
      </c>
      <c r="U21" s="80"/>
      <c r="V21" s="212"/>
      <c r="W21" s="118">
        <f t="shared" si="0"/>
        <v>4.5</v>
      </c>
      <c r="X21" s="68">
        <f t="shared" si="1"/>
        <v>3.5</v>
      </c>
      <c r="Y21" s="214">
        <f t="shared" si="2"/>
        <v>8</v>
      </c>
      <c r="Z21" s="70">
        <f>'[1]cálculos teóricos'!I320</f>
        <v>13.076067167451267</v>
      </c>
      <c r="AA21" s="71">
        <f t="shared" si="3"/>
        <v>61.180474966612813</v>
      </c>
      <c r="AB21" s="3"/>
    </row>
    <row r="22" spans="1:28" ht="18" customHeight="1">
      <c r="A22" s="84">
        <v>14</v>
      </c>
      <c r="B22" s="75">
        <v>36.799999999999997</v>
      </c>
      <c r="C22" s="73">
        <f>'[1]cálculos teóricos'!K321</f>
        <v>1.0399238773072104</v>
      </c>
      <c r="D22" s="58">
        <f t="shared" si="4"/>
        <v>557.33347504761889</v>
      </c>
      <c r="E22" s="59">
        <f t="shared" si="5"/>
        <v>23.334437933293707</v>
      </c>
      <c r="F22" s="60">
        <f t="shared" si="6"/>
        <v>29.497129896617135</v>
      </c>
      <c r="G22" s="61">
        <f>'[1]cálculos teóricos'!T321</f>
        <v>41.31305123505652</v>
      </c>
      <c r="H22" s="74">
        <f t="shared" si="7"/>
        <v>71.399059170887654</v>
      </c>
      <c r="I22" s="78"/>
      <c r="J22" s="80"/>
      <c r="K22" s="80">
        <v>0.5</v>
      </c>
      <c r="L22" s="80">
        <v>1</v>
      </c>
      <c r="M22" s="80">
        <v>1</v>
      </c>
      <c r="N22" s="80">
        <v>1</v>
      </c>
      <c r="O22" s="77">
        <v>1</v>
      </c>
      <c r="P22" s="81">
        <v>1</v>
      </c>
      <c r="Q22" s="80">
        <v>0.9</v>
      </c>
      <c r="R22" s="80">
        <v>1</v>
      </c>
      <c r="S22" s="80">
        <v>1</v>
      </c>
      <c r="T22" s="80">
        <v>0.3</v>
      </c>
      <c r="U22" s="80"/>
      <c r="V22" s="212"/>
      <c r="W22" s="118">
        <f t="shared" si="0"/>
        <v>4.5</v>
      </c>
      <c r="X22" s="68">
        <f t="shared" si="1"/>
        <v>4.2</v>
      </c>
      <c r="Y22" s="214">
        <f t="shared" si="2"/>
        <v>8.6999999999999993</v>
      </c>
      <c r="Z22" s="70">
        <f>'[1]cálculos teóricos'!I321</f>
        <v>13.093497923865337</v>
      </c>
      <c r="AA22" s="71">
        <f t="shared" si="3"/>
        <v>66.445193259951026</v>
      </c>
      <c r="AB22" s="3"/>
    </row>
    <row r="23" spans="1:28" ht="18" customHeight="1">
      <c r="A23" s="84">
        <v>15</v>
      </c>
      <c r="B23" s="75">
        <v>33.4</v>
      </c>
      <c r="C23" s="73">
        <f>'[1]cálculos teóricos'!K322</f>
        <v>1.0401419721063272</v>
      </c>
      <c r="D23" s="58">
        <f t="shared" si="4"/>
        <v>505.94679419973454</v>
      </c>
      <c r="E23" s="59">
        <f t="shared" si="5"/>
        <v>21.182980379554483</v>
      </c>
      <c r="F23" s="60">
        <f t="shared" si="6"/>
        <v>26.807807954443106</v>
      </c>
      <c r="G23" s="61">
        <f>'[1]cálculos teóricos'!T322</f>
        <v>41.397310628066037</v>
      </c>
      <c r="H23" s="74">
        <f t="shared" si="7"/>
        <v>64.757365992437869</v>
      </c>
      <c r="I23" s="78"/>
      <c r="J23" s="80">
        <v>0.9</v>
      </c>
      <c r="K23" s="80">
        <v>1</v>
      </c>
      <c r="L23" s="80">
        <v>1</v>
      </c>
      <c r="M23" s="80">
        <v>1</v>
      </c>
      <c r="N23" s="80">
        <v>0.6</v>
      </c>
      <c r="O23" s="77">
        <v>0.9</v>
      </c>
      <c r="P23" s="81">
        <v>1</v>
      </c>
      <c r="Q23" s="80"/>
      <c r="R23" s="80">
        <v>0.6</v>
      </c>
      <c r="S23" s="80">
        <v>1</v>
      </c>
      <c r="T23" s="80">
        <v>1</v>
      </c>
      <c r="U23" s="80">
        <v>0.3</v>
      </c>
      <c r="V23" s="212"/>
      <c r="W23" s="118">
        <f t="shared" si="0"/>
        <v>5.4</v>
      </c>
      <c r="X23" s="68">
        <f t="shared" si="1"/>
        <v>3.9</v>
      </c>
      <c r="Y23" s="214">
        <f t="shared" si="2"/>
        <v>9.3000000000000007</v>
      </c>
      <c r="Z23" s="70">
        <f>'[1]cálculos teóricos'!I322</f>
        <v>13.110639447207307</v>
      </c>
      <c r="AA23" s="71">
        <f t="shared" si="3"/>
        <v>70.934755222644696</v>
      </c>
      <c r="AB23" s="3"/>
    </row>
    <row r="24" spans="1:28" ht="18" customHeight="1">
      <c r="A24" s="84">
        <v>16</v>
      </c>
      <c r="B24" s="75">
        <v>35.5</v>
      </c>
      <c r="C24" s="73">
        <f>'[1]cálculos teóricos'!K323</f>
        <v>1.0403511555409204</v>
      </c>
      <c r="D24" s="58">
        <f t="shared" si="4"/>
        <v>537.86596890706687</v>
      </c>
      <c r="E24" s="59">
        <f t="shared" si="5"/>
        <v>22.519372386201077</v>
      </c>
      <c r="F24" s="60">
        <f t="shared" si="6"/>
        <v>28.478297962751345</v>
      </c>
      <c r="G24" s="61">
        <f>'[1]cálculos teóricos'!T323</f>
        <v>41.479332364548611</v>
      </c>
      <c r="H24" s="74">
        <f t="shared" si="7"/>
        <v>68.656596765986194</v>
      </c>
      <c r="I24" s="78">
        <v>0.1</v>
      </c>
      <c r="J24" s="80">
        <v>1</v>
      </c>
      <c r="K24" s="80">
        <v>1</v>
      </c>
      <c r="L24" s="80">
        <v>1</v>
      </c>
      <c r="M24" s="80">
        <v>1</v>
      </c>
      <c r="N24" s="80">
        <v>1</v>
      </c>
      <c r="O24" s="77">
        <v>1</v>
      </c>
      <c r="P24" s="81">
        <v>1</v>
      </c>
      <c r="Q24" s="80">
        <v>1</v>
      </c>
      <c r="R24" s="80">
        <v>1</v>
      </c>
      <c r="S24" s="80">
        <v>0.7</v>
      </c>
      <c r="T24" s="80">
        <v>0.1</v>
      </c>
      <c r="U24" s="80"/>
      <c r="V24" s="212"/>
      <c r="W24" s="118">
        <f t="shared" si="0"/>
        <v>6.1</v>
      </c>
      <c r="X24" s="68">
        <f t="shared" si="1"/>
        <v>3.8000000000000003</v>
      </c>
      <c r="Y24" s="214">
        <f t="shared" si="2"/>
        <v>9.9</v>
      </c>
      <c r="Z24" s="70">
        <f>'[1]cálculos teóricos'!I323</f>
        <v>13.127482153978651</v>
      </c>
      <c r="AA24" s="71">
        <f t="shared" si="3"/>
        <v>75.414309338821141</v>
      </c>
      <c r="AB24" s="3"/>
    </row>
    <row r="25" spans="1:28" ht="18" customHeight="1">
      <c r="A25" s="84">
        <v>17</v>
      </c>
      <c r="B25" s="75">
        <v>31.9</v>
      </c>
      <c r="C25" s="73">
        <f>'[1]cálculos teóricos'!K324</f>
        <v>1.0405516179248628</v>
      </c>
      <c r="D25" s="58">
        <f t="shared" si="4"/>
        <v>483.41494425599478</v>
      </c>
      <c r="E25" s="59">
        <f t="shared" si="5"/>
        <v>20.239616886109989</v>
      </c>
      <c r="F25" s="60">
        <f t="shared" si="6"/>
        <v>25.628603587637485</v>
      </c>
      <c r="G25" s="61">
        <f>'[1]cálculos teóricos'!T324</f>
        <v>41.559121810132794</v>
      </c>
      <c r="H25" s="74">
        <f t="shared" si="7"/>
        <v>61.66781796960111</v>
      </c>
      <c r="I25" s="78">
        <v>0.2</v>
      </c>
      <c r="J25" s="80">
        <v>1</v>
      </c>
      <c r="K25" s="80">
        <v>1</v>
      </c>
      <c r="L25" s="80">
        <v>1</v>
      </c>
      <c r="M25" s="80">
        <v>1</v>
      </c>
      <c r="N25" s="80">
        <v>1</v>
      </c>
      <c r="O25" s="77">
        <v>1</v>
      </c>
      <c r="P25" s="81">
        <v>1</v>
      </c>
      <c r="Q25" s="80">
        <v>0.8</v>
      </c>
      <c r="R25" s="80">
        <v>1</v>
      </c>
      <c r="S25" s="80">
        <v>0.4</v>
      </c>
      <c r="T25" s="80">
        <v>0.9</v>
      </c>
      <c r="U25" s="80">
        <v>0.1</v>
      </c>
      <c r="V25" s="212"/>
      <c r="W25" s="118">
        <f t="shared" si="0"/>
        <v>6.2</v>
      </c>
      <c r="X25" s="68">
        <f t="shared" si="1"/>
        <v>4.1999999999999993</v>
      </c>
      <c r="Y25" s="214">
        <f t="shared" si="2"/>
        <v>10.399999999999999</v>
      </c>
      <c r="Z25" s="70">
        <f>'[1]cálculos teóricos'!I324</f>
        <v>13.144016401488095</v>
      </c>
      <c r="AA25" s="71">
        <f t="shared" si="3"/>
        <v>79.123455740838594</v>
      </c>
      <c r="AB25" s="3"/>
    </row>
    <row r="26" spans="1:28" ht="18" customHeight="1">
      <c r="A26" s="84">
        <v>18</v>
      </c>
      <c r="B26" s="75">
        <v>10.1</v>
      </c>
      <c r="C26" s="73">
        <f>'[1]cálculos teóricos'!K325</f>
        <v>1.0407435518268184</v>
      </c>
      <c r="D26" s="58">
        <f t="shared" si="4"/>
        <v>153.08437404200168</v>
      </c>
      <c r="E26" s="59">
        <f t="shared" si="5"/>
        <v>6.4093365723905267</v>
      </c>
      <c r="F26" s="60">
        <f t="shared" si="6"/>
        <v>8.3407531954881566</v>
      </c>
      <c r="G26" s="61">
        <f>'[1]cálculos teóricos'!T325</f>
        <v>41.636685079129691</v>
      </c>
      <c r="H26" s="74">
        <f t="shared" si="7"/>
        <v>20.032222016802539</v>
      </c>
      <c r="I26" s="78"/>
      <c r="J26" s="80"/>
      <c r="K26" s="80"/>
      <c r="L26" s="80"/>
      <c r="M26" s="80"/>
      <c r="N26" s="80"/>
      <c r="O26" s="77"/>
      <c r="P26" s="81"/>
      <c r="Q26" s="80"/>
      <c r="R26" s="80"/>
      <c r="S26" s="80"/>
      <c r="T26" s="80"/>
      <c r="U26" s="80"/>
      <c r="V26" s="212"/>
      <c r="W26" s="118">
        <f t="shared" si="0"/>
        <v>0</v>
      </c>
      <c r="X26" s="68">
        <f t="shared" si="1"/>
        <v>0</v>
      </c>
      <c r="Y26" s="214">
        <f t="shared" si="2"/>
        <v>0</v>
      </c>
      <c r="Z26" s="70">
        <f>'[1]cálculos teóricos'!I325</f>
        <v>13.160232501230519</v>
      </c>
      <c r="AA26" s="71">
        <f t="shared" si="3"/>
        <v>0</v>
      </c>
      <c r="AB26" s="3"/>
    </row>
    <row r="27" spans="1:28" ht="18" customHeight="1">
      <c r="A27" s="79">
        <v>19</v>
      </c>
      <c r="B27" s="75">
        <v>11</v>
      </c>
      <c r="C27" s="73">
        <f>'[1]cálculos teóricos'!K326</f>
        <v>1.0409271516395178</v>
      </c>
      <c r="D27" s="58">
        <f t="shared" si="4"/>
        <v>166.75496830192327</v>
      </c>
      <c r="E27" s="59">
        <f t="shared" si="5"/>
        <v>6.9816970128649238</v>
      </c>
      <c r="F27" s="60">
        <f t="shared" si="6"/>
        <v>9.056203746081156</v>
      </c>
      <c r="G27" s="61">
        <f>'[1]cálculos teóricos'!T326</f>
        <v>41.712028979849315</v>
      </c>
      <c r="H27" s="74">
        <f t="shared" si="7"/>
        <v>21.711252047835224</v>
      </c>
      <c r="I27" s="78"/>
      <c r="J27" s="80"/>
      <c r="K27" s="80"/>
      <c r="L27" s="80"/>
      <c r="M27" s="80"/>
      <c r="N27" s="80"/>
      <c r="O27" s="77"/>
      <c r="P27" s="81"/>
      <c r="Q27" s="80"/>
      <c r="R27" s="80"/>
      <c r="S27" s="80"/>
      <c r="T27" s="80"/>
      <c r="U27" s="80"/>
      <c r="V27" s="212"/>
      <c r="W27" s="118">
        <f t="shared" si="0"/>
        <v>0</v>
      </c>
      <c r="X27" s="68">
        <f t="shared" si="1"/>
        <v>0</v>
      </c>
      <c r="Y27" s="214">
        <f t="shared" si="2"/>
        <v>0</v>
      </c>
      <c r="Z27" s="70">
        <f>'[1]cálculos teóricos'!I326</f>
        <v>13.176120732980356</v>
      </c>
      <c r="AA27" s="71">
        <f t="shared" si="3"/>
        <v>0</v>
      </c>
      <c r="AB27" s="3"/>
    </row>
    <row r="28" spans="1:28" ht="18" customHeight="1">
      <c r="A28" s="79">
        <v>20</v>
      </c>
      <c r="B28" s="75">
        <v>20.5</v>
      </c>
      <c r="C28" s="73">
        <f>'[1]cálculos teóricos'!K327</f>
        <v>1.0411026131399503</v>
      </c>
      <c r="D28" s="58">
        <f t="shared" si="4"/>
        <v>310.82300708250517</v>
      </c>
      <c r="E28" s="59">
        <f t="shared" si="5"/>
        <v>13.013537660530325</v>
      </c>
      <c r="F28" s="60">
        <f t="shared" si="6"/>
        <v>16.596004555662908</v>
      </c>
      <c r="G28" s="61">
        <f>'[1]cálculos teóricos'!T327</f>
        <v>41.785160958320809</v>
      </c>
      <c r="H28" s="74">
        <f t="shared" si="7"/>
        <v>39.717459918885616</v>
      </c>
      <c r="I28" s="78"/>
      <c r="J28" s="80"/>
      <c r="K28" s="80"/>
      <c r="L28" s="80"/>
      <c r="M28" s="80">
        <v>0.4</v>
      </c>
      <c r="N28" s="80"/>
      <c r="O28" s="77">
        <v>0.4</v>
      </c>
      <c r="P28" s="81">
        <v>0.7</v>
      </c>
      <c r="Q28" s="80">
        <v>0.3</v>
      </c>
      <c r="R28" s="80">
        <v>0.3</v>
      </c>
      <c r="S28" s="80">
        <v>0.2</v>
      </c>
      <c r="T28" s="80"/>
      <c r="U28" s="80"/>
      <c r="V28" s="212"/>
      <c r="W28" s="118">
        <f t="shared" si="0"/>
        <v>0.8</v>
      </c>
      <c r="X28" s="68">
        <f t="shared" si="1"/>
        <v>1.5</v>
      </c>
      <c r="Y28" s="214">
        <f t="shared" si="2"/>
        <v>2.2999999999999998</v>
      </c>
      <c r="Z28" s="70">
        <f>'[1]cálculos teóricos'!I327</f>
        <v>13.191671359578162</v>
      </c>
      <c r="AA28" s="71">
        <f t="shared" si="3"/>
        <v>17.435243323659847</v>
      </c>
      <c r="AB28" s="3"/>
    </row>
    <row r="29" spans="1:28" ht="18" customHeight="1">
      <c r="A29" s="79">
        <v>21</v>
      </c>
      <c r="B29" s="75">
        <v>21.6</v>
      </c>
      <c r="C29" s="73">
        <f>'[1]cálculos teóricos'!K328</f>
        <v>1.0412701330414673</v>
      </c>
      <c r="D29" s="58">
        <f t="shared" si="4"/>
        <v>327.55401178306727</v>
      </c>
      <c r="E29" s="59">
        <f t="shared" si="5"/>
        <v>13.71403136533346</v>
      </c>
      <c r="F29" s="60">
        <f t="shared" si="6"/>
        <v>17.471621686666825</v>
      </c>
      <c r="G29" s="61">
        <f>'[1]cálculos teóricos'!T328</f>
        <v>41.856089040582916</v>
      </c>
      <c r="H29" s="74">
        <f t="shared" si="7"/>
        <v>41.742126622787559</v>
      </c>
      <c r="I29" s="78"/>
      <c r="J29" s="80"/>
      <c r="K29" s="80">
        <v>0.5</v>
      </c>
      <c r="L29" s="80">
        <v>0.9</v>
      </c>
      <c r="M29" s="80">
        <v>0.4</v>
      </c>
      <c r="N29" s="80"/>
      <c r="O29" s="76"/>
      <c r="P29" s="81"/>
      <c r="Q29" s="80">
        <v>0.1</v>
      </c>
      <c r="R29" s="80"/>
      <c r="S29" s="80"/>
      <c r="T29" s="80"/>
      <c r="U29" s="80"/>
      <c r="V29" s="212"/>
      <c r="W29" s="118">
        <f t="shared" si="0"/>
        <v>1.7999999999999998</v>
      </c>
      <c r="X29" s="68">
        <f t="shared" si="1"/>
        <v>0.1</v>
      </c>
      <c r="Y29" s="214">
        <f t="shared" si="2"/>
        <v>1.9</v>
      </c>
      <c r="Z29" s="70">
        <f>'[1]cálculos teóricos'!I328</f>
        <v>13.206874642384781</v>
      </c>
      <c r="AA29" s="71">
        <f t="shared" si="3"/>
        <v>14.386446842634033</v>
      </c>
      <c r="AB29" s="3"/>
    </row>
    <row r="30" spans="1:28" ht="18" customHeight="1">
      <c r="A30" s="84">
        <v>22</v>
      </c>
      <c r="B30" s="75">
        <v>37.4</v>
      </c>
      <c r="C30" s="73">
        <f>'[1]cálculos teóricos'!K329</f>
        <v>1.0414299085388574</v>
      </c>
      <c r="D30" s="58">
        <f t="shared" si="4"/>
        <v>567.2407312904113</v>
      </c>
      <c r="E30" s="59">
        <f t="shared" si="5"/>
        <v>23.749234937666937</v>
      </c>
      <c r="F30" s="60">
        <f t="shared" si="6"/>
        <v>30.015626152083676</v>
      </c>
      <c r="G30" s="61">
        <f>'[1]cálculos teóricos'!T329</f>
        <v>41.924821773720296</v>
      </c>
      <c r="H30" s="74">
        <f t="shared" si="7"/>
        <v>71.593926657783314</v>
      </c>
      <c r="I30" s="78"/>
      <c r="J30" s="80"/>
      <c r="K30" s="80"/>
      <c r="L30" s="80">
        <v>0.4</v>
      </c>
      <c r="M30" s="80">
        <v>1</v>
      </c>
      <c r="N30" s="80">
        <v>1</v>
      </c>
      <c r="O30" s="77">
        <v>1</v>
      </c>
      <c r="P30" s="81">
        <v>1</v>
      </c>
      <c r="Q30" s="80">
        <v>1</v>
      </c>
      <c r="R30" s="80">
        <v>1</v>
      </c>
      <c r="S30" s="80">
        <v>1</v>
      </c>
      <c r="T30" s="80">
        <v>1</v>
      </c>
      <c r="U30" s="80">
        <v>0.8</v>
      </c>
      <c r="V30" s="212"/>
      <c r="W30" s="118">
        <f t="shared" si="0"/>
        <v>3.4</v>
      </c>
      <c r="X30" s="68">
        <f t="shared" si="1"/>
        <v>5.8</v>
      </c>
      <c r="Y30" s="214">
        <f t="shared" si="2"/>
        <v>9.1999999999999993</v>
      </c>
      <c r="Z30" s="70">
        <f>'[1]cálculos teóricos'!I329</f>
        <v>13.221720857372709</v>
      </c>
      <c r="AA30" s="71">
        <f t="shared" si="3"/>
        <v>69.582470385236476</v>
      </c>
      <c r="AB30" s="3"/>
    </row>
    <row r="31" spans="1:28" ht="18" customHeight="1">
      <c r="A31" s="84">
        <v>23</v>
      </c>
      <c r="B31" s="75">
        <v>36.1</v>
      </c>
      <c r="C31" s="73">
        <f>'[1]cálculos teóricos'!K330</f>
        <v>1.0415821368474991</v>
      </c>
      <c r="D31" s="58">
        <f t="shared" si="4"/>
        <v>547.60384034422589</v>
      </c>
      <c r="E31" s="59">
        <f t="shared" si="5"/>
        <v>22.92707758753205</v>
      </c>
      <c r="F31" s="60">
        <f t="shared" si="6"/>
        <v>28.98792946441506</v>
      </c>
      <c r="G31" s="61">
        <f>'[1]cálculos teóricos'!T330</f>
        <v>41.991368165827453</v>
      </c>
      <c r="H31" s="74">
        <f t="shared" si="7"/>
        <v>69.033067343600905</v>
      </c>
      <c r="I31" s="78"/>
      <c r="J31" s="80">
        <v>0.9</v>
      </c>
      <c r="K31" s="80">
        <v>1</v>
      </c>
      <c r="L31" s="80">
        <v>1</v>
      </c>
      <c r="M31" s="80">
        <v>1</v>
      </c>
      <c r="N31" s="80">
        <v>1</v>
      </c>
      <c r="O31" s="77">
        <v>1</v>
      </c>
      <c r="P31" s="81">
        <v>1</v>
      </c>
      <c r="Q31" s="80">
        <v>1</v>
      </c>
      <c r="R31" s="80">
        <v>0.9</v>
      </c>
      <c r="S31" s="80">
        <v>1</v>
      </c>
      <c r="T31" s="80">
        <v>1</v>
      </c>
      <c r="U31" s="80">
        <v>0.5</v>
      </c>
      <c r="V31" s="212"/>
      <c r="W31" s="118">
        <f t="shared" si="0"/>
        <v>5.9</v>
      </c>
      <c r="X31" s="68">
        <f t="shared" si="1"/>
        <v>5.4</v>
      </c>
      <c r="Y31" s="214">
        <f t="shared" si="2"/>
        <v>11.3</v>
      </c>
      <c r="Z31" s="70">
        <f>'[1]cálculos teóricos'!I330</f>
        <v>13.236200311819495</v>
      </c>
      <c r="AA31" s="71">
        <f t="shared" si="3"/>
        <v>85.371932531947778</v>
      </c>
      <c r="AB31" s="3"/>
    </row>
    <row r="32" spans="1:28" ht="18" customHeight="1">
      <c r="A32" s="84">
        <v>24</v>
      </c>
      <c r="B32" s="75">
        <v>21.1</v>
      </c>
      <c r="C32" s="73">
        <f>'[1]cálculos teóricos'!K331</f>
        <v>1.0417270147377604</v>
      </c>
      <c r="D32" s="58">
        <f t="shared" si="4"/>
        <v>320.11213809971423</v>
      </c>
      <c r="E32" s="59">
        <f t="shared" si="5"/>
        <v>13.402454997958834</v>
      </c>
      <c r="F32" s="60">
        <f t="shared" si="6"/>
        <v>17.082151227448545</v>
      </c>
      <c r="G32" s="61">
        <f>'[1]cálculos teóricos'!T331</f>
        <v>42.055737625089591</v>
      </c>
      <c r="H32" s="74">
        <f t="shared" si="7"/>
        <v>40.61788519732842</v>
      </c>
      <c r="I32" s="78"/>
      <c r="J32" s="80"/>
      <c r="K32" s="80"/>
      <c r="L32" s="80">
        <v>0.2</v>
      </c>
      <c r="M32" s="80">
        <v>0.1</v>
      </c>
      <c r="N32" s="80">
        <v>0.1</v>
      </c>
      <c r="O32" s="77">
        <v>0.1</v>
      </c>
      <c r="P32" s="81">
        <v>0.8</v>
      </c>
      <c r="Q32" s="80">
        <v>0.9</v>
      </c>
      <c r="R32" s="80">
        <v>0.5</v>
      </c>
      <c r="S32" s="80"/>
      <c r="T32" s="80"/>
      <c r="U32" s="80"/>
      <c r="V32" s="212"/>
      <c r="W32" s="118">
        <f t="shared" si="0"/>
        <v>0.5</v>
      </c>
      <c r="X32" s="68">
        <f t="shared" si="1"/>
        <v>2.2000000000000002</v>
      </c>
      <c r="Y32" s="214">
        <f t="shared" si="2"/>
        <v>2.7</v>
      </c>
      <c r="Z32" s="70">
        <f>'[1]cálculos teóricos'!I331</f>
        <v>13.250303361563352</v>
      </c>
      <c r="AA32" s="71">
        <f t="shared" si="3"/>
        <v>20.376891957298081</v>
      </c>
      <c r="AB32" s="3"/>
    </row>
    <row r="33" spans="1:28" ht="18" customHeight="1">
      <c r="A33" s="84">
        <v>25</v>
      </c>
      <c r="B33" s="75">
        <v>33.9</v>
      </c>
      <c r="C33" s="73">
        <f>'[1]cálculos teóricos'!K332</f>
        <v>1.0418647380658455</v>
      </c>
      <c r="D33" s="58">
        <f t="shared" si="4"/>
        <v>514.37138212466368</v>
      </c>
      <c r="E33" s="59">
        <f t="shared" si="5"/>
        <v>21.535701026795419</v>
      </c>
      <c r="F33" s="60">
        <f t="shared" si="6"/>
        <v>27.248708763494275</v>
      </c>
      <c r="G33" s="61">
        <f>'[1]cálculos teóricos'!T332</f>
        <v>42.117939898174072</v>
      </c>
      <c r="H33" s="74">
        <f t="shared" si="7"/>
        <v>64.696205059819604</v>
      </c>
      <c r="I33" s="78"/>
      <c r="J33" s="80"/>
      <c r="K33" s="80"/>
      <c r="L33" s="80">
        <v>0.6</v>
      </c>
      <c r="M33" s="80">
        <v>1</v>
      </c>
      <c r="N33" s="80">
        <v>1</v>
      </c>
      <c r="O33" s="77">
        <v>1</v>
      </c>
      <c r="P33" s="81">
        <v>1</v>
      </c>
      <c r="Q33" s="80">
        <v>1</v>
      </c>
      <c r="R33" s="80">
        <v>1</v>
      </c>
      <c r="S33" s="80">
        <v>1</v>
      </c>
      <c r="T33" s="80">
        <v>0.3</v>
      </c>
      <c r="U33" s="80"/>
      <c r="V33" s="212"/>
      <c r="W33" s="118">
        <f t="shared" si="0"/>
        <v>3.6</v>
      </c>
      <c r="X33" s="68">
        <f t="shared" si="1"/>
        <v>4.3</v>
      </c>
      <c r="Y33" s="214">
        <f t="shared" si="2"/>
        <v>7.9</v>
      </c>
      <c r="Z33" s="70">
        <f>'[1]cálculos teóricos'!I332</f>
        <v>13.264020428776165</v>
      </c>
      <c r="AA33" s="71">
        <f t="shared" si="3"/>
        <v>59.559618762807588</v>
      </c>
      <c r="AB33" s="3"/>
    </row>
    <row r="34" spans="1:28" ht="18" customHeight="1">
      <c r="A34" s="84">
        <v>26</v>
      </c>
      <c r="B34" s="75">
        <v>13.3</v>
      </c>
      <c r="C34" s="73">
        <f>'[1]cálculos teóricos'!K333</f>
        <v>1.0419955013023439</v>
      </c>
      <c r="D34" s="58">
        <f t="shared" si="4"/>
        <v>201.82884972678193</v>
      </c>
      <c r="E34" s="59">
        <f t="shared" si="5"/>
        <v>8.450170280360906</v>
      </c>
      <c r="F34" s="60">
        <f t="shared" si="6"/>
        <v>10.891795330451131</v>
      </c>
      <c r="G34" s="61">
        <f>'[1]cálculos teóricos'!T333</f>
        <v>42.17798500813155</v>
      </c>
      <c r="H34" s="74">
        <f t="shared" si="7"/>
        <v>25.823413158194466</v>
      </c>
      <c r="I34" s="78"/>
      <c r="J34" s="80"/>
      <c r="K34" s="80"/>
      <c r="L34" s="80"/>
      <c r="M34" s="80"/>
      <c r="N34" s="80"/>
      <c r="O34" s="77"/>
      <c r="P34" s="81"/>
      <c r="Q34" s="80"/>
      <c r="R34" s="80"/>
      <c r="S34" s="80"/>
      <c r="T34" s="80">
        <v>0.7</v>
      </c>
      <c r="U34" s="80">
        <v>0.4</v>
      </c>
      <c r="V34" s="212"/>
      <c r="W34" s="118">
        <f t="shared" si="0"/>
        <v>0</v>
      </c>
      <c r="X34" s="68">
        <f t="shared" si="1"/>
        <v>1.1000000000000001</v>
      </c>
      <c r="Y34" s="214">
        <f t="shared" si="2"/>
        <v>1.1000000000000001</v>
      </c>
      <c r="Z34" s="70">
        <f>'[1]cálculos teóricos'!I333</f>
        <v>13.277342020204403</v>
      </c>
      <c r="AA34" s="71">
        <f t="shared" si="3"/>
        <v>8.2847907233699907</v>
      </c>
      <c r="AB34" s="3"/>
    </row>
    <row r="35" spans="1:28" ht="18" customHeight="1">
      <c r="A35" s="84">
        <v>27</v>
      </c>
      <c r="B35" s="75">
        <v>31.1</v>
      </c>
      <c r="C35" s="73">
        <f>'[1]cálculos teóricos'!K334</f>
        <v>1.0421194970597658</v>
      </c>
      <c r="D35" s="58">
        <f t="shared" si="4"/>
        <v>472.00181688786989</v>
      </c>
      <c r="E35" s="59">
        <f t="shared" si="5"/>
        <v>19.761772069461337</v>
      </c>
      <c r="F35" s="60">
        <f t="shared" si="6"/>
        <v>25.03129756682667</v>
      </c>
      <c r="G35" s="61">
        <f>'[1]cálculos teóricos'!T334</f>
        <v>42.235883192008956</v>
      </c>
      <c r="H35" s="74">
        <f t="shared" si="7"/>
        <v>59.265476829338802</v>
      </c>
      <c r="I35" s="78">
        <v>0.2</v>
      </c>
      <c r="J35" s="80">
        <v>0.4</v>
      </c>
      <c r="K35" s="80">
        <v>1</v>
      </c>
      <c r="L35" s="80">
        <v>1</v>
      </c>
      <c r="M35" s="80">
        <v>1</v>
      </c>
      <c r="N35" s="80">
        <v>1</v>
      </c>
      <c r="O35" s="77">
        <v>1</v>
      </c>
      <c r="P35" s="81">
        <v>1</v>
      </c>
      <c r="Q35" s="80">
        <v>1</v>
      </c>
      <c r="R35" s="80">
        <v>1</v>
      </c>
      <c r="S35" s="80"/>
      <c r="T35" s="80"/>
      <c r="U35" s="80"/>
      <c r="V35" s="212"/>
      <c r="W35" s="118">
        <f t="shared" si="0"/>
        <v>5.6</v>
      </c>
      <c r="X35" s="68">
        <f t="shared" si="1"/>
        <v>3</v>
      </c>
      <c r="Y35" s="214">
        <f t="shared" si="2"/>
        <v>8.6</v>
      </c>
      <c r="Z35" s="70">
        <f>'[1]cálculos teóricos'!I334</f>
        <v>13.290258745823692</v>
      </c>
      <c r="AA35" s="71">
        <f t="shared" si="3"/>
        <v>64.709048668465158</v>
      </c>
      <c r="AB35" s="3"/>
    </row>
    <row r="36" spans="1:28" ht="18" customHeight="1">
      <c r="A36" s="84">
        <v>28</v>
      </c>
      <c r="B36" s="75">
        <v>27.1</v>
      </c>
      <c r="C36" s="73">
        <f>'[1]cálculos teóricos'!K335</f>
        <v>1.0422369156203868</v>
      </c>
      <c r="D36" s="58">
        <f t="shared" si="4"/>
        <v>411.34052938927636</v>
      </c>
      <c r="E36" s="59">
        <f t="shared" si="5"/>
        <v>17.222005284470221</v>
      </c>
      <c r="F36" s="60">
        <f t="shared" si="6"/>
        <v>21.856589085587775</v>
      </c>
      <c r="G36" s="61">
        <f>'[1]cálculos teóricos'!T335</f>
        <v>42.291644838379867</v>
      </c>
      <c r="H36" s="74">
        <f t="shared" si="7"/>
        <v>51.680631408672042</v>
      </c>
      <c r="I36" s="78"/>
      <c r="J36" s="80"/>
      <c r="K36" s="80">
        <v>0.1</v>
      </c>
      <c r="L36" s="80">
        <v>0.1</v>
      </c>
      <c r="M36" s="80">
        <v>0.2</v>
      </c>
      <c r="N36" s="80">
        <v>0.8</v>
      </c>
      <c r="O36" s="77">
        <v>1</v>
      </c>
      <c r="P36" s="81">
        <v>1</v>
      </c>
      <c r="Q36" s="80">
        <v>0.7</v>
      </c>
      <c r="R36" s="80">
        <v>0.9</v>
      </c>
      <c r="S36" s="80">
        <v>1</v>
      </c>
      <c r="T36" s="80">
        <v>1</v>
      </c>
      <c r="U36" s="80">
        <v>0.4</v>
      </c>
      <c r="V36" s="212"/>
      <c r="W36" s="118">
        <f t="shared" si="0"/>
        <v>2.2000000000000002</v>
      </c>
      <c r="X36" s="68">
        <f t="shared" si="1"/>
        <v>5</v>
      </c>
      <c r="Y36" s="214">
        <f>W36+X36</f>
        <v>7.2</v>
      </c>
      <c r="Z36" s="70">
        <f>'[1]cálculos teóricos'!I335</f>
        <v>13.302761337848288</v>
      </c>
      <c r="AA36" s="71">
        <f t="shared" si="3"/>
        <v>54.124101133160636</v>
      </c>
      <c r="AB36" s="3"/>
    </row>
    <row r="37" spans="1:28" ht="18" customHeight="1">
      <c r="A37" s="84">
        <v>29</v>
      </c>
      <c r="B37" s="85">
        <v>-99</v>
      </c>
      <c r="C37" s="73">
        <f>'[1]cálculos teóricos'!K336</f>
        <v>1.0423479444657391</v>
      </c>
      <c r="D37" s="58">
        <f t="shared" si="4"/>
        <v>-999</v>
      </c>
      <c r="E37" s="59">
        <f t="shared" si="5"/>
        <v>-999</v>
      </c>
      <c r="F37" s="60">
        <f t="shared" si="6"/>
        <v>-999</v>
      </c>
      <c r="G37" s="61">
        <f>'[1]cálculos teóricos'!T336</f>
        <v>42.345280424998855</v>
      </c>
      <c r="H37" s="74">
        <f t="shared" si="7"/>
        <v>-999</v>
      </c>
      <c r="I37" s="78"/>
      <c r="J37" s="80">
        <v>0.4</v>
      </c>
      <c r="K37" s="80">
        <v>1</v>
      </c>
      <c r="L37" s="80">
        <v>1</v>
      </c>
      <c r="M37" s="80">
        <v>1</v>
      </c>
      <c r="N37" s="80">
        <v>1</v>
      </c>
      <c r="O37" s="77">
        <v>1</v>
      </c>
      <c r="P37" s="81">
        <v>0.7</v>
      </c>
      <c r="Q37" s="80">
        <v>0.3</v>
      </c>
      <c r="R37" s="80">
        <v>0.5</v>
      </c>
      <c r="S37" s="80">
        <v>0.5</v>
      </c>
      <c r="T37" s="80">
        <v>0.1</v>
      </c>
      <c r="U37" s="80"/>
      <c r="V37" s="212"/>
      <c r="W37" s="118">
        <f t="shared" si="0"/>
        <v>5.4</v>
      </c>
      <c r="X37" s="68">
        <f t="shared" si="1"/>
        <v>2.1</v>
      </c>
      <c r="Y37" s="214">
        <f>W37+X37</f>
        <v>7.5</v>
      </c>
      <c r="Z37" s="70">
        <f>'[1]cálculos teóricos'!I336</f>
        <v>13.314840670031995</v>
      </c>
      <c r="AA37" s="71">
        <f t="shared" si="3"/>
        <v>56.328124277749829</v>
      </c>
      <c r="AB37" s="3"/>
    </row>
    <row r="38" spans="1:28" ht="18" customHeight="1">
      <c r="A38" s="79">
        <v>30</v>
      </c>
      <c r="B38" s="85">
        <v>-99</v>
      </c>
      <c r="C38" s="73">
        <f>'[1]cálculos teóricos'!K337</f>
        <v>1.0424527678091269</v>
      </c>
      <c r="D38" s="58">
        <f t="shared" si="4"/>
        <v>-999</v>
      </c>
      <c r="E38" s="59">
        <f t="shared" si="5"/>
        <v>-999</v>
      </c>
      <c r="F38" s="60">
        <f t="shared" si="6"/>
        <v>-999</v>
      </c>
      <c r="G38" s="61">
        <f>'[1]cálculos teóricos'!T337</f>
        <v>42.396800456787844</v>
      </c>
      <c r="H38" s="74">
        <f t="shared" si="7"/>
        <v>-999</v>
      </c>
      <c r="I38" s="78"/>
      <c r="J38" s="80"/>
      <c r="K38" s="80"/>
      <c r="L38" s="80">
        <v>0.2</v>
      </c>
      <c r="M38" s="80">
        <v>0.1</v>
      </c>
      <c r="N38" s="80">
        <v>0.2</v>
      </c>
      <c r="O38" s="76">
        <v>0.7</v>
      </c>
      <c r="P38" s="81">
        <v>0.9</v>
      </c>
      <c r="Q38" s="80">
        <v>0.8</v>
      </c>
      <c r="R38" s="80">
        <v>0.8</v>
      </c>
      <c r="S38" s="80"/>
      <c r="T38" s="80"/>
      <c r="U38" s="80"/>
      <c r="V38" s="212"/>
      <c r="W38" s="118">
        <f t="shared" si="0"/>
        <v>1.2</v>
      </c>
      <c r="X38" s="68">
        <f t="shared" si="1"/>
        <v>2.5</v>
      </c>
      <c r="Y38" s="214">
        <f>W38+X38</f>
        <v>3.7</v>
      </c>
      <c r="Z38" s="70">
        <f>'[1]cálculos teóricos'!I337</f>
        <v>13.326487777193289</v>
      </c>
      <c r="AA38" s="71">
        <f t="shared" si="3"/>
        <v>27.764254632282881</v>
      </c>
      <c r="AB38" s="3"/>
    </row>
    <row r="39" spans="1:28" ht="18" customHeight="1" thickBot="1">
      <c r="A39" s="86"/>
      <c r="B39" s="87"/>
      <c r="C39" s="88"/>
      <c r="D39" s="89"/>
      <c r="E39" s="123"/>
      <c r="F39" s="91"/>
      <c r="G39" s="92"/>
      <c r="H39" s="93"/>
      <c r="I39" s="94"/>
      <c r="J39" s="87"/>
      <c r="K39" s="87"/>
      <c r="L39" s="87"/>
      <c r="M39" s="87"/>
      <c r="N39" s="87"/>
      <c r="O39" s="95"/>
      <c r="P39" s="94"/>
      <c r="Q39" s="87"/>
      <c r="R39" s="87"/>
      <c r="S39" s="87"/>
      <c r="T39" s="87"/>
      <c r="U39" s="87"/>
      <c r="V39" s="212"/>
      <c r="W39" s="118"/>
      <c r="X39" s="89"/>
      <c r="Y39" s="215"/>
      <c r="Z39" s="173"/>
      <c r="AA39" s="125"/>
      <c r="AB39" s="3"/>
    </row>
    <row r="40" spans="1:28" s="107" customFormat="1" ht="15.75" thickTop="1">
      <c r="A40" s="102"/>
      <c r="B40" s="102"/>
      <c r="C40" s="102"/>
      <c r="D40" s="102"/>
      <c r="E40" s="102"/>
      <c r="F40" s="102"/>
      <c r="G40" s="102"/>
      <c r="H40" s="102"/>
      <c r="I40" s="103">
        <f>SUM(I9:I39)</f>
        <v>0.8</v>
      </c>
      <c r="J40" s="103">
        <f t="shared" ref="J40:AA40" si="8">SUM(J9:J39)</f>
        <v>8.3000000000000007</v>
      </c>
      <c r="K40" s="103">
        <f t="shared" si="8"/>
        <v>12.4</v>
      </c>
      <c r="L40" s="103">
        <f t="shared" si="8"/>
        <v>16.599999999999998</v>
      </c>
      <c r="M40" s="103">
        <f t="shared" si="8"/>
        <v>18.500000000000004</v>
      </c>
      <c r="N40" s="103">
        <f t="shared" si="8"/>
        <v>17.899999999999999</v>
      </c>
      <c r="O40" s="103">
        <f t="shared" si="8"/>
        <v>19.7</v>
      </c>
      <c r="P40" s="103">
        <f t="shared" si="8"/>
        <v>19.799999999999997</v>
      </c>
      <c r="Q40" s="103">
        <f t="shared" si="8"/>
        <v>18.400000000000002</v>
      </c>
      <c r="R40" s="103">
        <f t="shared" si="8"/>
        <v>17.5</v>
      </c>
      <c r="S40" s="103">
        <f t="shared" si="8"/>
        <v>14.699999999999998</v>
      </c>
      <c r="T40" s="103">
        <f t="shared" si="8"/>
        <v>10.7</v>
      </c>
      <c r="U40" s="103">
        <f t="shared" si="8"/>
        <v>4.3</v>
      </c>
      <c r="V40" s="103">
        <f t="shared" si="8"/>
        <v>0</v>
      </c>
      <c r="W40" s="103">
        <f t="shared" si="8"/>
        <v>94.200000000000017</v>
      </c>
      <c r="X40" s="103">
        <f t="shared" si="8"/>
        <v>85.399999999999991</v>
      </c>
      <c r="Y40" s="103">
        <f t="shared" si="8"/>
        <v>179.6</v>
      </c>
      <c r="Z40" s="103">
        <f t="shared" si="8"/>
        <v>393.23114498563649</v>
      </c>
      <c r="AA40" s="103">
        <f t="shared" si="8"/>
        <v>1371.4015192721045</v>
      </c>
      <c r="AB40" s="102"/>
    </row>
    <row r="41" spans="1:28" s="107" customFormat="1" ht="15">
      <c r="A41" s="102"/>
      <c r="B41" s="102" t="s">
        <v>50</v>
      </c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</row>
    <row r="42" spans="1:28" s="107" customFormat="1" ht="1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</row>
    <row r="43" spans="1:28" s="107" customFormat="1" ht="15">
      <c r="A43" s="102"/>
      <c r="B43" s="102" t="s">
        <v>51</v>
      </c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</row>
    <row r="44" spans="1:28" s="107" customFormat="1" ht="15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</row>
    <row r="45" spans="1:28" s="107" customFormat="1" ht="15">
      <c r="A45" s="102"/>
      <c r="B45" s="102" t="s">
        <v>52</v>
      </c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</row>
    <row r="46" spans="1:28" s="107" customFormat="1" ht="1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</row>
    <row r="47" spans="1:28" s="107" customFormat="1" ht="15">
      <c r="A47" s="102"/>
      <c r="B47" s="102" t="s">
        <v>53</v>
      </c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</row>
    <row r="48" spans="1:28" s="107" customFormat="1" ht="15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</row>
    <row r="49" spans="1:28" s="107" customFormat="1" ht="15">
      <c r="A49" s="102"/>
      <c r="B49" s="102" t="s">
        <v>54</v>
      </c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2" t="s">
        <v>55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2" t="s">
        <v>56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7" t="s">
        <v>57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E61"/>
  <sheetViews>
    <sheetView zoomScale="75" zoomScaleNormal="75" workbookViewId="0">
      <selection activeCell="A8" sqref="A8"/>
    </sheetView>
  </sheetViews>
  <sheetFormatPr defaultColWidth="11.42578125" defaultRowHeight="12.75"/>
  <cols>
    <col min="1" max="1" width="8.7109375" style="7" customWidth="1"/>
    <col min="2" max="8" width="12.7109375" style="7" customWidth="1"/>
    <col min="9" max="25" width="8.7109375" style="7" customWidth="1"/>
    <col min="26" max="27" width="12.7109375" style="7" customWidth="1"/>
    <col min="28" max="16384" width="11.42578125" style="7"/>
  </cols>
  <sheetData>
    <row r="1" spans="1:31" ht="18" customHeight="1">
      <c r="A1" s="1" t="s">
        <v>90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6"/>
      <c r="Y1" s="6"/>
      <c r="Z1" s="6"/>
      <c r="AA1" s="6"/>
      <c r="AB1" s="3"/>
    </row>
    <row r="2" spans="1:31" ht="18" customHeight="1">
      <c r="A2" s="3"/>
      <c r="B2" s="8" t="s">
        <v>91</v>
      </c>
      <c r="C2" s="3"/>
      <c r="D2" s="3"/>
      <c r="E2" s="3"/>
      <c r="F2" s="3"/>
      <c r="G2" s="5"/>
      <c r="H2" s="3"/>
      <c r="I2" s="3"/>
      <c r="J2" s="3"/>
      <c r="K2" s="216"/>
      <c r="L2" s="217"/>
      <c r="M2" s="3"/>
      <c r="N2" s="3"/>
      <c r="O2" s="3"/>
      <c r="P2" s="3"/>
      <c r="Q2" s="3"/>
      <c r="R2" s="3"/>
      <c r="S2" s="3"/>
      <c r="T2" s="9"/>
      <c r="U2" s="3"/>
      <c r="V2" s="8" t="s">
        <v>87</v>
      </c>
      <c r="W2" s="3"/>
      <c r="X2" s="3"/>
      <c r="Y2" s="3"/>
      <c r="Z2" s="3"/>
      <c r="AA2" s="3"/>
      <c r="AB2" s="3"/>
    </row>
    <row r="3" spans="1:31" ht="18" customHeight="1">
      <c r="A3" s="3"/>
      <c r="B3" s="8" t="s">
        <v>92</v>
      </c>
      <c r="C3" s="3"/>
      <c r="D3" s="3"/>
      <c r="E3" s="3"/>
      <c r="F3" s="3"/>
      <c r="G3" s="4" t="s">
        <v>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218"/>
      <c r="U3" s="3"/>
      <c r="V3" s="8" t="s">
        <v>85</v>
      </c>
      <c r="W3" s="9"/>
      <c r="X3" s="6"/>
      <c r="Y3" s="6"/>
      <c r="Z3" s="6"/>
      <c r="AA3" s="6"/>
      <c r="AB3" s="3"/>
    </row>
    <row r="4" spans="1:31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31" ht="18" customHeight="1" thickTop="1" thickBot="1">
      <c r="A5" s="10" t="s">
        <v>7</v>
      </c>
      <c r="B5" s="11"/>
      <c r="C5" s="12" t="s">
        <v>8</v>
      </c>
      <c r="D5" s="13"/>
      <c r="E5" s="14"/>
      <c r="F5" s="13"/>
      <c r="G5" s="13"/>
      <c r="H5" s="15"/>
      <c r="I5" s="16" t="s">
        <v>9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2"/>
      <c r="Y5" s="17"/>
      <c r="Z5" s="14"/>
      <c r="AA5" s="18"/>
      <c r="AB5" s="3"/>
    </row>
    <row r="6" spans="1:31" ht="18" customHeight="1">
      <c r="A6" s="19"/>
      <c r="B6" s="20" t="s">
        <v>10</v>
      </c>
      <c r="C6" s="21" t="s">
        <v>11</v>
      </c>
      <c r="D6" s="22" t="s">
        <v>12</v>
      </c>
      <c r="E6" s="21" t="s">
        <v>12</v>
      </c>
      <c r="F6" s="23" t="s">
        <v>13</v>
      </c>
      <c r="G6" s="23" t="s">
        <v>14</v>
      </c>
      <c r="H6" s="23" t="s">
        <v>15</v>
      </c>
      <c r="I6" s="24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6"/>
      <c r="V6" s="27"/>
      <c r="W6" s="28"/>
      <c r="X6" s="29"/>
      <c r="Y6" s="30"/>
      <c r="Z6" s="31" t="s">
        <v>16</v>
      </c>
      <c r="AA6" s="32" t="s">
        <v>17</v>
      </c>
      <c r="AB6" s="3"/>
    </row>
    <row r="7" spans="1:31" ht="18" customHeight="1" thickBot="1">
      <c r="A7" s="33"/>
      <c r="B7" s="34" t="s">
        <v>18</v>
      </c>
      <c r="C7" s="35" t="s">
        <v>19</v>
      </c>
      <c r="D7" s="22" t="s">
        <v>20</v>
      </c>
      <c r="E7" s="23" t="s">
        <v>20</v>
      </c>
      <c r="F7" s="23" t="s">
        <v>21</v>
      </c>
      <c r="G7" s="23" t="s">
        <v>22</v>
      </c>
      <c r="H7" s="23" t="s">
        <v>23</v>
      </c>
      <c r="I7" s="36" t="s">
        <v>24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7"/>
      <c r="W7" s="38"/>
      <c r="X7" s="39" t="s">
        <v>25</v>
      </c>
      <c r="Y7" s="40"/>
      <c r="Z7" s="41" t="s">
        <v>26</v>
      </c>
      <c r="AA7" s="42" t="s">
        <v>27</v>
      </c>
      <c r="AB7" s="3"/>
    </row>
    <row r="8" spans="1:31" ht="18" customHeight="1" thickBot="1">
      <c r="A8" s="43"/>
      <c r="B8" s="44" t="s">
        <v>28</v>
      </c>
      <c r="C8" s="45" t="s">
        <v>29</v>
      </c>
      <c r="D8" s="45" t="s">
        <v>30</v>
      </c>
      <c r="E8" s="46" t="s">
        <v>31</v>
      </c>
      <c r="F8" s="46" t="s">
        <v>31</v>
      </c>
      <c r="G8" s="45" t="s">
        <v>31</v>
      </c>
      <c r="H8" s="23" t="s">
        <v>32</v>
      </c>
      <c r="I8" s="47" t="s">
        <v>33</v>
      </c>
      <c r="J8" s="48" t="s">
        <v>34</v>
      </c>
      <c r="K8" s="48" t="s">
        <v>35</v>
      </c>
      <c r="L8" s="48" t="s">
        <v>36</v>
      </c>
      <c r="M8" s="48" t="s">
        <v>37</v>
      </c>
      <c r="N8" s="48" t="s">
        <v>38</v>
      </c>
      <c r="O8" s="49" t="s">
        <v>39</v>
      </c>
      <c r="P8" s="48" t="s">
        <v>40</v>
      </c>
      <c r="Q8" s="48" t="s">
        <v>41</v>
      </c>
      <c r="R8" s="48" t="s">
        <v>42</v>
      </c>
      <c r="S8" s="48" t="s">
        <v>43</v>
      </c>
      <c r="T8" s="48" t="s">
        <v>44</v>
      </c>
      <c r="U8" s="48" t="s">
        <v>45</v>
      </c>
      <c r="V8" s="50" t="s">
        <v>46</v>
      </c>
      <c r="W8" s="53" t="s">
        <v>47</v>
      </c>
      <c r="X8" s="111" t="s">
        <v>48</v>
      </c>
      <c r="Y8" s="52" t="s">
        <v>49</v>
      </c>
      <c r="Z8" s="53" t="s">
        <v>49</v>
      </c>
      <c r="AA8" s="54" t="s">
        <v>49</v>
      </c>
      <c r="AB8" s="3"/>
    </row>
    <row r="9" spans="1:31" ht="18" customHeight="1">
      <c r="A9" s="112">
        <v>1</v>
      </c>
      <c r="B9" s="56">
        <v>26.5</v>
      </c>
      <c r="C9" s="73">
        <f>'[1]cálculos teóricos'!K338</f>
        <v>1.0425515661325413</v>
      </c>
      <c r="D9" s="58">
        <f>IF(B9&gt;0,B9*C9*14.25*1.022,-999)</f>
        <v>402.35479293433855</v>
      </c>
      <c r="E9" s="59">
        <f>IF(B9&gt;0,D9*4.1868/100,-999)</f>
        <v>16.845790470574887</v>
      </c>
      <c r="F9" s="60">
        <f>IF(B9&gt;0,(7.86+1.25*D9)*4.1868/100,-999)</f>
        <v>21.386320568218608</v>
      </c>
      <c r="G9" s="61">
        <f>'[1]cálculos teóricos'!T338</f>
        <v>42.446215404362263</v>
      </c>
      <c r="H9" s="62">
        <f>IF(B9&gt;0,100*F9/G9,-999)</f>
        <v>50.384516886800469</v>
      </c>
      <c r="I9" s="63"/>
      <c r="J9" s="63">
        <v>0.7</v>
      </c>
      <c r="K9" s="63">
        <v>1</v>
      </c>
      <c r="L9" s="63">
        <v>0.9</v>
      </c>
      <c r="M9" s="63">
        <v>0.8</v>
      </c>
      <c r="N9" s="63">
        <v>1</v>
      </c>
      <c r="O9" s="64">
        <v>1</v>
      </c>
      <c r="P9" s="63">
        <v>1</v>
      </c>
      <c r="Q9" s="63">
        <v>1</v>
      </c>
      <c r="R9" s="63">
        <v>0.3</v>
      </c>
      <c r="S9" s="63"/>
      <c r="T9" s="63"/>
      <c r="U9" s="63"/>
      <c r="V9" s="219"/>
      <c r="W9" s="58">
        <f t="shared" ref="W9:W40" si="0">SUM(I9:O9)</f>
        <v>5.4</v>
      </c>
      <c r="X9" s="201">
        <f>SUM(P9:V9)</f>
        <v>2.2999999999999998</v>
      </c>
      <c r="Y9" s="220">
        <f t="shared" ref="Y9:Y24" si="1">W9+X9</f>
        <v>7.7</v>
      </c>
      <c r="Z9" s="70">
        <f>'[1]cálculos teóricos'!I338</f>
        <v>13.33769387489302</v>
      </c>
      <c r="AA9" s="71">
        <f>100*Y9/Z9</f>
        <v>57.731119579034129</v>
      </c>
      <c r="AB9" s="3"/>
      <c r="AE9" s="221"/>
    </row>
    <row r="10" spans="1:31" ht="18" customHeight="1">
      <c r="A10" s="112">
        <v>2</v>
      </c>
      <c r="B10" s="56">
        <v>25.1</v>
      </c>
      <c r="C10" s="73">
        <f>'[1]cálculos teóricos'!K339</f>
        <v>1.0426445157293678</v>
      </c>
      <c r="D10" s="58">
        <f>IF(B10&gt;0,B10*C10*14.25*1.022,-999)</f>
        <v>381.13229046109871</v>
      </c>
      <c r="E10" s="59">
        <f>IF(B10&gt;0,D10*4.1868/100,-999)</f>
        <v>15.95724673702528</v>
      </c>
      <c r="F10" s="60">
        <f>IF(B10&gt;0,(7.86+1.25*D10)*4.1868/100,-999)</f>
        <v>20.275640901281601</v>
      </c>
      <c r="G10" s="61">
        <f>'[1]cálculos teóricos'!T339</f>
        <v>42.493535643303574</v>
      </c>
      <c r="H10" s="74">
        <f>IF(B10&gt;0,100*F10/G10,-999)</f>
        <v>47.714647873686118</v>
      </c>
      <c r="I10" s="56"/>
      <c r="J10" s="75">
        <v>0.9</v>
      </c>
      <c r="K10" s="75">
        <v>0.3</v>
      </c>
      <c r="L10" s="75">
        <v>0.7</v>
      </c>
      <c r="M10" s="75">
        <v>0.8</v>
      </c>
      <c r="N10" s="75">
        <v>0.8</v>
      </c>
      <c r="O10" s="76">
        <v>1</v>
      </c>
      <c r="P10" s="78">
        <v>0.3</v>
      </c>
      <c r="Q10" s="75"/>
      <c r="R10" s="81"/>
      <c r="S10" s="81"/>
      <c r="T10" s="81"/>
      <c r="U10" s="81"/>
      <c r="V10" s="222"/>
      <c r="W10" s="58">
        <f t="shared" si="0"/>
        <v>4.5</v>
      </c>
      <c r="X10" s="68">
        <f t="shared" ref="X10:X39" si="2">SUM(P10:V10)</f>
        <v>0.3</v>
      </c>
      <c r="Y10" s="214">
        <f t="shared" si="1"/>
        <v>4.8</v>
      </c>
      <c r="Z10" s="70">
        <f>'[1]cálculos teóricos'!I339</f>
        <v>13.348450379189718</v>
      </c>
      <c r="AA10" s="71">
        <f t="shared" ref="AA10:AA39" si="3">100*Y10/Z10</f>
        <v>35.959230200107854</v>
      </c>
      <c r="AB10" s="3"/>
      <c r="AE10" s="221"/>
    </row>
    <row r="11" spans="1:31" ht="18" customHeight="1">
      <c r="A11" s="112">
        <v>3</v>
      </c>
      <c r="B11" s="56">
        <v>19.2</v>
      </c>
      <c r="C11" s="73">
        <f>'[1]cálculos teóricos'!K340</f>
        <v>1.0427317882542817</v>
      </c>
      <c r="D11" s="58">
        <f t="shared" ref="D11:D39" si="4">IF(B11&gt;0,B11*C11*14.25*1.022,-999)</f>
        <v>291.56782844623166</v>
      </c>
      <c r="E11" s="59">
        <f t="shared" ref="E11:E39" si="5">IF(B11&gt;0,D11*4.1868/100,-999)</f>
        <v>12.207361841386826</v>
      </c>
      <c r="F11" s="60">
        <f t="shared" ref="F11:F39" si="6">IF(B11&gt;0,(7.86+1.25*D11)*4.1868/100,-999)</f>
        <v>15.588284781733535</v>
      </c>
      <c r="G11" s="61">
        <f>'[1]cálculos teóricos'!T340</f>
        <v>42.538771394383659</v>
      </c>
      <c r="H11" s="74">
        <f t="shared" ref="H11:H39" si="7">IF(B11&gt;0,100*F11/G11,-999)</f>
        <v>36.64488717178051</v>
      </c>
      <c r="I11" s="56"/>
      <c r="J11" s="75"/>
      <c r="K11" s="75"/>
      <c r="L11" s="75"/>
      <c r="M11" s="75">
        <v>0.3</v>
      </c>
      <c r="N11" s="75">
        <v>0.3</v>
      </c>
      <c r="O11" s="76">
        <v>0.1</v>
      </c>
      <c r="P11" s="78">
        <v>0.7</v>
      </c>
      <c r="Q11" s="78">
        <v>0.5</v>
      </c>
      <c r="R11" s="78"/>
      <c r="S11" s="78"/>
      <c r="T11" s="81"/>
      <c r="U11" s="81"/>
      <c r="V11" s="222"/>
      <c r="W11" s="58">
        <f t="shared" si="0"/>
        <v>0.7</v>
      </c>
      <c r="X11" s="68">
        <f t="shared" si="2"/>
        <v>1.2</v>
      </c>
      <c r="Y11" s="214">
        <f t="shared" si="1"/>
        <v>1.9</v>
      </c>
      <c r="Z11" s="70">
        <f>'[1]cálculos teóricos'!I340</f>
        <v>13.358748926394169</v>
      </c>
      <c r="AA11" s="71">
        <f t="shared" si="3"/>
        <v>14.222888763527749</v>
      </c>
      <c r="AB11" s="3"/>
      <c r="AE11" s="221"/>
    </row>
    <row r="12" spans="1:31" ht="18" customHeight="1">
      <c r="A12" s="112">
        <v>4</v>
      </c>
      <c r="B12" s="56">
        <v>28.8</v>
      </c>
      <c r="C12" s="73">
        <f>'[1]cálculos teóricos'!K341</f>
        <v>1.0428135502817324</v>
      </c>
      <c r="D12" s="58">
        <f t="shared" si="4"/>
        <v>437.38603601840668</v>
      </c>
      <c r="E12" s="59">
        <f t="shared" si="5"/>
        <v>18.31247855601865</v>
      </c>
      <c r="F12" s="60">
        <f t="shared" si="6"/>
        <v>23.219680675023316</v>
      </c>
      <c r="G12" s="61">
        <f>'[1]cálculos teóricos'!T341</f>
        <v>42.581932664942727</v>
      </c>
      <c r="H12" s="74">
        <f t="shared" si="7"/>
        <v>54.529419455260758</v>
      </c>
      <c r="I12" s="56"/>
      <c r="J12" s="75">
        <v>1</v>
      </c>
      <c r="K12" s="75">
        <v>1</v>
      </c>
      <c r="L12" s="75">
        <v>1</v>
      </c>
      <c r="M12" s="75">
        <v>1</v>
      </c>
      <c r="N12" s="75">
        <v>0.5</v>
      </c>
      <c r="O12" s="76">
        <v>0.6</v>
      </c>
      <c r="P12" s="78">
        <v>0.9</v>
      </c>
      <c r="Q12" s="81">
        <v>1</v>
      </c>
      <c r="R12" s="81">
        <v>0.6</v>
      </c>
      <c r="S12" s="81">
        <v>0.1</v>
      </c>
      <c r="T12" s="81"/>
      <c r="U12" s="81"/>
      <c r="V12" s="222"/>
      <c r="W12" s="58">
        <f t="shared" si="0"/>
        <v>5.0999999999999996</v>
      </c>
      <c r="X12" s="68">
        <f t="shared" si="2"/>
        <v>2.6</v>
      </c>
      <c r="Y12" s="214">
        <f t="shared" si="1"/>
        <v>7.6999999999999993</v>
      </c>
      <c r="Z12" s="70">
        <f>'[1]cálculos teóricos'!I341</f>
        <v>13.368581392741991</v>
      </c>
      <c r="AA12" s="71">
        <f t="shared" si="3"/>
        <v>57.597734372776813</v>
      </c>
      <c r="AB12" s="3"/>
      <c r="AE12" s="221"/>
    </row>
    <row r="13" spans="1:31" ht="18" customHeight="1">
      <c r="A13" s="72">
        <v>5</v>
      </c>
      <c r="B13" s="210">
        <v>-99</v>
      </c>
      <c r="C13" s="73">
        <f>'[1]cálculos teóricos'!K342</f>
        <v>1.042889962874388</v>
      </c>
      <c r="D13" s="58">
        <f t="shared" si="4"/>
        <v>-999</v>
      </c>
      <c r="E13" s="59">
        <f t="shared" si="5"/>
        <v>-999</v>
      </c>
      <c r="F13" s="60">
        <f t="shared" si="6"/>
        <v>-999</v>
      </c>
      <c r="G13" s="61">
        <f>'[1]cálculos teóricos'!T342</f>
        <v>42.623029191619999</v>
      </c>
      <c r="H13" s="74">
        <f t="shared" si="7"/>
        <v>-999</v>
      </c>
      <c r="I13" s="56"/>
      <c r="J13" s="75"/>
      <c r="K13" s="75"/>
      <c r="L13" s="75">
        <v>0.1</v>
      </c>
      <c r="M13" s="75">
        <v>1</v>
      </c>
      <c r="N13" s="75">
        <v>1</v>
      </c>
      <c r="O13" s="76">
        <v>1</v>
      </c>
      <c r="P13" s="78">
        <v>1</v>
      </c>
      <c r="Q13" s="81">
        <v>1</v>
      </c>
      <c r="R13" s="81">
        <v>1</v>
      </c>
      <c r="S13" s="81">
        <v>0.9</v>
      </c>
      <c r="T13" s="81">
        <v>0.3</v>
      </c>
      <c r="U13" s="81"/>
      <c r="V13" s="222"/>
      <c r="W13" s="58">
        <f t="shared" si="0"/>
        <v>3.1</v>
      </c>
      <c r="X13" s="68">
        <f t="shared" si="2"/>
        <v>4.2</v>
      </c>
      <c r="Y13" s="214">
        <f t="shared" si="1"/>
        <v>7.3000000000000007</v>
      </c>
      <c r="Z13" s="70">
        <f>'[1]cálculos teóricos'!I342</f>
        <v>13.37793991390074</v>
      </c>
      <c r="AA13" s="71">
        <f t="shared" si="3"/>
        <v>54.567444965235062</v>
      </c>
      <c r="AB13" s="3"/>
      <c r="AE13" s="221"/>
    </row>
    <row r="14" spans="1:31" ht="18" customHeight="1">
      <c r="A14" s="112">
        <v>6</v>
      </c>
      <c r="B14" s="56">
        <v>25.2</v>
      </c>
      <c r="C14" s="73">
        <f>'[1]cálculos teóricos'!K343</f>
        <v>1.042961181162926</v>
      </c>
      <c r="D14" s="58">
        <f t="shared" si="4"/>
        <v>382.76696207903007</v>
      </c>
      <c r="E14" s="59">
        <f t="shared" si="5"/>
        <v>16.025687168324829</v>
      </c>
      <c r="F14" s="60">
        <f t="shared" si="6"/>
        <v>20.361191440406039</v>
      </c>
      <c r="G14" s="61">
        <f>'[1]cálculos teóricos'!T343</f>
        <v>42.66207038463164</v>
      </c>
      <c r="H14" s="74">
        <f t="shared" si="7"/>
        <v>47.726683812656333</v>
      </c>
      <c r="I14" s="56"/>
      <c r="J14" s="75"/>
      <c r="K14" s="75"/>
      <c r="L14" s="75">
        <v>0.2</v>
      </c>
      <c r="M14" s="75">
        <v>0.7</v>
      </c>
      <c r="N14" s="75">
        <v>0.9</v>
      </c>
      <c r="O14" s="76">
        <v>0.4</v>
      </c>
      <c r="P14" s="78">
        <v>0.9</v>
      </c>
      <c r="Q14" s="78">
        <v>1</v>
      </c>
      <c r="R14" s="81">
        <v>0.8</v>
      </c>
      <c r="S14" s="81">
        <v>0.6</v>
      </c>
      <c r="T14" s="81"/>
      <c r="U14" s="81"/>
      <c r="V14" s="222"/>
      <c r="W14" s="58">
        <f t="shared" si="0"/>
        <v>2.1999999999999997</v>
      </c>
      <c r="X14" s="68">
        <f t="shared" si="2"/>
        <v>3.3000000000000003</v>
      </c>
      <c r="Y14" s="214">
        <f t="shared" si="1"/>
        <v>5.5</v>
      </c>
      <c r="Z14" s="70">
        <f>'[1]cálculos teóricos'!I343</f>
        <v>13.386816904225913</v>
      </c>
      <c r="AA14" s="71">
        <f t="shared" si="3"/>
        <v>41.085196274431567</v>
      </c>
      <c r="AB14" s="3"/>
      <c r="AE14" s="221"/>
    </row>
    <row r="15" spans="1:31" ht="18" customHeight="1">
      <c r="A15" s="72">
        <v>7</v>
      </c>
      <c r="B15" s="56">
        <v>11</v>
      </c>
      <c r="C15" s="73">
        <f>'[1]cálculos teóricos'!K344</f>
        <v>1.0430273539385098</v>
      </c>
      <c r="D15" s="58">
        <f t="shared" si="4"/>
        <v>167.09141755991837</v>
      </c>
      <c r="E15" s="59">
        <f t="shared" si="5"/>
        <v>6.9957834703986626</v>
      </c>
      <c r="F15" s="60">
        <f t="shared" si="6"/>
        <v>9.0738118179983278</v>
      </c>
      <c r="G15" s="61">
        <f>'[1]cálculos teóricos'!T344</f>
        <v>42.699065273785024</v>
      </c>
      <c r="H15" s="74">
        <f t="shared" si="7"/>
        <v>21.250609960235291</v>
      </c>
      <c r="I15" s="56"/>
      <c r="J15" s="75"/>
      <c r="K15" s="75"/>
      <c r="L15" s="75"/>
      <c r="M15" s="75"/>
      <c r="N15" s="75"/>
      <c r="O15" s="76"/>
      <c r="P15" s="78"/>
      <c r="Q15" s="81"/>
      <c r="R15" s="81"/>
      <c r="S15" s="81"/>
      <c r="T15" s="81"/>
      <c r="U15" s="81"/>
      <c r="V15" s="222"/>
      <c r="W15" s="58">
        <f t="shared" si="0"/>
        <v>0</v>
      </c>
      <c r="X15" s="68">
        <f t="shared" si="2"/>
        <v>0</v>
      </c>
      <c r="Y15" s="214">
        <f t="shared" si="1"/>
        <v>0</v>
      </c>
      <c r="Z15" s="70">
        <f>'[1]cálculos teóricos'!I344</f>
        <v>13.395205075679121</v>
      </c>
      <c r="AA15" s="71">
        <f t="shared" si="3"/>
        <v>0</v>
      </c>
      <c r="AB15" s="3"/>
      <c r="AE15" s="221"/>
    </row>
    <row r="16" spans="1:31" ht="18" customHeight="1">
      <c r="A16" s="79">
        <v>8</v>
      </c>
      <c r="B16" s="75">
        <v>23.6</v>
      </c>
      <c r="C16" s="73">
        <f>'[1]cálculos teóricos'!K345</f>
        <v>1.0430886232592806</v>
      </c>
      <c r="D16" s="58">
        <f t="shared" si="4"/>
        <v>358.50809949014223</v>
      </c>
      <c r="E16" s="59">
        <f t="shared" si="5"/>
        <v>15.010017109453274</v>
      </c>
      <c r="F16" s="60">
        <f t="shared" si="6"/>
        <v>19.091603866816595</v>
      </c>
      <c r="G16" s="61">
        <f>'[1]cálculos teóricos'!T345</f>
        <v>42.734022456413641</v>
      </c>
      <c r="H16" s="74">
        <f t="shared" si="7"/>
        <v>44.675419652547298</v>
      </c>
      <c r="I16" s="78"/>
      <c r="J16" s="80"/>
      <c r="K16" s="80">
        <v>0.1</v>
      </c>
      <c r="L16" s="80">
        <v>0.5</v>
      </c>
      <c r="M16" s="80">
        <v>0.6</v>
      </c>
      <c r="N16" s="80">
        <v>0.3</v>
      </c>
      <c r="O16" s="77">
        <v>0.2</v>
      </c>
      <c r="P16" s="81">
        <v>0.3</v>
      </c>
      <c r="Q16" s="81"/>
      <c r="R16" s="80">
        <v>0.2</v>
      </c>
      <c r="S16" s="80">
        <v>0.7</v>
      </c>
      <c r="T16" s="80">
        <v>0.3</v>
      </c>
      <c r="U16" s="80"/>
      <c r="V16" s="222"/>
      <c r="W16" s="58">
        <f t="shared" si="0"/>
        <v>1.7</v>
      </c>
      <c r="X16" s="68">
        <f t="shared" si="2"/>
        <v>1.5</v>
      </c>
      <c r="Y16" s="214">
        <f t="shared" si="1"/>
        <v>3.2</v>
      </c>
      <c r="Z16" s="70">
        <f>'[1]cálculos teóricos'!I345</f>
        <v>13.40309745632074</v>
      </c>
      <c r="AA16" s="71">
        <f t="shared" si="3"/>
        <v>23.875078208066885</v>
      </c>
      <c r="AB16" s="3"/>
      <c r="AE16" s="221"/>
    </row>
    <row r="17" spans="1:31" ht="18" customHeight="1">
      <c r="A17" s="79">
        <v>9</v>
      </c>
      <c r="B17" s="75">
        <v>27.1</v>
      </c>
      <c r="C17" s="73">
        <f>'[1]cálculos teóricos'!K346</f>
        <v>1.0431451240721528</v>
      </c>
      <c r="D17" s="58">
        <f t="shared" si="4"/>
        <v>411.69897279091202</v>
      </c>
      <c r="E17" s="59">
        <f t="shared" si="5"/>
        <v>17.237012592809904</v>
      </c>
      <c r="F17" s="60">
        <f t="shared" si="6"/>
        <v>21.875348221012381</v>
      </c>
      <c r="G17" s="61">
        <f>'[1]cálculos teóricos'!T346</f>
        <v>42.766950047409651</v>
      </c>
      <c r="H17" s="74">
        <f t="shared" si="7"/>
        <v>51.150124562921334</v>
      </c>
      <c r="I17" s="78"/>
      <c r="J17" s="80"/>
      <c r="K17" s="80"/>
      <c r="L17" s="80"/>
      <c r="M17" s="80">
        <v>0.5</v>
      </c>
      <c r="N17" s="80">
        <v>0.9</v>
      </c>
      <c r="O17" s="77">
        <v>0.8</v>
      </c>
      <c r="P17" s="81">
        <v>0.6</v>
      </c>
      <c r="Q17" s="81">
        <v>0.8</v>
      </c>
      <c r="R17" s="80">
        <v>0.8</v>
      </c>
      <c r="S17" s="80">
        <v>1</v>
      </c>
      <c r="T17" s="80">
        <v>1</v>
      </c>
      <c r="U17" s="80">
        <v>0.4</v>
      </c>
      <c r="V17" s="222"/>
      <c r="W17" s="58">
        <f t="shared" si="0"/>
        <v>2.2000000000000002</v>
      </c>
      <c r="X17" s="68">
        <f t="shared" si="2"/>
        <v>4.6000000000000005</v>
      </c>
      <c r="Y17" s="214">
        <f t="shared" si="1"/>
        <v>6.8000000000000007</v>
      </c>
      <c r="Z17" s="70">
        <f>'[1]cálculos teóricos'!I346</f>
        <v>13.410487408289292</v>
      </c>
      <c r="AA17" s="71">
        <f t="shared" si="3"/>
        <v>50.706583533994333</v>
      </c>
      <c r="AB17" s="3"/>
      <c r="AE17" s="221"/>
    </row>
    <row r="18" spans="1:31" ht="18" customHeight="1">
      <c r="A18" s="79">
        <v>10</v>
      </c>
      <c r="B18" s="75">
        <v>39.4</v>
      </c>
      <c r="C18" s="73">
        <f>'[1]cálculos teóricos'!K347</f>
        <v>1.0431969838511672</v>
      </c>
      <c r="D18" s="58">
        <f t="shared" si="4"/>
        <v>598.58841140806908</v>
      </c>
      <c r="E18" s="59">
        <f t="shared" si="5"/>
        <v>25.061699608833038</v>
      </c>
      <c r="F18" s="60">
        <f t="shared" si="6"/>
        <v>31.656206991041294</v>
      </c>
      <c r="G18" s="61">
        <f>'[1]cálculos teóricos'!T347</f>
        <v>42.797855631524406</v>
      </c>
      <c r="H18" s="74">
        <f t="shared" si="7"/>
        <v>73.966806336258813</v>
      </c>
      <c r="I18" s="78"/>
      <c r="J18" s="80">
        <v>0.7</v>
      </c>
      <c r="K18" s="80">
        <v>1</v>
      </c>
      <c r="L18" s="80">
        <v>1</v>
      </c>
      <c r="M18" s="80">
        <v>1</v>
      </c>
      <c r="N18" s="80">
        <v>1</v>
      </c>
      <c r="O18" s="77">
        <v>1</v>
      </c>
      <c r="P18" s="78">
        <v>1</v>
      </c>
      <c r="Q18" s="81">
        <v>1</v>
      </c>
      <c r="R18" s="80">
        <v>1</v>
      </c>
      <c r="S18" s="80">
        <v>1</v>
      </c>
      <c r="T18" s="80">
        <v>0.6</v>
      </c>
      <c r="U18" s="80">
        <v>0.5</v>
      </c>
      <c r="V18" s="222"/>
      <c r="W18" s="58">
        <f t="shared" si="0"/>
        <v>5.7</v>
      </c>
      <c r="X18" s="68">
        <f t="shared" si="2"/>
        <v>5.0999999999999996</v>
      </c>
      <c r="Y18" s="214">
        <f t="shared" si="1"/>
        <v>10.8</v>
      </c>
      <c r="Z18" s="70">
        <f>'[1]cálculos teóricos'!I347</f>
        <v>13.417368645180208</v>
      </c>
      <c r="AA18" s="71">
        <f t="shared" si="3"/>
        <v>80.492682921696272</v>
      </c>
      <c r="AB18" s="3"/>
      <c r="AE18" s="221"/>
    </row>
    <row r="19" spans="1:31" ht="18" customHeight="1">
      <c r="A19" s="84">
        <v>11</v>
      </c>
      <c r="B19" s="75">
        <v>40.700000000000003</v>
      </c>
      <c r="C19" s="73">
        <f>'[1]cálculos teóricos'!K348</f>
        <v>1.0432443222536116</v>
      </c>
      <c r="D19" s="58">
        <f t="shared" si="4"/>
        <v>618.36684956661736</v>
      </c>
      <c r="E19" s="59">
        <f t="shared" si="5"/>
        <v>25.889783257655136</v>
      </c>
      <c r="F19" s="60">
        <f t="shared" si="6"/>
        <v>32.691311552068917</v>
      </c>
      <c r="G19" s="61">
        <f>'[1]cálculos teóricos'!T348</f>
        <v>42.826746218100261</v>
      </c>
      <c r="H19" s="74">
        <f t="shared" si="7"/>
        <v>76.333867124961017</v>
      </c>
      <c r="I19" s="78"/>
      <c r="J19" s="80">
        <v>0.9</v>
      </c>
      <c r="K19" s="80">
        <v>1</v>
      </c>
      <c r="L19" s="80">
        <v>1</v>
      </c>
      <c r="M19" s="80">
        <v>1</v>
      </c>
      <c r="N19" s="80">
        <v>1</v>
      </c>
      <c r="O19" s="77">
        <v>1</v>
      </c>
      <c r="P19" s="81">
        <v>1</v>
      </c>
      <c r="Q19" s="80">
        <v>1</v>
      </c>
      <c r="R19" s="80">
        <v>1</v>
      </c>
      <c r="S19" s="80">
        <v>1</v>
      </c>
      <c r="T19" s="80">
        <v>1</v>
      </c>
      <c r="U19" s="80">
        <v>0.3</v>
      </c>
      <c r="V19" s="222"/>
      <c r="W19" s="58">
        <f t="shared" si="0"/>
        <v>5.9</v>
      </c>
      <c r="X19" s="68">
        <f t="shared" si="2"/>
        <v>5.3</v>
      </c>
      <c r="Y19" s="214">
        <f t="shared" si="1"/>
        <v>11.2</v>
      </c>
      <c r="Z19" s="70">
        <f>'[1]cálculos teóricos'!I348</f>
        <v>13.423735248737781</v>
      </c>
      <c r="AA19" s="71">
        <f t="shared" si="3"/>
        <v>83.434303436915016</v>
      </c>
      <c r="AB19" s="3"/>
      <c r="AE19" s="221"/>
    </row>
    <row r="20" spans="1:31" ht="18" customHeight="1">
      <c r="A20" s="84">
        <v>12</v>
      </c>
      <c r="B20" s="75">
        <v>32.200000000000003</v>
      </c>
      <c r="C20" s="73">
        <f>'[1]cálculos teóricos'!K349</f>
        <v>1.043287250795065</v>
      </c>
      <c r="D20" s="58">
        <f t="shared" si="4"/>
        <v>489.24402683791658</v>
      </c>
      <c r="E20" s="59">
        <f t="shared" si="5"/>
        <v>20.48366891564989</v>
      </c>
      <c r="F20" s="60">
        <f t="shared" si="6"/>
        <v>25.933668624562365</v>
      </c>
      <c r="G20" s="61">
        <f>'[1]cálculos teóricos'!T349</f>
        <v>42.853628198387739</v>
      </c>
      <c r="H20" s="74">
        <f t="shared" si="7"/>
        <v>60.516856366290256</v>
      </c>
      <c r="I20" s="78">
        <v>0.3</v>
      </c>
      <c r="J20" s="80">
        <v>0.7</v>
      </c>
      <c r="K20" s="80">
        <v>1</v>
      </c>
      <c r="L20" s="80">
        <v>1</v>
      </c>
      <c r="M20" s="80">
        <v>1</v>
      </c>
      <c r="N20" s="80">
        <v>1</v>
      </c>
      <c r="O20" s="77">
        <v>1</v>
      </c>
      <c r="P20" s="81">
        <v>0.8</v>
      </c>
      <c r="Q20" s="80">
        <v>0.5</v>
      </c>
      <c r="R20" s="80">
        <v>0.4</v>
      </c>
      <c r="S20" s="80">
        <v>0.1</v>
      </c>
      <c r="T20" s="80"/>
      <c r="U20" s="80"/>
      <c r="V20" s="222"/>
      <c r="W20" s="58">
        <f t="shared" si="0"/>
        <v>6</v>
      </c>
      <c r="X20" s="68">
        <f t="shared" si="2"/>
        <v>1.8000000000000003</v>
      </c>
      <c r="Y20" s="214">
        <f t="shared" si="1"/>
        <v>7.8000000000000007</v>
      </c>
      <c r="Z20" s="70">
        <f>'[1]cálculos teóricos'!I349</f>
        <v>13.429581684775858</v>
      </c>
      <c r="AA20" s="71">
        <f t="shared" si="3"/>
        <v>58.080736861985024</v>
      </c>
      <c r="AB20" s="3"/>
      <c r="AE20" s="221"/>
    </row>
    <row r="21" spans="1:31" ht="18" customHeight="1">
      <c r="A21" s="84">
        <v>13</v>
      </c>
      <c r="B21" s="75">
        <v>19.5</v>
      </c>
      <c r="C21" s="73">
        <f>'[1]cálculos teóricos'!K350</f>
        <v>1.043325872544469</v>
      </c>
      <c r="D21" s="58">
        <f>IF(B21&gt;0,B21*C21*14.25*1.022,-999)</f>
        <v>296.29228872362677</v>
      </c>
      <c r="E21" s="59">
        <f>IF(B21&gt;0,D21*4.1868/100,-999)</f>
        <v>12.405165544280806</v>
      </c>
      <c r="F21" s="60">
        <f>IF(B21&gt;0,(7.86+1.25*D21)*4.1868/100,-999)</f>
        <v>15.835539410351007</v>
      </c>
      <c r="G21" s="61">
        <f>'[1]cálculos teóricos'!T350</f>
        <v>42.878507305594937</v>
      </c>
      <c r="H21" s="74">
        <f>IF(B21&gt;0,100*F21/G21,-999)</f>
        <v>36.931181623210868</v>
      </c>
      <c r="I21" s="78"/>
      <c r="J21" s="80"/>
      <c r="K21" s="80">
        <v>0.1</v>
      </c>
      <c r="L21" s="80">
        <v>0.2</v>
      </c>
      <c r="M21" s="80">
        <v>0.1</v>
      </c>
      <c r="N21" s="80">
        <v>0.9</v>
      </c>
      <c r="O21" s="77">
        <v>0.9</v>
      </c>
      <c r="P21" s="81">
        <v>0.4</v>
      </c>
      <c r="Q21" s="80"/>
      <c r="R21" s="80"/>
      <c r="S21" s="80"/>
      <c r="T21" s="80"/>
      <c r="U21" s="80"/>
      <c r="V21" s="222"/>
      <c r="W21" s="58">
        <f t="shared" si="0"/>
        <v>2.2000000000000002</v>
      </c>
      <c r="X21" s="68">
        <f t="shared" si="2"/>
        <v>0.4</v>
      </c>
      <c r="Y21" s="214">
        <f t="shared" si="1"/>
        <v>2.6</v>
      </c>
      <c r="Z21" s="70">
        <f>'[1]cálculos teóricos'!I350</f>
        <v>13.434902818245344</v>
      </c>
      <c r="AA21" s="71">
        <f t="shared" si="3"/>
        <v>19.352577649233574</v>
      </c>
      <c r="AB21" s="3"/>
      <c r="AE21" s="221"/>
    </row>
    <row r="22" spans="1:31" ht="18" customHeight="1">
      <c r="A22" s="84">
        <v>14</v>
      </c>
      <c r="B22" s="75">
        <v>18.899999999999999</v>
      </c>
      <c r="C22" s="73">
        <f>'[1]cálculos teóricos'!K351</f>
        <v>1.0433602818402716</v>
      </c>
      <c r="D22" s="58">
        <f t="shared" si="4"/>
        <v>287.18507408057701</v>
      </c>
      <c r="E22" s="59">
        <f t="shared" si="5"/>
        <v>12.023864681605598</v>
      </c>
      <c r="F22" s="60">
        <f t="shared" si="6"/>
        <v>15.358913332006999</v>
      </c>
      <c r="G22" s="61">
        <f>'[1]cálculos teóricos'!T351</f>
        <v>42.901388577805832</v>
      </c>
      <c r="H22" s="74">
        <f t="shared" si="7"/>
        <v>35.800503995697291</v>
      </c>
      <c r="I22" s="78"/>
      <c r="J22" s="80"/>
      <c r="K22" s="80"/>
      <c r="L22" s="80">
        <v>0.2</v>
      </c>
      <c r="M22" s="80">
        <v>0.7</v>
      </c>
      <c r="N22" s="80">
        <v>0.3</v>
      </c>
      <c r="O22" s="77"/>
      <c r="P22" s="81">
        <v>0.3</v>
      </c>
      <c r="Q22" s="80"/>
      <c r="R22" s="80"/>
      <c r="S22" s="80"/>
      <c r="T22" s="80">
        <v>0.1</v>
      </c>
      <c r="U22" s="80">
        <v>0.1</v>
      </c>
      <c r="V22" s="222"/>
      <c r="W22" s="58">
        <f t="shared" si="0"/>
        <v>1.2</v>
      </c>
      <c r="X22" s="68">
        <f t="shared" si="2"/>
        <v>0.5</v>
      </c>
      <c r="Y22" s="214">
        <f t="shared" si="1"/>
        <v>1.7</v>
      </c>
      <c r="Z22" s="70">
        <f>'[1]cálculos teóricos'!I351</f>
        <v>13.439693927369586</v>
      </c>
      <c r="AA22" s="71">
        <f t="shared" si="3"/>
        <v>12.649097585012665</v>
      </c>
      <c r="AB22" s="3"/>
      <c r="AE22" s="221"/>
    </row>
    <row r="23" spans="1:31" ht="18" customHeight="1">
      <c r="A23" s="84">
        <v>15</v>
      </c>
      <c r="B23" s="75">
        <v>14.8</v>
      </c>
      <c r="C23" s="73">
        <f>'[1]cálculos teóricos'!K352</f>
        <v>1.043390564028623</v>
      </c>
      <c r="D23" s="58">
        <f t="shared" si="4"/>
        <v>224.89219349261663</v>
      </c>
      <c r="E23" s="59">
        <f t="shared" si="5"/>
        <v>9.4157863571488729</v>
      </c>
      <c r="F23" s="60">
        <f t="shared" si="6"/>
        <v>12.09881542643609</v>
      </c>
      <c r="G23" s="61">
        <f>'[1]cálculos teóricos'!T352</f>
        <v>42.922276323896114</v>
      </c>
      <c r="H23" s="74">
        <f t="shared" si="7"/>
        <v>28.187730154703651</v>
      </c>
      <c r="I23" s="78"/>
      <c r="J23" s="80"/>
      <c r="K23" s="80"/>
      <c r="L23" s="80">
        <v>0.7</v>
      </c>
      <c r="M23" s="80"/>
      <c r="N23" s="80"/>
      <c r="O23" s="77"/>
      <c r="P23" s="81"/>
      <c r="Q23" s="80"/>
      <c r="R23" s="80"/>
      <c r="S23" s="80"/>
      <c r="T23" s="80"/>
      <c r="U23" s="80"/>
      <c r="V23" s="222"/>
      <c r="W23" s="58">
        <f t="shared" si="0"/>
        <v>0.7</v>
      </c>
      <c r="X23" s="68">
        <f t="shared" si="2"/>
        <v>0</v>
      </c>
      <c r="Y23" s="214">
        <f t="shared" si="1"/>
        <v>0.7</v>
      </c>
      <c r="Z23" s="70">
        <f>'[1]cálculos teóricos'!I352</f>
        <v>13.443950716772623</v>
      </c>
      <c r="AA23" s="71">
        <f t="shared" si="3"/>
        <v>5.2068027825085865</v>
      </c>
      <c r="AB23" s="3"/>
      <c r="AE23" s="221"/>
    </row>
    <row r="24" spans="1:31" ht="18" customHeight="1">
      <c r="A24" s="84">
        <v>16</v>
      </c>
      <c r="B24" s="75">
        <v>21.2</v>
      </c>
      <c r="C24" s="73">
        <f>'[1]cálculos teóricos'!K353</f>
        <v>1.0434167952245224</v>
      </c>
      <c r="D24" s="58">
        <f t="shared" si="4"/>
        <v>322.15097054174936</v>
      </c>
      <c r="E24" s="59">
        <f t="shared" si="5"/>
        <v>13.487816834641963</v>
      </c>
      <c r="F24" s="60">
        <f t="shared" si="6"/>
        <v>17.188853523302452</v>
      </c>
      <c r="G24" s="61">
        <f>'[1]cálculos teóricos'!T353</f>
        <v>42.941174092563962</v>
      </c>
      <c r="H24" s="74">
        <f t="shared" si="7"/>
        <v>40.02883918881718</v>
      </c>
      <c r="I24" s="78"/>
      <c r="J24" s="80"/>
      <c r="K24" s="80"/>
      <c r="L24" s="80"/>
      <c r="M24" s="80">
        <v>0.2</v>
      </c>
      <c r="N24" s="80"/>
      <c r="O24" s="77">
        <v>0.1</v>
      </c>
      <c r="P24" s="81">
        <v>0.7</v>
      </c>
      <c r="Q24" s="80">
        <v>0.9</v>
      </c>
      <c r="R24" s="80">
        <v>0.3</v>
      </c>
      <c r="S24" s="80"/>
      <c r="T24" s="80"/>
      <c r="U24" s="80"/>
      <c r="V24" s="222"/>
      <c r="W24" s="58">
        <f t="shared" si="0"/>
        <v>0.30000000000000004</v>
      </c>
      <c r="X24" s="68">
        <f t="shared" si="2"/>
        <v>1.9000000000000001</v>
      </c>
      <c r="Y24" s="214">
        <f t="shared" si="1"/>
        <v>2.2000000000000002</v>
      </c>
      <c r="Z24" s="70">
        <f>'[1]cálculos teóricos'!I353</f>
        <v>13.447669329529568</v>
      </c>
      <c r="AA24" s="71">
        <f t="shared" si="3"/>
        <v>16.359712200604516</v>
      </c>
      <c r="AB24" s="3"/>
      <c r="AE24" s="221"/>
    </row>
    <row r="25" spans="1:31" ht="18" customHeight="1">
      <c r="A25" s="84">
        <v>17</v>
      </c>
      <c r="B25" s="75">
        <v>17.8</v>
      </c>
      <c r="C25" s="73">
        <f>'[1]cálculos teóricos'!K354</f>
        <v>1.0434390420967636</v>
      </c>
      <c r="D25" s="58">
        <f t="shared" si="4"/>
        <v>270.49101591445674</v>
      </c>
      <c r="E25" s="59">
        <f t="shared" si="5"/>
        <v>11.324917854306475</v>
      </c>
      <c r="F25" s="60">
        <f t="shared" si="6"/>
        <v>14.485229797883093</v>
      </c>
      <c r="G25" s="61">
        <f>'[1]cálculos teóricos'!T354</f>
        <v>42.958084644584673</v>
      </c>
      <c r="H25" s="74">
        <f t="shared" si="7"/>
        <v>33.719449825864416</v>
      </c>
      <c r="I25" s="78"/>
      <c r="J25" s="80"/>
      <c r="K25" s="80">
        <v>0.1</v>
      </c>
      <c r="L25" s="80"/>
      <c r="M25" s="80"/>
      <c r="N25" s="80"/>
      <c r="O25" s="77">
        <v>0.1</v>
      </c>
      <c r="P25" s="81">
        <v>0.4</v>
      </c>
      <c r="Q25" s="80">
        <v>0.1</v>
      </c>
      <c r="R25" s="80">
        <v>0.2</v>
      </c>
      <c r="S25" s="80"/>
      <c r="T25" s="80"/>
      <c r="U25" s="80"/>
      <c r="V25" s="222"/>
      <c r="W25" s="58">
        <f t="shared" si="0"/>
        <v>0.2</v>
      </c>
      <c r="X25" s="68">
        <f t="shared" si="2"/>
        <v>0.7</v>
      </c>
      <c r="Y25" s="214">
        <f>W25+X25</f>
        <v>0.89999999999999991</v>
      </c>
      <c r="Z25" s="70">
        <f>'[1]cálculos teóricos'!I354</f>
        <v>13.450846358073472</v>
      </c>
      <c r="AA25" s="71">
        <f t="shared" si="3"/>
        <v>6.691028772771622</v>
      </c>
      <c r="AB25" s="3"/>
      <c r="AE25" s="221"/>
    </row>
    <row r="26" spans="1:31" ht="18" customHeight="1">
      <c r="A26" s="84">
        <v>18</v>
      </c>
      <c r="B26" s="75">
        <v>25.1</v>
      </c>
      <c r="C26" s="73">
        <f>'[1]cálculos teóricos'!K355</f>
        <v>1.0434573616774252</v>
      </c>
      <c r="D26" s="58">
        <f t="shared" si="4"/>
        <v>381.4294212984085</v>
      </c>
      <c r="E26" s="59">
        <f t="shared" si="5"/>
        <v>15.969687010921767</v>
      </c>
      <c r="F26" s="60">
        <f t="shared" si="6"/>
        <v>20.291191243652207</v>
      </c>
      <c r="G26" s="61">
        <f>'[1]cálculos teóricos'!T355</f>
        <v>42.973009928386787</v>
      </c>
      <c r="H26" s="74">
        <f t="shared" si="7"/>
        <v>47.218454740468168</v>
      </c>
      <c r="I26" s="78"/>
      <c r="J26" s="80">
        <v>0.1</v>
      </c>
      <c r="K26" s="80">
        <v>0.2</v>
      </c>
      <c r="L26" s="80">
        <v>0.6</v>
      </c>
      <c r="M26" s="80">
        <v>0.8</v>
      </c>
      <c r="N26" s="80">
        <v>0.7</v>
      </c>
      <c r="O26" s="77">
        <v>0.8</v>
      </c>
      <c r="P26" s="81">
        <v>0.5</v>
      </c>
      <c r="Q26" s="80"/>
      <c r="R26" s="80">
        <v>0.7</v>
      </c>
      <c r="S26" s="80">
        <v>0.2</v>
      </c>
      <c r="T26" s="80"/>
      <c r="U26" s="80"/>
      <c r="V26" s="222"/>
      <c r="W26" s="58">
        <f t="shared" si="0"/>
        <v>3.2</v>
      </c>
      <c r="X26" s="68">
        <f t="shared" si="2"/>
        <v>1.4</v>
      </c>
      <c r="Y26" s="214">
        <f t="shared" ref="Y26:Y39" si="8">W26+X26</f>
        <v>4.5999999999999996</v>
      </c>
      <c r="Z26" s="70">
        <f>'[1]cálculos teóricos'!I355</f>
        <v>13.453478853898625</v>
      </c>
      <c r="AA26" s="71">
        <f t="shared" si="3"/>
        <v>34.191899730581476</v>
      </c>
      <c r="AB26" s="3"/>
      <c r="AE26" s="221"/>
    </row>
    <row r="27" spans="1:31" ht="18" customHeight="1">
      <c r="A27" s="84">
        <v>19</v>
      </c>
      <c r="B27" s="75">
        <v>21.1</v>
      </c>
      <c r="C27" s="73">
        <f>'[1]cálculos teóricos'!K356</f>
        <v>1.0434718011965771</v>
      </c>
      <c r="D27" s="58">
        <f t="shared" si="4"/>
        <v>320.64829326892601</v>
      </c>
      <c r="E27" s="59">
        <f t="shared" si="5"/>
        <v>13.424902742583395</v>
      </c>
      <c r="F27" s="60">
        <f t="shared" si="6"/>
        <v>17.110210908229242</v>
      </c>
      <c r="G27" s="61">
        <f>'[1]cálculos teóricos'!T356</f>
        <v>42.985951059037113</v>
      </c>
      <c r="H27" s="74">
        <f t="shared" si="7"/>
        <v>39.804192966976572</v>
      </c>
      <c r="I27" s="78"/>
      <c r="J27" s="80"/>
      <c r="K27" s="80"/>
      <c r="L27" s="80">
        <v>0.1</v>
      </c>
      <c r="M27" s="80">
        <v>0.5</v>
      </c>
      <c r="N27" s="80"/>
      <c r="O27" s="77">
        <v>0.1</v>
      </c>
      <c r="P27" s="81">
        <v>0.1</v>
      </c>
      <c r="Q27" s="80">
        <v>0.5</v>
      </c>
      <c r="R27" s="80">
        <v>0.5</v>
      </c>
      <c r="S27" s="80">
        <v>0.4</v>
      </c>
      <c r="T27" s="80">
        <v>0.3</v>
      </c>
      <c r="U27" s="80"/>
      <c r="V27" s="222"/>
      <c r="W27" s="58">
        <f t="shared" si="0"/>
        <v>0.7</v>
      </c>
      <c r="X27" s="68">
        <f t="shared" si="2"/>
        <v>1.8</v>
      </c>
      <c r="Y27" s="214">
        <f t="shared" si="8"/>
        <v>2.5</v>
      </c>
      <c r="Z27" s="70">
        <f>'[1]cálculos teóricos'!I356</f>
        <v>13.455564336006312</v>
      </c>
      <c r="AA27" s="71">
        <f t="shared" si="3"/>
        <v>18.579674085539057</v>
      </c>
      <c r="AB27" s="3"/>
      <c r="AE27" s="221"/>
    </row>
    <row r="28" spans="1:31" ht="18" customHeight="1">
      <c r="A28" s="84">
        <v>20</v>
      </c>
      <c r="B28" s="75">
        <v>37.200000000000003</v>
      </c>
      <c r="C28" s="73">
        <f>'[1]cálculos teóricos'!K357</f>
        <v>1.0434823979428147</v>
      </c>
      <c r="D28" s="58">
        <f t="shared" si="4"/>
        <v>565.31931957077484</v>
      </c>
      <c r="E28" s="59">
        <f t="shared" si="5"/>
        <v>23.668789271789201</v>
      </c>
      <c r="F28" s="60">
        <f t="shared" si="6"/>
        <v>29.9150690697365</v>
      </c>
      <c r="G28" s="61">
        <f>'[1]cálculos teóricos'!T357</f>
        <v>42.996908300711738</v>
      </c>
      <c r="H28" s="74">
        <f t="shared" si="7"/>
        <v>69.574930505506387</v>
      </c>
      <c r="I28" s="78"/>
      <c r="J28" s="80">
        <v>0.7</v>
      </c>
      <c r="K28" s="80">
        <v>1</v>
      </c>
      <c r="L28" s="80">
        <v>1</v>
      </c>
      <c r="M28" s="80">
        <v>1</v>
      </c>
      <c r="N28" s="80">
        <v>1</v>
      </c>
      <c r="O28" s="77">
        <v>0.9</v>
      </c>
      <c r="P28" s="81">
        <v>0.7</v>
      </c>
      <c r="Q28" s="80">
        <v>1</v>
      </c>
      <c r="R28" s="80">
        <v>1</v>
      </c>
      <c r="S28" s="80">
        <v>1</v>
      </c>
      <c r="T28" s="80">
        <v>1</v>
      </c>
      <c r="U28" s="80">
        <v>0.5</v>
      </c>
      <c r="V28" s="222"/>
      <c r="W28" s="58">
        <f t="shared" si="0"/>
        <v>5.6000000000000005</v>
      </c>
      <c r="X28" s="68">
        <f t="shared" si="2"/>
        <v>5.2</v>
      </c>
      <c r="Y28" s="214">
        <f t="shared" si="8"/>
        <v>10.8</v>
      </c>
      <c r="Z28" s="70">
        <f>'[1]cálculos teóricos'!I357</f>
        <v>13.457100798045776</v>
      </c>
      <c r="AA28" s="71">
        <f t="shared" si="3"/>
        <v>80.255027899979495</v>
      </c>
      <c r="AB28" s="3"/>
      <c r="AE28" s="221"/>
    </row>
    <row r="29" spans="1:31" ht="18" customHeight="1">
      <c r="A29" s="84">
        <v>21</v>
      </c>
      <c r="B29" s="75">
        <v>36</v>
      </c>
      <c r="C29" s="73">
        <f>'[1]cálculos teóricos'!K358</f>
        <v>1.0434891791500842</v>
      </c>
      <c r="D29" s="58">
        <f t="shared" si="4"/>
        <v>547.08676777988114</v>
      </c>
      <c r="E29" s="59">
        <f t="shared" si="5"/>
        <v>22.905428793408063</v>
      </c>
      <c r="F29" s="60">
        <f t="shared" si="6"/>
        <v>28.960868471760076</v>
      </c>
      <c r="G29" s="61">
        <f>'[1]cálculos teóricos'!T358</f>
        <v>43.005881052718408</v>
      </c>
      <c r="H29" s="74">
        <f t="shared" si="7"/>
        <v>67.341646683760843</v>
      </c>
      <c r="I29" s="78"/>
      <c r="J29" s="80">
        <v>0.5</v>
      </c>
      <c r="K29" s="80">
        <v>1</v>
      </c>
      <c r="L29" s="80">
        <v>1</v>
      </c>
      <c r="M29" s="80">
        <v>1</v>
      </c>
      <c r="N29" s="80">
        <v>1</v>
      </c>
      <c r="O29" s="77">
        <v>1</v>
      </c>
      <c r="P29" s="81">
        <v>1</v>
      </c>
      <c r="Q29" s="80">
        <v>1</v>
      </c>
      <c r="R29" s="80">
        <v>1</v>
      </c>
      <c r="S29" s="80">
        <v>1</v>
      </c>
      <c r="T29" s="80">
        <v>1</v>
      </c>
      <c r="U29" s="80">
        <v>0.5</v>
      </c>
      <c r="V29" s="222"/>
      <c r="W29" s="58">
        <f t="shared" si="0"/>
        <v>5.5</v>
      </c>
      <c r="X29" s="68">
        <f t="shared" si="2"/>
        <v>5.5</v>
      </c>
      <c r="Y29" s="214">
        <f t="shared" si="8"/>
        <v>11</v>
      </c>
      <c r="Z29" s="70">
        <f>'[1]cálculos teóricos'!I358</f>
        <v>13.458086714110046</v>
      </c>
      <c r="AA29" s="71">
        <f t="shared" si="3"/>
        <v>81.73524389961851</v>
      </c>
      <c r="AB29" s="3"/>
      <c r="AE29" s="221"/>
    </row>
    <row r="30" spans="1:31" ht="18" customHeight="1">
      <c r="A30" s="84">
        <v>22</v>
      </c>
      <c r="B30" s="75">
        <v>25.6</v>
      </c>
      <c r="C30" s="73">
        <f>'[1]cálculos teóricos'!K359</f>
        <v>1.0434921619112543</v>
      </c>
      <c r="D30" s="58">
        <f t="shared" si="4"/>
        <v>389.04059135986051</v>
      </c>
      <c r="E30" s="59">
        <f t="shared" si="5"/>
        <v>16.28835147905464</v>
      </c>
      <c r="F30" s="60">
        <f t="shared" si="6"/>
        <v>20.6895218288183</v>
      </c>
      <c r="G30" s="61">
        <f>'[1]cálculos teóricos'!T359</f>
        <v>43.012867839125683</v>
      </c>
      <c r="H30" s="74">
        <f t="shared" si="7"/>
        <v>48.100772787808737</v>
      </c>
      <c r="I30" s="78"/>
      <c r="J30" s="80">
        <v>0.1</v>
      </c>
      <c r="K30" s="80">
        <v>0.9</v>
      </c>
      <c r="L30" s="80">
        <v>1</v>
      </c>
      <c r="M30" s="80">
        <v>1</v>
      </c>
      <c r="N30" s="80">
        <v>0.9</v>
      </c>
      <c r="O30" s="77">
        <v>0.1</v>
      </c>
      <c r="P30" s="81">
        <v>0.1</v>
      </c>
      <c r="Q30" s="80">
        <v>0.1</v>
      </c>
      <c r="R30" s="80">
        <v>0.3</v>
      </c>
      <c r="S30" s="80">
        <v>0.5</v>
      </c>
      <c r="T30" s="80"/>
      <c r="U30" s="80"/>
      <c r="V30" s="222"/>
      <c r="W30" s="58">
        <f t="shared" si="0"/>
        <v>4</v>
      </c>
      <c r="X30" s="68">
        <f t="shared" si="2"/>
        <v>1</v>
      </c>
      <c r="Y30" s="214">
        <f t="shared" si="8"/>
        <v>5</v>
      </c>
      <c r="Z30" s="70">
        <f>'[1]cálculos teóricos'!I359</f>
        <v>13.458521043153825</v>
      </c>
      <c r="AA30" s="71">
        <f t="shared" si="3"/>
        <v>37.151184621013279</v>
      </c>
      <c r="AB30" s="3"/>
      <c r="AE30" s="221"/>
    </row>
    <row r="31" spans="1:31" ht="18" customHeight="1">
      <c r="A31" s="84">
        <v>23</v>
      </c>
      <c r="B31" s="75">
        <v>25.1</v>
      </c>
      <c r="C31" s="73">
        <f>'[1]cálculos teóricos'!K360</f>
        <v>1.0434913531187173</v>
      </c>
      <c r="D31" s="58">
        <f t="shared" si="4"/>
        <v>381.44184666072545</v>
      </c>
      <c r="E31" s="59">
        <f t="shared" si="5"/>
        <v>15.970207235991252</v>
      </c>
      <c r="F31" s="60">
        <f t="shared" si="6"/>
        <v>20.291841524989067</v>
      </c>
      <c r="G31" s="61">
        <f>'[1]cálculos teóricos'!T360</f>
        <v>43.017866302041909</v>
      </c>
      <c r="H31" s="74">
        <f t="shared" si="7"/>
        <v>47.170729906764073</v>
      </c>
      <c r="I31" s="78"/>
      <c r="J31" s="80"/>
      <c r="K31" s="80"/>
      <c r="L31" s="80">
        <v>0.1</v>
      </c>
      <c r="M31" s="80">
        <v>0.5</v>
      </c>
      <c r="N31" s="80">
        <v>0.9</v>
      </c>
      <c r="O31" s="77">
        <v>0.6</v>
      </c>
      <c r="P31" s="81">
        <v>1</v>
      </c>
      <c r="Q31" s="80">
        <v>0.9</v>
      </c>
      <c r="R31" s="80">
        <v>1</v>
      </c>
      <c r="S31" s="80">
        <v>1</v>
      </c>
      <c r="T31" s="80">
        <v>0.6</v>
      </c>
      <c r="U31" s="80"/>
      <c r="V31" s="222"/>
      <c r="W31" s="58">
        <f t="shared" si="0"/>
        <v>2.1</v>
      </c>
      <c r="X31" s="68">
        <f t="shared" si="2"/>
        <v>4.5</v>
      </c>
      <c r="Y31" s="214">
        <f t="shared" si="8"/>
        <v>6.6</v>
      </c>
      <c r="Z31" s="70">
        <f>'[1]cálculos teóricos'!I360</f>
        <v>13.458403232008276</v>
      </c>
      <c r="AA31" s="71">
        <f t="shared" si="3"/>
        <v>49.039992978536588</v>
      </c>
      <c r="AB31" s="3"/>
      <c r="AE31" s="221"/>
    </row>
    <row r="32" spans="1:31" ht="18" customHeight="1">
      <c r="A32" s="84">
        <v>24</v>
      </c>
      <c r="B32" s="75">
        <v>28.6</v>
      </c>
      <c r="C32" s="73">
        <f>'[1]cálculos teóricos'!K361</f>
        <v>1.0434867494322762</v>
      </c>
      <c r="D32" s="58">
        <f t="shared" si="4"/>
        <v>434.62903127520889</v>
      </c>
      <c r="E32" s="59">
        <f t="shared" si="5"/>
        <v>18.197048281430444</v>
      </c>
      <c r="F32" s="60">
        <f t="shared" si="6"/>
        <v>23.075392831788054</v>
      </c>
      <c r="G32" s="61">
        <f>'[1]cálculos teóricos'!T361</f>
        <v>43.020873198576822</v>
      </c>
      <c r="H32" s="74">
        <f t="shared" si="7"/>
        <v>53.637667290656978</v>
      </c>
      <c r="I32" s="78"/>
      <c r="J32" s="80">
        <v>0.2</v>
      </c>
      <c r="K32" s="80"/>
      <c r="L32" s="80">
        <v>0.9</v>
      </c>
      <c r="M32" s="80">
        <v>0.4</v>
      </c>
      <c r="N32" s="80">
        <v>0.6</v>
      </c>
      <c r="O32" s="77">
        <v>0.5</v>
      </c>
      <c r="P32" s="81">
        <v>0.5</v>
      </c>
      <c r="Q32" s="80">
        <v>0.5</v>
      </c>
      <c r="R32" s="80">
        <v>0.7</v>
      </c>
      <c r="S32" s="80">
        <v>0.7</v>
      </c>
      <c r="T32" s="80">
        <v>0.8</v>
      </c>
      <c r="U32" s="80">
        <v>0.4</v>
      </c>
      <c r="V32" s="222"/>
      <c r="W32" s="58">
        <f t="shared" si="0"/>
        <v>2.6</v>
      </c>
      <c r="X32" s="68">
        <f t="shared" si="2"/>
        <v>3.6</v>
      </c>
      <c r="Y32" s="214">
        <f t="shared" si="8"/>
        <v>6.2</v>
      </c>
      <c r="Z32" s="70">
        <f>'[1]cálculos teóricos'!I361</f>
        <v>13.457733216975646</v>
      </c>
      <c r="AA32" s="71">
        <f t="shared" si="3"/>
        <v>46.070165755547094</v>
      </c>
      <c r="AB32" s="3"/>
      <c r="AE32" s="221"/>
    </row>
    <row r="33" spans="1:31" ht="18" customHeight="1">
      <c r="A33" s="84">
        <v>25</v>
      </c>
      <c r="B33" s="75">
        <v>33.799999999999997</v>
      </c>
      <c r="C33" s="73">
        <f>'[1]cálculos teóricos'!K362</f>
        <v>1.0434783372744176</v>
      </c>
      <c r="D33" s="58">
        <f t="shared" si="4"/>
        <v>513.64835065348416</v>
      </c>
      <c r="E33" s="59">
        <f t="shared" si="5"/>
        <v>21.505429145160075</v>
      </c>
      <c r="F33" s="60">
        <f t="shared" si="6"/>
        <v>27.210868911450092</v>
      </c>
      <c r="G33" s="61">
        <f>'[1]cálculos teóricos'!T362</f>
        <v>43.021884401506568</v>
      </c>
      <c r="H33" s="74">
        <f t="shared" si="7"/>
        <v>63.248900623463172</v>
      </c>
      <c r="I33" s="78"/>
      <c r="J33" s="80">
        <v>0.1</v>
      </c>
      <c r="K33" s="80">
        <v>0.9</v>
      </c>
      <c r="L33" s="80">
        <v>1</v>
      </c>
      <c r="M33" s="80">
        <v>1</v>
      </c>
      <c r="N33" s="80">
        <v>0.9</v>
      </c>
      <c r="O33" s="77">
        <v>0.7</v>
      </c>
      <c r="P33" s="81">
        <v>1</v>
      </c>
      <c r="Q33" s="80">
        <v>1</v>
      </c>
      <c r="R33" s="80">
        <v>1</v>
      </c>
      <c r="S33" s="80">
        <v>1</v>
      </c>
      <c r="T33" s="80">
        <v>1</v>
      </c>
      <c r="U33" s="80">
        <v>0.3</v>
      </c>
      <c r="V33" s="222"/>
      <c r="W33" s="58">
        <f t="shared" si="0"/>
        <v>4.5999999999999996</v>
      </c>
      <c r="X33" s="68">
        <f t="shared" si="2"/>
        <v>5.3</v>
      </c>
      <c r="Y33" s="214">
        <f t="shared" si="8"/>
        <v>9.8999999999999986</v>
      </c>
      <c r="Z33" s="70">
        <f>'[1]cálculos teóricos'!I362</f>
        <v>13.456511423994518</v>
      </c>
      <c r="AA33" s="71">
        <f t="shared" si="3"/>
        <v>73.570331032061944</v>
      </c>
      <c r="AB33" s="3"/>
      <c r="AE33" s="221"/>
    </row>
    <row r="34" spans="1:31" ht="18" customHeight="1">
      <c r="A34" s="84">
        <v>26</v>
      </c>
      <c r="B34" s="75">
        <v>38.299999999999997</v>
      </c>
      <c r="C34" s="73">
        <f>'[1]cálculos teóricos'!K363</f>
        <v>1.0434660928530486</v>
      </c>
      <c r="D34" s="58">
        <f t="shared" si="4"/>
        <v>582.02665637706377</v>
      </c>
      <c r="E34" s="59">
        <f t="shared" si="5"/>
        <v>24.368292049194906</v>
      </c>
      <c r="F34" s="60">
        <f t="shared" si="6"/>
        <v>30.789447541493633</v>
      </c>
      <c r="G34" s="61">
        <f>'[1]cálculos teóricos'!T363</f>
        <v>43.020894903651737</v>
      </c>
      <c r="H34" s="74">
        <f t="shared" si="7"/>
        <v>71.568589194736006</v>
      </c>
      <c r="I34" s="78">
        <v>0.1</v>
      </c>
      <c r="J34" s="80">
        <v>1</v>
      </c>
      <c r="K34" s="80">
        <v>1</v>
      </c>
      <c r="L34" s="80">
        <v>1</v>
      </c>
      <c r="M34" s="80">
        <v>1</v>
      </c>
      <c r="N34" s="80">
        <v>1</v>
      </c>
      <c r="O34" s="77">
        <v>1</v>
      </c>
      <c r="P34" s="81">
        <v>0.8</v>
      </c>
      <c r="Q34" s="80">
        <v>1</v>
      </c>
      <c r="R34" s="80">
        <v>1</v>
      </c>
      <c r="S34" s="80">
        <v>1</v>
      </c>
      <c r="T34" s="80">
        <v>1</v>
      </c>
      <c r="U34" s="80">
        <v>0.1</v>
      </c>
      <c r="V34" s="222"/>
      <c r="W34" s="58">
        <f t="shared" si="0"/>
        <v>6.1</v>
      </c>
      <c r="X34" s="68">
        <f t="shared" si="2"/>
        <v>4.8999999999999995</v>
      </c>
      <c r="Y34" s="214">
        <f t="shared" si="8"/>
        <v>11</v>
      </c>
      <c r="Z34" s="70">
        <f>'[1]cálculos teóricos'!I363</f>
        <v>13.454738767374977</v>
      </c>
      <c r="AA34" s="71">
        <f t="shared" si="3"/>
        <v>81.755582105189418</v>
      </c>
      <c r="AB34" s="3"/>
      <c r="AE34" s="221"/>
    </row>
    <row r="35" spans="1:31" ht="18" customHeight="1">
      <c r="A35" s="84">
        <v>27</v>
      </c>
      <c r="B35" s="75">
        <v>25.4</v>
      </c>
      <c r="C35" s="73">
        <f>'[1]cálculos teóricos'!K364</f>
        <v>1.0434499822115912</v>
      </c>
      <c r="D35" s="58">
        <f t="shared" si="4"/>
        <v>385.98560892483812</v>
      </c>
      <c r="E35" s="59">
        <f t="shared" si="5"/>
        <v>16.160445474465121</v>
      </c>
      <c r="F35" s="60">
        <f t="shared" si="6"/>
        <v>20.529639323081401</v>
      </c>
      <c r="G35" s="61">
        <f>'[1]cálculos teóricos'!T364</f>
        <v>43.017898825966327</v>
      </c>
      <c r="H35" s="74">
        <f t="shared" si="7"/>
        <v>47.723482279170192</v>
      </c>
      <c r="I35" s="78"/>
      <c r="J35" s="80">
        <v>0.8</v>
      </c>
      <c r="K35" s="80">
        <v>0.9</v>
      </c>
      <c r="L35" s="80">
        <v>0.5</v>
      </c>
      <c r="M35" s="80">
        <v>0.4</v>
      </c>
      <c r="N35" s="80">
        <v>0.8</v>
      </c>
      <c r="O35" s="77">
        <v>0.8</v>
      </c>
      <c r="P35" s="81">
        <v>1</v>
      </c>
      <c r="Q35" s="80">
        <v>1</v>
      </c>
      <c r="R35" s="80"/>
      <c r="S35" s="80"/>
      <c r="T35" s="80"/>
      <c r="U35" s="80"/>
      <c r="V35" s="222"/>
      <c r="W35" s="58">
        <f t="shared" si="0"/>
        <v>4.2</v>
      </c>
      <c r="X35" s="68">
        <f t="shared" si="2"/>
        <v>2</v>
      </c>
      <c r="Y35" s="214">
        <f t="shared" si="8"/>
        <v>6.2</v>
      </c>
      <c r="Z35" s="70">
        <f>'[1]cálculos teóricos'!I364</f>
        <v>13.45241664711107</v>
      </c>
      <c r="AA35" s="71">
        <f t="shared" si="3"/>
        <v>46.088373283706318</v>
      </c>
      <c r="AB35" s="3"/>
      <c r="AE35" s="221"/>
    </row>
    <row r="36" spans="1:31" ht="18" customHeight="1">
      <c r="A36" s="84">
        <v>28</v>
      </c>
      <c r="B36" s="75">
        <v>20.5</v>
      </c>
      <c r="C36" s="73">
        <f>'[1]cálculos teóricos'!K365</f>
        <v>1.0434299613063189</v>
      </c>
      <c r="D36" s="58">
        <f t="shared" si="4"/>
        <v>311.51784095043382</v>
      </c>
      <c r="E36" s="59">
        <f t="shared" si="5"/>
        <v>13.042628964912762</v>
      </c>
      <c r="F36" s="60">
        <f t="shared" si="6"/>
        <v>16.632368686140953</v>
      </c>
      <c r="G36" s="61">
        <f>'[1]cálculos teóricos'!T365</f>
        <v>43.012889429324311</v>
      </c>
      <c r="H36" s="74">
        <f t="shared" si="7"/>
        <v>38.668336182041585</v>
      </c>
      <c r="I36" s="78"/>
      <c r="J36" s="80">
        <v>0.2</v>
      </c>
      <c r="K36" s="80">
        <v>0.6</v>
      </c>
      <c r="L36" s="80">
        <v>1</v>
      </c>
      <c r="M36" s="80">
        <v>1</v>
      </c>
      <c r="N36" s="80">
        <v>1</v>
      </c>
      <c r="O36" s="77">
        <v>0.2</v>
      </c>
      <c r="P36" s="81"/>
      <c r="Q36" s="80"/>
      <c r="R36" s="80"/>
      <c r="S36" s="80">
        <v>0.3</v>
      </c>
      <c r="T36" s="80">
        <v>0.4</v>
      </c>
      <c r="U36" s="80"/>
      <c r="V36" s="222"/>
      <c r="W36" s="58">
        <f t="shared" si="0"/>
        <v>4</v>
      </c>
      <c r="X36" s="68">
        <f t="shared" si="2"/>
        <v>0.7</v>
      </c>
      <c r="Y36" s="214">
        <f t="shared" si="8"/>
        <v>4.7</v>
      </c>
      <c r="Z36" s="70">
        <f>'[1]cálculos teóricos'!I365</f>
        <v>13.449546944786</v>
      </c>
      <c r="AA36" s="71">
        <f t="shared" si="3"/>
        <v>34.945415033642107</v>
      </c>
      <c r="AB36" s="3"/>
      <c r="AE36" s="221"/>
    </row>
    <row r="37" spans="1:31" ht="18" customHeight="1">
      <c r="A37" s="84">
        <v>29</v>
      </c>
      <c r="B37" s="75">
        <v>27.8</v>
      </c>
      <c r="C37" s="73">
        <f>'[1]cálculos teóricos'!K366</f>
        <v>1.0434059761106758</v>
      </c>
      <c r="D37" s="58">
        <f t="shared" si="4"/>
        <v>422.43887353984161</v>
      </c>
      <c r="E37" s="59">
        <f t="shared" si="5"/>
        <v>17.686670757366088</v>
      </c>
      <c r="F37" s="60">
        <f t="shared" si="6"/>
        <v>22.437420926707613</v>
      </c>
      <c r="G37" s="61">
        <f>'[1]cálculos teóricos'!T366</f>
        <v>43.005859129978646</v>
      </c>
      <c r="H37" s="74">
        <f t="shared" si="7"/>
        <v>52.172939642698296</v>
      </c>
      <c r="I37" s="78"/>
      <c r="J37" s="80">
        <v>0.1</v>
      </c>
      <c r="K37" s="80">
        <v>0.8</v>
      </c>
      <c r="L37" s="80">
        <v>1</v>
      </c>
      <c r="M37" s="80">
        <v>1</v>
      </c>
      <c r="N37" s="80">
        <v>1</v>
      </c>
      <c r="O37" s="77">
        <v>0.9</v>
      </c>
      <c r="P37" s="81">
        <v>0.7</v>
      </c>
      <c r="Q37" s="80">
        <v>0.9</v>
      </c>
      <c r="R37" s="80">
        <v>0.8</v>
      </c>
      <c r="S37" s="80">
        <v>0.3</v>
      </c>
      <c r="T37" s="80"/>
      <c r="U37" s="80"/>
      <c r="V37" s="222"/>
      <c r="W37" s="58">
        <f t="shared" si="0"/>
        <v>4.8</v>
      </c>
      <c r="X37" s="68">
        <f t="shared" si="2"/>
        <v>2.7</v>
      </c>
      <c r="Y37" s="214">
        <f t="shared" si="8"/>
        <v>7.5</v>
      </c>
      <c r="Z37" s="70">
        <f>'[1]cálculos teóricos'!I366</f>
        <v>13.446132018093639</v>
      </c>
      <c r="AA37" s="71">
        <f t="shared" si="3"/>
        <v>55.778122585050539</v>
      </c>
      <c r="AB37" s="3"/>
      <c r="AE37" s="221"/>
    </row>
    <row r="38" spans="1:31" ht="18" customHeight="1">
      <c r="A38" s="79">
        <v>30</v>
      </c>
      <c r="B38" s="75">
        <v>15.2</v>
      </c>
      <c r="C38" s="73">
        <f>'[1]cálculos teóricos'!K367</f>
        <v>1.0433779627462227</v>
      </c>
      <c r="D38" s="58">
        <f t="shared" si="4"/>
        <v>230.96757139891014</v>
      </c>
      <c r="E38" s="59">
        <f t="shared" si="5"/>
        <v>9.6701502793295688</v>
      </c>
      <c r="F38" s="60">
        <f t="shared" si="6"/>
        <v>12.416770329161963</v>
      </c>
      <c r="G38" s="61">
        <f>'[1]cálculos teóricos'!T367</f>
        <v>42.996799518656061</v>
      </c>
      <c r="H38" s="74">
        <f t="shared" si="7"/>
        <v>28.878359478301167</v>
      </c>
      <c r="I38" s="78"/>
      <c r="J38" s="80">
        <v>0.1</v>
      </c>
      <c r="K38" s="80">
        <v>0.1</v>
      </c>
      <c r="L38" s="80">
        <v>0.1</v>
      </c>
      <c r="M38" s="80"/>
      <c r="N38" s="80"/>
      <c r="O38" s="76"/>
      <c r="P38" s="81"/>
      <c r="Q38" s="80"/>
      <c r="R38" s="80"/>
      <c r="S38" s="80"/>
      <c r="T38" s="80"/>
      <c r="U38" s="80"/>
      <c r="V38" s="222"/>
      <c r="W38" s="58">
        <f t="shared" si="0"/>
        <v>0.30000000000000004</v>
      </c>
      <c r="X38" s="68">
        <f t="shared" si="2"/>
        <v>0</v>
      </c>
      <c r="Y38" s="214">
        <f t="shared" si="8"/>
        <v>0.30000000000000004</v>
      </c>
      <c r="Z38" s="70">
        <f>'[1]cálculos teóricos'!I367</f>
        <v>13.44217469400769</v>
      </c>
      <c r="AA38" s="71">
        <f t="shared" si="3"/>
        <v>2.2317817379187561</v>
      </c>
      <c r="AB38" s="3"/>
      <c r="AE38" s="221"/>
    </row>
    <row r="39" spans="1:31" ht="18" customHeight="1" thickBot="1">
      <c r="A39" s="86">
        <v>31</v>
      </c>
      <c r="B39" s="87">
        <v>13.6</v>
      </c>
      <c r="C39" s="88">
        <f>'[1]cálculos teóricos'!K368</f>
        <v>1.0433458476398019</v>
      </c>
      <c r="D39" s="89">
        <f t="shared" si="4"/>
        <v>206.64883462859066</v>
      </c>
      <c r="E39" s="90">
        <f t="shared" si="5"/>
        <v>8.6519734082298339</v>
      </c>
      <c r="F39" s="91">
        <f t="shared" si="6"/>
        <v>11.144049240287293</v>
      </c>
      <c r="G39" s="92">
        <f>'[1]cálculos teóricos'!T368</f>
        <v>42.985701383239665</v>
      </c>
      <c r="H39" s="93">
        <f t="shared" si="7"/>
        <v>25.925014322628716</v>
      </c>
      <c r="I39" s="94"/>
      <c r="J39" s="87"/>
      <c r="K39" s="87">
        <v>0.4</v>
      </c>
      <c r="L39" s="87">
        <v>0.5</v>
      </c>
      <c r="M39" s="87">
        <v>0.6</v>
      </c>
      <c r="N39" s="87"/>
      <c r="O39" s="95"/>
      <c r="P39" s="94"/>
      <c r="Q39" s="87"/>
      <c r="R39" s="87"/>
      <c r="S39" s="87"/>
      <c r="T39" s="87"/>
      <c r="U39" s="87"/>
      <c r="V39" s="223"/>
      <c r="W39" s="58">
        <f t="shared" si="0"/>
        <v>1.5</v>
      </c>
      <c r="X39" s="89">
        <f t="shared" si="2"/>
        <v>0</v>
      </c>
      <c r="Y39" s="224">
        <f t="shared" si="8"/>
        <v>1.5</v>
      </c>
      <c r="Z39" s="100">
        <f>'[1]cálculos teóricos'!I368</f>
        <v>13.437678260637247</v>
      </c>
      <c r="AA39" s="101">
        <f t="shared" si="3"/>
        <v>11.162642615085698</v>
      </c>
      <c r="AB39" s="3"/>
      <c r="AE39" s="221"/>
    </row>
    <row r="40" spans="1:31" s="107" customFormat="1" ht="15.75" thickTop="1">
      <c r="A40" s="102"/>
      <c r="B40" s="102"/>
      <c r="C40" s="102"/>
      <c r="D40" s="102"/>
      <c r="E40" s="102"/>
      <c r="F40" s="102"/>
      <c r="G40" s="102"/>
      <c r="H40" s="102"/>
      <c r="I40" s="105">
        <f>SUM(I9:I39)</f>
        <v>0.4</v>
      </c>
      <c r="J40" s="105">
        <f t="shared" ref="J40:AA40" si="9">SUM(J9:J39)</f>
        <v>8.7999999999999989</v>
      </c>
      <c r="K40" s="105">
        <f t="shared" si="9"/>
        <v>13.4</v>
      </c>
      <c r="L40" s="105">
        <f t="shared" si="9"/>
        <v>17.300000000000004</v>
      </c>
      <c r="M40" s="105">
        <f t="shared" si="9"/>
        <v>19.899999999999999</v>
      </c>
      <c r="N40" s="105">
        <f t="shared" si="9"/>
        <v>19.7</v>
      </c>
      <c r="O40" s="105">
        <f t="shared" si="9"/>
        <v>16.8</v>
      </c>
      <c r="P40" s="105">
        <f t="shared" si="9"/>
        <v>17.7</v>
      </c>
      <c r="Q40" s="105">
        <f t="shared" si="9"/>
        <v>16.7</v>
      </c>
      <c r="R40" s="105">
        <f t="shared" si="9"/>
        <v>14.600000000000001</v>
      </c>
      <c r="S40" s="105">
        <f t="shared" si="9"/>
        <v>12.8</v>
      </c>
      <c r="T40" s="105">
        <f t="shared" si="9"/>
        <v>9.4</v>
      </c>
      <c r="U40" s="105">
        <f t="shared" si="9"/>
        <v>3.0999999999999996</v>
      </c>
      <c r="V40" s="105"/>
      <c r="W40" s="105">
        <f t="shared" si="0"/>
        <v>96.3</v>
      </c>
      <c r="X40" s="105">
        <f>SUM(P40:V40)</f>
        <v>74.3</v>
      </c>
      <c r="Y40" s="105">
        <f>W40+X40</f>
        <v>170.6</v>
      </c>
      <c r="Z40" s="105">
        <f t="shared" si="9"/>
        <v>416.21285701052278</v>
      </c>
      <c r="AA40" s="105">
        <f t="shared" si="9"/>
        <v>1270.5676554713716</v>
      </c>
      <c r="AB40" s="102"/>
    </row>
    <row r="41" spans="1:31" s="107" customFormat="1" ht="15">
      <c r="A41" s="102"/>
      <c r="B41" s="102" t="s">
        <v>50</v>
      </c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</row>
    <row r="42" spans="1:31" s="107" customFormat="1" ht="1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</row>
    <row r="43" spans="1:31" s="107" customFormat="1" ht="15">
      <c r="A43" s="102"/>
      <c r="B43" s="102" t="s">
        <v>51</v>
      </c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</row>
    <row r="44" spans="1:31" s="107" customFormat="1" ht="15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</row>
    <row r="45" spans="1:31" s="107" customFormat="1" ht="15">
      <c r="A45" s="102"/>
      <c r="B45" s="102" t="s">
        <v>52</v>
      </c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</row>
    <row r="46" spans="1:31" s="107" customFormat="1" ht="1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</row>
    <row r="47" spans="1:31" s="107" customFormat="1" ht="15">
      <c r="A47" s="102"/>
      <c r="B47" s="102" t="s">
        <v>53</v>
      </c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</row>
    <row r="48" spans="1:31" s="107" customFormat="1" ht="15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</row>
    <row r="49" spans="1:28" s="107" customFormat="1" ht="15">
      <c r="A49" s="102"/>
      <c r="B49" s="102" t="s">
        <v>54</v>
      </c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2" t="s">
        <v>55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2" t="s">
        <v>56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07" t="s">
        <v>57</v>
      </c>
    </row>
    <row r="61" spans="1:28">
      <c r="V61" s="225"/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marco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2026-03-11T22:33:49Z</dcterms:created>
  <dcterms:modified xsi:type="dcterms:W3CDTF">2026-03-11T22:34:24Z</dcterms:modified>
</cp:coreProperties>
</file>