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calcPr calcId="125725"/>
</workbook>
</file>

<file path=xl/calcChain.xml><?xml version="1.0" encoding="utf-8"?>
<calcChain xmlns="http://schemas.openxmlformats.org/spreadsheetml/2006/main">
  <c r="U40" i="12"/>
  <c r="T40"/>
  <c r="S40"/>
  <c r="R40"/>
  <c r="Q40"/>
  <c r="P40"/>
  <c r="X40" s="1"/>
  <c r="O40"/>
  <c r="N40"/>
  <c r="M40"/>
  <c r="L40"/>
  <c r="K40"/>
  <c r="J40"/>
  <c r="I40"/>
  <c r="W40" s="1"/>
  <c r="Y40" s="1"/>
  <c r="Z39"/>
  <c r="Y39"/>
  <c r="AA39" s="1"/>
  <c r="X39"/>
  <c r="W39"/>
  <c r="G39"/>
  <c r="C39"/>
  <c r="D39" s="1"/>
  <c r="Z38"/>
  <c r="X38"/>
  <c r="W38"/>
  <c r="Y38" s="1"/>
  <c r="AA38" s="1"/>
  <c r="G38"/>
  <c r="C38"/>
  <c r="D38" s="1"/>
  <c r="Z37"/>
  <c r="Y37"/>
  <c r="AA37" s="1"/>
  <c r="X37"/>
  <c r="W37"/>
  <c r="G37"/>
  <c r="D37"/>
  <c r="F37" s="1"/>
  <c r="H37" s="1"/>
  <c r="C37"/>
  <c r="Z36"/>
  <c r="AA36" s="1"/>
  <c r="Y36"/>
  <c r="X36"/>
  <c r="W36"/>
  <c r="G36"/>
  <c r="C36"/>
  <c r="D36" s="1"/>
  <c r="Z35"/>
  <c r="X35"/>
  <c r="W35"/>
  <c r="Y35" s="1"/>
  <c r="AA35" s="1"/>
  <c r="G35"/>
  <c r="H35" s="1"/>
  <c r="F35"/>
  <c r="D35"/>
  <c r="E35" s="1"/>
  <c r="C35"/>
  <c r="Z34"/>
  <c r="X34"/>
  <c r="W34"/>
  <c r="Y34" s="1"/>
  <c r="AA34" s="1"/>
  <c r="G34"/>
  <c r="E34"/>
  <c r="D34"/>
  <c r="F34" s="1"/>
  <c r="H34" s="1"/>
  <c r="C34"/>
  <c r="Z33"/>
  <c r="X33"/>
  <c r="W33"/>
  <c r="Y33" s="1"/>
  <c r="AA33" s="1"/>
  <c r="G33"/>
  <c r="D33"/>
  <c r="E33" s="1"/>
  <c r="C33"/>
  <c r="Z32"/>
  <c r="Y32"/>
  <c r="AA32" s="1"/>
  <c r="X32"/>
  <c r="W32"/>
  <c r="H32"/>
  <c r="G32"/>
  <c r="F32"/>
  <c r="E32"/>
  <c r="D32"/>
  <c r="C32"/>
  <c r="Z31"/>
  <c r="X31"/>
  <c r="Y31" s="1"/>
  <c r="AA31" s="1"/>
  <c r="W31"/>
  <c r="G31"/>
  <c r="C31"/>
  <c r="D31" s="1"/>
  <c r="Z30"/>
  <c r="X30"/>
  <c r="W30"/>
  <c r="Y30" s="1"/>
  <c r="AA30" s="1"/>
  <c r="G30"/>
  <c r="F30"/>
  <c r="H30" s="1"/>
  <c r="E30"/>
  <c r="D30"/>
  <c r="C30"/>
  <c r="Z29"/>
  <c r="X29"/>
  <c r="W29"/>
  <c r="Y29" s="1"/>
  <c r="AA29" s="1"/>
  <c r="G29"/>
  <c r="C29"/>
  <c r="D29" s="1"/>
  <c r="Z28"/>
  <c r="Y28"/>
  <c r="AA28" s="1"/>
  <c r="X28"/>
  <c r="W28"/>
  <c r="G28"/>
  <c r="D28"/>
  <c r="E28" s="1"/>
  <c r="C28"/>
  <c r="Z27"/>
  <c r="X27"/>
  <c r="W27"/>
  <c r="Y27" s="1"/>
  <c r="AA27" s="1"/>
  <c r="G27"/>
  <c r="C27"/>
  <c r="D27" s="1"/>
  <c r="Z26"/>
  <c r="X26"/>
  <c r="W26"/>
  <c r="Y26" s="1"/>
  <c r="AA26" s="1"/>
  <c r="G26"/>
  <c r="D26"/>
  <c r="E26" s="1"/>
  <c r="C26"/>
  <c r="Z25"/>
  <c r="AA25" s="1"/>
  <c r="Y25"/>
  <c r="X25"/>
  <c r="W25"/>
  <c r="G25"/>
  <c r="E25"/>
  <c r="D25"/>
  <c r="F25" s="1"/>
  <c r="H25" s="1"/>
  <c r="C25"/>
  <c r="Z24"/>
  <c r="X24"/>
  <c r="Y24" s="1"/>
  <c r="AA24" s="1"/>
  <c r="W24"/>
  <c r="G24"/>
  <c r="C24"/>
  <c r="D24" s="1"/>
  <c r="Z23"/>
  <c r="Y23"/>
  <c r="AA23" s="1"/>
  <c r="X23"/>
  <c r="W23"/>
  <c r="G23"/>
  <c r="C23"/>
  <c r="D23" s="1"/>
  <c r="Z22"/>
  <c r="X22"/>
  <c r="W22"/>
  <c r="Y22" s="1"/>
  <c r="AA22" s="1"/>
  <c r="G22"/>
  <c r="C22"/>
  <c r="D22" s="1"/>
  <c r="Z21"/>
  <c r="X21"/>
  <c r="W21"/>
  <c r="Y21" s="1"/>
  <c r="AA21" s="1"/>
  <c r="G21"/>
  <c r="D21"/>
  <c r="F21" s="1"/>
  <c r="H21" s="1"/>
  <c r="C21"/>
  <c r="Z20"/>
  <c r="Y20"/>
  <c r="AA20" s="1"/>
  <c r="X20"/>
  <c r="W20"/>
  <c r="G20"/>
  <c r="C20"/>
  <c r="D20" s="1"/>
  <c r="Z19"/>
  <c r="X19"/>
  <c r="W19"/>
  <c r="Y19" s="1"/>
  <c r="AA19" s="1"/>
  <c r="G19"/>
  <c r="F19"/>
  <c r="H19" s="1"/>
  <c r="D19"/>
  <c r="E19" s="1"/>
  <c r="C19"/>
  <c r="Z18"/>
  <c r="X18"/>
  <c r="W18"/>
  <c r="Y18" s="1"/>
  <c r="AA18" s="1"/>
  <c r="G18"/>
  <c r="E18"/>
  <c r="D18"/>
  <c r="F18" s="1"/>
  <c r="H18" s="1"/>
  <c r="C18"/>
  <c r="Z17"/>
  <c r="X17"/>
  <c r="W17"/>
  <c r="Y17" s="1"/>
  <c r="AA17" s="1"/>
  <c r="G17"/>
  <c r="D17"/>
  <c r="E17" s="1"/>
  <c r="C17"/>
  <c r="Z16"/>
  <c r="Y16"/>
  <c r="AA16" s="1"/>
  <c r="X16"/>
  <c r="W16"/>
  <c r="G16"/>
  <c r="C16"/>
  <c r="D16" s="1"/>
  <c r="Z15"/>
  <c r="X15"/>
  <c r="Y15" s="1"/>
  <c r="AA15" s="1"/>
  <c r="W15"/>
  <c r="G15"/>
  <c r="C15"/>
  <c r="D15" s="1"/>
  <c r="Z14"/>
  <c r="X14"/>
  <c r="W14"/>
  <c r="Y14" s="1"/>
  <c r="AA14" s="1"/>
  <c r="G14"/>
  <c r="F14"/>
  <c r="H14" s="1"/>
  <c r="E14"/>
  <c r="D14"/>
  <c r="C14"/>
  <c r="Z13"/>
  <c r="X13"/>
  <c r="W13"/>
  <c r="Y13" s="1"/>
  <c r="AA13" s="1"/>
  <c r="G13"/>
  <c r="C13"/>
  <c r="D13" s="1"/>
  <c r="Z12"/>
  <c r="Y12"/>
  <c r="AA12" s="1"/>
  <c r="X12"/>
  <c r="W12"/>
  <c r="G12"/>
  <c r="D12"/>
  <c r="E12" s="1"/>
  <c r="C12"/>
  <c r="Z11"/>
  <c r="X11"/>
  <c r="W11"/>
  <c r="Y11" s="1"/>
  <c r="AA11" s="1"/>
  <c r="G11"/>
  <c r="C11"/>
  <c r="D11" s="1"/>
  <c r="Z10"/>
  <c r="X10"/>
  <c r="W10"/>
  <c r="Y10" s="1"/>
  <c r="AA10" s="1"/>
  <c r="G10"/>
  <c r="E10"/>
  <c r="D10"/>
  <c r="F10" s="1"/>
  <c r="H10" s="1"/>
  <c r="C10"/>
  <c r="Z9"/>
  <c r="AA9" s="1"/>
  <c r="AA40" s="1"/>
  <c r="Y9"/>
  <c r="X9"/>
  <c r="W9"/>
  <c r="G9"/>
  <c r="E9"/>
  <c r="D9"/>
  <c r="F9" s="1"/>
  <c r="H9" s="1"/>
  <c r="C9"/>
  <c r="V40" i="11"/>
  <c r="U40"/>
  <c r="T40"/>
  <c r="S40"/>
  <c r="R40"/>
  <c r="Q40"/>
  <c r="P40"/>
  <c r="X40" s="1"/>
  <c r="O40"/>
  <c r="N40"/>
  <c r="M40"/>
  <c r="L40"/>
  <c r="K40"/>
  <c r="J40"/>
  <c r="I40"/>
  <c r="W40" s="1"/>
  <c r="Y40" s="1"/>
  <c r="Z38"/>
  <c r="X38"/>
  <c r="Y38" s="1"/>
  <c r="AA38" s="1"/>
  <c r="W38"/>
  <c r="G38"/>
  <c r="C38"/>
  <c r="D38" s="1"/>
  <c r="Z37"/>
  <c r="X37"/>
  <c r="W37"/>
  <c r="Y37" s="1"/>
  <c r="AA37" s="1"/>
  <c r="G37"/>
  <c r="F37"/>
  <c r="H37" s="1"/>
  <c r="E37"/>
  <c r="D37"/>
  <c r="C37"/>
  <c r="Z36"/>
  <c r="X36"/>
  <c r="W36"/>
  <c r="Y36" s="1"/>
  <c r="AA36" s="1"/>
  <c r="G36"/>
  <c r="D36"/>
  <c r="E36" s="1"/>
  <c r="C36"/>
  <c r="Z35"/>
  <c r="Y35"/>
  <c r="AA35" s="1"/>
  <c r="X35"/>
  <c r="W35"/>
  <c r="G35"/>
  <c r="D35"/>
  <c r="E35" s="1"/>
  <c r="C35"/>
  <c r="Z34"/>
  <c r="X34"/>
  <c r="W34"/>
  <c r="Y34" s="1"/>
  <c r="AA34" s="1"/>
  <c r="G34"/>
  <c r="C34"/>
  <c r="D34" s="1"/>
  <c r="Z33"/>
  <c r="X33"/>
  <c r="W33"/>
  <c r="Y33" s="1"/>
  <c r="AA33" s="1"/>
  <c r="G33"/>
  <c r="E33"/>
  <c r="D33"/>
  <c r="F33" s="1"/>
  <c r="H33" s="1"/>
  <c r="C33"/>
  <c r="AA32"/>
  <c r="Z32"/>
  <c r="Y32"/>
  <c r="X32"/>
  <c r="W32"/>
  <c r="G32"/>
  <c r="E32"/>
  <c r="D32"/>
  <c r="F32" s="1"/>
  <c r="H32" s="1"/>
  <c r="C32"/>
  <c r="Z31"/>
  <c r="Y31"/>
  <c r="AA31" s="1"/>
  <c r="X31"/>
  <c r="W31"/>
  <c r="G31"/>
  <c r="C31"/>
  <c r="D31" s="1"/>
  <c r="Z30"/>
  <c r="Y30"/>
  <c r="AA30" s="1"/>
  <c r="X30"/>
  <c r="W30"/>
  <c r="G30"/>
  <c r="C30"/>
  <c r="D30" s="1"/>
  <c r="Z29"/>
  <c r="X29"/>
  <c r="W29"/>
  <c r="Y29" s="1"/>
  <c r="AA29" s="1"/>
  <c r="G29"/>
  <c r="C29"/>
  <c r="D29" s="1"/>
  <c r="Z28"/>
  <c r="X28"/>
  <c r="W28"/>
  <c r="Y28" s="1"/>
  <c r="AA28" s="1"/>
  <c r="G28"/>
  <c r="D28"/>
  <c r="F28" s="1"/>
  <c r="H28" s="1"/>
  <c r="C28"/>
  <c r="Z27"/>
  <c r="AA27" s="1"/>
  <c r="Y27"/>
  <c r="X27"/>
  <c r="W27"/>
  <c r="G27"/>
  <c r="D27"/>
  <c r="E27" s="1"/>
  <c r="C27"/>
  <c r="Z26"/>
  <c r="X26"/>
  <c r="W26"/>
  <c r="Y26" s="1"/>
  <c r="AA26" s="1"/>
  <c r="G26"/>
  <c r="H26" s="1"/>
  <c r="F26"/>
  <c r="D26"/>
  <c r="E26" s="1"/>
  <c r="C26"/>
  <c r="Z25"/>
  <c r="X25"/>
  <c r="W25"/>
  <c r="Y25" s="1"/>
  <c r="AA25" s="1"/>
  <c r="G25"/>
  <c r="E25"/>
  <c r="D25"/>
  <c r="F25" s="1"/>
  <c r="H25" s="1"/>
  <c r="C25"/>
  <c r="Z24"/>
  <c r="X24"/>
  <c r="W24"/>
  <c r="Y24" s="1"/>
  <c r="AA24" s="1"/>
  <c r="G24"/>
  <c r="C24"/>
  <c r="D24" s="1"/>
  <c r="Z23"/>
  <c r="Y23"/>
  <c r="AA23" s="1"/>
  <c r="X23"/>
  <c r="W23"/>
  <c r="G23"/>
  <c r="C23"/>
  <c r="D23" s="1"/>
  <c r="Z22"/>
  <c r="Y22"/>
  <c r="AA22" s="1"/>
  <c r="X22"/>
  <c r="W22"/>
  <c r="G22"/>
  <c r="C22"/>
  <c r="D22" s="1"/>
  <c r="Z21"/>
  <c r="X21"/>
  <c r="W21"/>
  <c r="Y21" s="1"/>
  <c r="AA21" s="1"/>
  <c r="G21"/>
  <c r="F21"/>
  <c r="H21" s="1"/>
  <c r="D21"/>
  <c r="E21" s="1"/>
  <c r="C21"/>
  <c r="Z20"/>
  <c r="X20"/>
  <c r="W20"/>
  <c r="Y20" s="1"/>
  <c r="AA20" s="1"/>
  <c r="G20"/>
  <c r="D20"/>
  <c r="E20" s="1"/>
  <c r="C20"/>
  <c r="Z19"/>
  <c r="X19"/>
  <c r="Y19" s="1"/>
  <c r="AA19" s="1"/>
  <c r="W19"/>
  <c r="G19"/>
  <c r="D19"/>
  <c r="E19" s="1"/>
  <c r="C19"/>
  <c r="Z18"/>
  <c r="X18"/>
  <c r="W18"/>
  <c r="Y18" s="1"/>
  <c r="AA18" s="1"/>
  <c r="G18"/>
  <c r="C18"/>
  <c r="D18" s="1"/>
  <c r="Z17"/>
  <c r="X17"/>
  <c r="Y17" s="1"/>
  <c r="AA17" s="1"/>
  <c r="W17"/>
  <c r="G17"/>
  <c r="E17"/>
  <c r="D17"/>
  <c r="F17" s="1"/>
  <c r="H17" s="1"/>
  <c r="C17"/>
  <c r="AA16"/>
  <c r="Z16"/>
  <c r="Y16"/>
  <c r="X16"/>
  <c r="W16"/>
  <c r="H16"/>
  <c r="G16"/>
  <c r="F16"/>
  <c r="E16"/>
  <c r="D16"/>
  <c r="C16"/>
  <c r="Z15"/>
  <c r="Y15"/>
  <c r="AA15" s="1"/>
  <c r="X15"/>
  <c r="W15"/>
  <c r="G15"/>
  <c r="C15"/>
  <c r="D15" s="1"/>
  <c r="Z14"/>
  <c r="Y14"/>
  <c r="AA14" s="1"/>
  <c r="X14"/>
  <c r="W14"/>
  <c r="G14"/>
  <c r="C14"/>
  <c r="D14" s="1"/>
  <c r="Z13"/>
  <c r="X13"/>
  <c r="W13"/>
  <c r="Y13" s="1"/>
  <c r="AA13" s="1"/>
  <c r="G13"/>
  <c r="C13"/>
  <c r="D13" s="1"/>
  <c r="Z12"/>
  <c r="X12"/>
  <c r="W12"/>
  <c r="Y12" s="1"/>
  <c r="AA12" s="1"/>
  <c r="G12"/>
  <c r="D12"/>
  <c r="F12" s="1"/>
  <c r="H12" s="1"/>
  <c r="C12"/>
  <c r="Z11"/>
  <c r="AA11" s="1"/>
  <c r="Y11"/>
  <c r="X11"/>
  <c r="W11"/>
  <c r="G11"/>
  <c r="D11"/>
  <c r="E11" s="1"/>
  <c r="C11"/>
  <c r="Z10"/>
  <c r="X10"/>
  <c r="W10"/>
  <c r="Y10" s="1"/>
  <c r="AA10" s="1"/>
  <c r="G10"/>
  <c r="H10" s="1"/>
  <c r="F10"/>
  <c r="D10"/>
  <c r="E10" s="1"/>
  <c r="C10"/>
  <c r="Z9"/>
  <c r="Z40" s="1"/>
  <c r="X9"/>
  <c r="W9"/>
  <c r="Y9" s="1"/>
  <c r="AA9" s="1"/>
  <c r="G9"/>
  <c r="E9"/>
  <c r="D9"/>
  <c r="F9" s="1"/>
  <c r="H9" s="1"/>
  <c r="C9"/>
  <c r="V40" i="10"/>
  <c r="U40"/>
  <c r="T40"/>
  <c r="S40"/>
  <c r="R40"/>
  <c r="Q40"/>
  <c r="X40" s="1"/>
  <c r="P40"/>
  <c r="O40"/>
  <c r="N40"/>
  <c r="M40"/>
  <c r="L40"/>
  <c r="K40"/>
  <c r="J40"/>
  <c r="I40"/>
  <c r="W40" s="1"/>
  <c r="Z39"/>
  <c r="Y39"/>
  <c r="AA39" s="1"/>
  <c r="X39"/>
  <c r="W39"/>
  <c r="G39"/>
  <c r="C39"/>
  <c r="D39" s="1"/>
  <c r="Z38"/>
  <c r="Y38"/>
  <c r="AA38" s="1"/>
  <c r="X38"/>
  <c r="W38"/>
  <c r="G38"/>
  <c r="C38"/>
  <c r="D38" s="1"/>
  <c r="Z37"/>
  <c r="X37"/>
  <c r="W37"/>
  <c r="Y37" s="1"/>
  <c r="AA37" s="1"/>
  <c r="G37"/>
  <c r="C37"/>
  <c r="D37" s="1"/>
  <c r="Z36"/>
  <c r="X36"/>
  <c r="W36"/>
  <c r="Y36" s="1"/>
  <c r="AA36" s="1"/>
  <c r="G36"/>
  <c r="D36"/>
  <c r="F36" s="1"/>
  <c r="H36" s="1"/>
  <c r="C36"/>
  <c r="Z35"/>
  <c r="AA35" s="1"/>
  <c r="Y35"/>
  <c r="X35"/>
  <c r="W35"/>
  <c r="G35"/>
  <c r="D35"/>
  <c r="E35" s="1"/>
  <c r="C35"/>
  <c r="Z34"/>
  <c r="X34"/>
  <c r="W34"/>
  <c r="Y34" s="1"/>
  <c r="AA34" s="1"/>
  <c r="G34"/>
  <c r="H34" s="1"/>
  <c r="F34"/>
  <c r="D34"/>
  <c r="E34" s="1"/>
  <c r="C34"/>
  <c r="Z33"/>
  <c r="X33"/>
  <c r="W33"/>
  <c r="Y33" s="1"/>
  <c r="AA33" s="1"/>
  <c r="G33"/>
  <c r="E33"/>
  <c r="D33"/>
  <c r="F33" s="1"/>
  <c r="H33" s="1"/>
  <c r="C33"/>
  <c r="Z32"/>
  <c r="X32"/>
  <c r="W32"/>
  <c r="Y32" s="1"/>
  <c r="AA32" s="1"/>
  <c r="G32"/>
  <c r="C32"/>
  <c r="D32" s="1"/>
  <c r="Z31"/>
  <c r="Y31"/>
  <c r="AA31" s="1"/>
  <c r="X31"/>
  <c r="W31"/>
  <c r="G31"/>
  <c r="C31"/>
  <c r="D31" s="1"/>
  <c r="Z30"/>
  <c r="Y30"/>
  <c r="AA30" s="1"/>
  <c r="X30"/>
  <c r="W30"/>
  <c r="G30"/>
  <c r="C30"/>
  <c r="D30" s="1"/>
  <c r="Z29"/>
  <c r="X29"/>
  <c r="W29"/>
  <c r="Y29" s="1"/>
  <c r="AA29" s="1"/>
  <c r="G29"/>
  <c r="F29"/>
  <c r="H29" s="1"/>
  <c r="D29"/>
  <c r="E29" s="1"/>
  <c r="C29"/>
  <c r="Z28"/>
  <c r="X28"/>
  <c r="W28"/>
  <c r="Y28" s="1"/>
  <c r="AA28" s="1"/>
  <c r="G28"/>
  <c r="D28"/>
  <c r="E28" s="1"/>
  <c r="C28"/>
  <c r="Z27"/>
  <c r="X27"/>
  <c r="Y27" s="1"/>
  <c r="AA27" s="1"/>
  <c r="W27"/>
  <c r="G27"/>
  <c r="D27"/>
  <c r="E27" s="1"/>
  <c r="C27"/>
  <c r="Z26"/>
  <c r="X26"/>
  <c r="W26"/>
  <c r="Y26" s="1"/>
  <c r="AA26" s="1"/>
  <c r="G26"/>
  <c r="C26"/>
  <c r="D26" s="1"/>
  <c r="Z25"/>
  <c r="X25"/>
  <c r="Y25" s="1"/>
  <c r="AA25" s="1"/>
  <c r="W25"/>
  <c r="G25"/>
  <c r="E25"/>
  <c r="D25"/>
  <c r="F25" s="1"/>
  <c r="H25" s="1"/>
  <c r="C25"/>
  <c r="AA24"/>
  <c r="Z24"/>
  <c r="Y24"/>
  <c r="X24"/>
  <c r="W24"/>
  <c r="H24"/>
  <c r="G24"/>
  <c r="F24"/>
  <c r="E24"/>
  <c r="D24"/>
  <c r="C24"/>
  <c r="Z23"/>
  <c r="Y23"/>
  <c r="AA23" s="1"/>
  <c r="X23"/>
  <c r="W23"/>
  <c r="G23"/>
  <c r="C23"/>
  <c r="D23" s="1"/>
  <c r="Z22"/>
  <c r="Y22"/>
  <c r="AA22" s="1"/>
  <c r="X22"/>
  <c r="W22"/>
  <c r="G22"/>
  <c r="C22"/>
  <c r="D22" s="1"/>
  <c r="Z21"/>
  <c r="X21"/>
  <c r="W21"/>
  <c r="Y21" s="1"/>
  <c r="AA21" s="1"/>
  <c r="G21"/>
  <c r="C21"/>
  <c r="D21" s="1"/>
  <c r="Z20"/>
  <c r="X20"/>
  <c r="W20"/>
  <c r="Y20" s="1"/>
  <c r="AA20" s="1"/>
  <c r="G20"/>
  <c r="D20"/>
  <c r="F20" s="1"/>
  <c r="H20" s="1"/>
  <c r="C20"/>
  <c r="Z19"/>
  <c r="AA19" s="1"/>
  <c r="Y19"/>
  <c r="X19"/>
  <c r="W19"/>
  <c r="G19"/>
  <c r="D19"/>
  <c r="E19" s="1"/>
  <c r="C19"/>
  <c r="Z18"/>
  <c r="X18"/>
  <c r="W18"/>
  <c r="Y18" s="1"/>
  <c r="AA18" s="1"/>
  <c r="G18"/>
  <c r="H18" s="1"/>
  <c r="F18"/>
  <c r="D18"/>
  <c r="E18" s="1"/>
  <c r="C18"/>
  <c r="Z17"/>
  <c r="X17"/>
  <c r="W17"/>
  <c r="Y17" s="1"/>
  <c r="AA17" s="1"/>
  <c r="G17"/>
  <c r="E17"/>
  <c r="D17"/>
  <c r="F17" s="1"/>
  <c r="H17" s="1"/>
  <c r="C17"/>
  <c r="Z16"/>
  <c r="X16"/>
  <c r="W16"/>
  <c r="Y16" s="1"/>
  <c r="AA16" s="1"/>
  <c r="G16"/>
  <c r="C16"/>
  <c r="D16" s="1"/>
  <c r="Z15"/>
  <c r="Y15"/>
  <c r="AA15" s="1"/>
  <c r="X15"/>
  <c r="W15"/>
  <c r="G15"/>
  <c r="C15"/>
  <c r="D15" s="1"/>
  <c r="Z14"/>
  <c r="Y14"/>
  <c r="AA14" s="1"/>
  <c r="X14"/>
  <c r="W14"/>
  <c r="G14"/>
  <c r="C14"/>
  <c r="D14" s="1"/>
  <c r="Z13"/>
  <c r="X13"/>
  <c r="W13"/>
  <c r="Y13" s="1"/>
  <c r="AA13" s="1"/>
  <c r="G13"/>
  <c r="F13"/>
  <c r="H13" s="1"/>
  <c r="D13"/>
  <c r="E13" s="1"/>
  <c r="C13"/>
  <c r="Z12"/>
  <c r="X12"/>
  <c r="W12"/>
  <c r="Y12" s="1"/>
  <c r="AA12" s="1"/>
  <c r="G12"/>
  <c r="D12"/>
  <c r="E12" s="1"/>
  <c r="C12"/>
  <c r="Z11"/>
  <c r="X11"/>
  <c r="Y11" s="1"/>
  <c r="AA11" s="1"/>
  <c r="W11"/>
  <c r="G11"/>
  <c r="D11"/>
  <c r="E11" s="1"/>
  <c r="C11"/>
  <c r="Z10"/>
  <c r="X10"/>
  <c r="W10"/>
  <c r="Y10" s="1"/>
  <c r="AA10" s="1"/>
  <c r="G10"/>
  <c r="C10"/>
  <c r="D10" s="1"/>
  <c r="Z9"/>
  <c r="Z40" s="1"/>
  <c r="X9"/>
  <c r="Y9" s="1"/>
  <c r="AA9" s="1"/>
  <c r="W9"/>
  <c r="G9"/>
  <c r="E9"/>
  <c r="D9"/>
  <c r="F9" s="1"/>
  <c r="H9" s="1"/>
  <c r="C9"/>
  <c r="V40" i="9"/>
  <c r="U40"/>
  <c r="T40"/>
  <c r="S40"/>
  <c r="R40"/>
  <c r="Q40"/>
  <c r="P40"/>
  <c r="X40" s="1"/>
  <c r="O40"/>
  <c r="N40"/>
  <c r="M40"/>
  <c r="L40"/>
  <c r="K40"/>
  <c r="J40"/>
  <c r="I40"/>
  <c r="W40" s="1"/>
  <c r="Z38"/>
  <c r="Y38"/>
  <c r="AA38" s="1"/>
  <c r="X38"/>
  <c r="W38"/>
  <c r="G38"/>
  <c r="C38"/>
  <c r="D38" s="1"/>
  <c r="Z37"/>
  <c r="Y37"/>
  <c r="AA37" s="1"/>
  <c r="X37"/>
  <c r="W37"/>
  <c r="G37"/>
  <c r="C37"/>
  <c r="D37" s="1"/>
  <c r="Z36"/>
  <c r="X36"/>
  <c r="W36"/>
  <c r="Y36" s="1"/>
  <c r="AA36" s="1"/>
  <c r="G36"/>
  <c r="F36"/>
  <c r="H36" s="1"/>
  <c r="D36"/>
  <c r="E36" s="1"/>
  <c r="C36"/>
  <c r="Z35"/>
  <c r="X35"/>
  <c r="W35"/>
  <c r="Y35" s="1"/>
  <c r="AA35" s="1"/>
  <c r="G35"/>
  <c r="D35"/>
  <c r="E35" s="1"/>
  <c r="C35"/>
  <c r="Z34"/>
  <c r="X34"/>
  <c r="Y34" s="1"/>
  <c r="AA34" s="1"/>
  <c r="W34"/>
  <c r="G34"/>
  <c r="D34"/>
  <c r="E34" s="1"/>
  <c r="C34"/>
  <c r="Z33"/>
  <c r="X33"/>
  <c r="W33"/>
  <c r="Y33" s="1"/>
  <c r="AA33" s="1"/>
  <c r="G33"/>
  <c r="C33"/>
  <c r="D33" s="1"/>
  <c r="Z32"/>
  <c r="X32"/>
  <c r="Y32" s="1"/>
  <c r="AA32" s="1"/>
  <c r="W32"/>
  <c r="G32"/>
  <c r="E32"/>
  <c r="D32"/>
  <c r="F32" s="1"/>
  <c r="H32" s="1"/>
  <c r="C32"/>
  <c r="AA31"/>
  <c r="Z31"/>
  <c r="Y31"/>
  <c r="X31"/>
  <c r="W31"/>
  <c r="H31"/>
  <c r="G31"/>
  <c r="F31"/>
  <c r="E31"/>
  <c r="D31"/>
  <c r="C31"/>
  <c r="Z30"/>
  <c r="Y30"/>
  <c r="AA30" s="1"/>
  <c r="X30"/>
  <c r="W30"/>
  <c r="G30"/>
  <c r="C30"/>
  <c r="D30" s="1"/>
  <c r="Z29"/>
  <c r="Y29"/>
  <c r="AA29" s="1"/>
  <c r="X29"/>
  <c r="W29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D27"/>
  <c r="F27" s="1"/>
  <c r="H27" s="1"/>
  <c r="C27"/>
  <c r="Z26"/>
  <c r="AA26" s="1"/>
  <c r="Y26"/>
  <c r="X26"/>
  <c r="W26"/>
  <c r="G26"/>
  <c r="D26"/>
  <c r="E26" s="1"/>
  <c r="C26"/>
  <c r="Z25"/>
  <c r="X25"/>
  <c r="W25"/>
  <c r="Y25" s="1"/>
  <c r="AA25" s="1"/>
  <c r="G25"/>
  <c r="H25" s="1"/>
  <c r="F25"/>
  <c r="D25"/>
  <c r="E25" s="1"/>
  <c r="C25"/>
  <c r="Z24"/>
  <c r="X24"/>
  <c r="W24"/>
  <c r="Y24" s="1"/>
  <c r="AA24" s="1"/>
  <c r="G24"/>
  <c r="E24"/>
  <c r="D24"/>
  <c r="F24" s="1"/>
  <c r="H24" s="1"/>
  <c r="C24"/>
  <c r="Z23"/>
  <c r="X23"/>
  <c r="W23"/>
  <c r="Y23" s="1"/>
  <c r="AA23" s="1"/>
  <c r="G23"/>
  <c r="C23"/>
  <c r="D23" s="1"/>
  <c r="Z22"/>
  <c r="Y22"/>
  <c r="AA22" s="1"/>
  <c r="X22"/>
  <c r="W22"/>
  <c r="G22"/>
  <c r="C22"/>
  <c r="D22" s="1"/>
  <c r="Z21"/>
  <c r="Y21"/>
  <c r="AA21" s="1"/>
  <c r="X21"/>
  <c r="W21"/>
  <c r="G21"/>
  <c r="C21"/>
  <c r="D21" s="1"/>
  <c r="Z20"/>
  <c r="X20"/>
  <c r="W20"/>
  <c r="Y20" s="1"/>
  <c r="AA20" s="1"/>
  <c r="G20"/>
  <c r="F20"/>
  <c r="H20" s="1"/>
  <c r="D20"/>
  <c r="E20" s="1"/>
  <c r="C20"/>
  <c r="Z19"/>
  <c r="X19"/>
  <c r="W19"/>
  <c r="Y19" s="1"/>
  <c r="AA19" s="1"/>
  <c r="G19"/>
  <c r="D19"/>
  <c r="E19" s="1"/>
  <c r="C19"/>
  <c r="Z18"/>
  <c r="X18"/>
  <c r="Y18" s="1"/>
  <c r="AA18" s="1"/>
  <c r="W18"/>
  <c r="G18"/>
  <c r="D18"/>
  <c r="E18" s="1"/>
  <c r="C18"/>
  <c r="Z17"/>
  <c r="X17"/>
  <c r="W17"/>
  <c r="Y17" s="1"/>
  <c r="AA17" s="1"/>
  <c r="G17"/>
  <c r="C17"/>
  <c r="D17" s="1"/>
  <c r="Z16"/>
  <c r="X16"/>
  <c r="Y16" s="1"/>
  <c r="AA16" s="1"/>
  <c r="W16"/>
  <c r="G16"/>
  <c r="E16"/>
  <c r="D16"/>
  <c r="F16" s="1"/>
  <c r="H16" s="1"/>
  <c r="C16"/>
  <c r="AA15"/>
  <c r="Z15"/>
  <c r="Y15"/>
  <c r="X15"/>
  <c r="W15"/>
  <c r="H15"/>
  <c r="G15"/>
  <c r="F15"/>
  <c r="E15"/>
  <c r="D15"/>
  <c r="C15"/>
  <c r="Z14"/>
  <c r="Y14"/>
  <c r="AA14" s="1"/>
  <c r="X14"/>
  <c r="W14"/>
  <c r="G14"/>
  <c r="C14"/>
  <c r="D14" s="1"/>
  <c r="Z13"/>
  <c r="Y13"/>
  <c r="AA13" s="1"/>
  <c r="X13"/>
  <c r="W13"/>
  <c r="G13"/>
  <c r="C13"/>
  <c r="D13" s="1"/>
  <c r="Z12"/>
  <c r="X12"/>
  <c r="W12"/>
  <c r="Y12" s="1"/>
  <c r="AA12" s="1"/>
  <c r="G12"/>
  <c r="C12"/>
  <c r="D12" s="1"/>
  <c r="Z11"/>
  <c r="X11"/>
  <c r="W11"/>
  <c r="Y11" s="1"/>
  <c r="AA11" s="1"/>
  <c r="G11"/>
  <c r="D11"/>
  <c r="F11" s="1"/>
  <c r="H11" s="1"/>
  <c r="C11"/>
  <c r="Z10"/>
  <c r="Z40" s="1"/>
  <c r="Y10"/>
  <c r="X10"/>
  <c r="W10"/>
  <c r="G10"/>
  <c r="D10"/>
  <c r="E10" s="1"/>
  <c r="C10"/>
  <c r="Z9"/>
  <c r="X9"/>
  <c r="W9"/>
  <c r="Y9" s="1"/>
  <c r="AA9" s="1"/>
  <c r="G9"/>
  <c r="H9" s="1"/>
  <c r="F9"/>
  <c r="D9"/>
  <c r="E9" s="1"/>
  <c r="C9"/>
  <c r="V40" i="8"/>
  <c r="U40"/>
  <c r="T40"/>
  <c r="S40"/>
  <c r="R40"/>
  <c r="Q40"/>
  <c r="P40"/>
  <c r="X40" s="1"/>
  <c r="O40"/>
  <c r="N40"/>
  <c r="M40"/>
  <c r="L40"/>
  <c r="K40"/>
  <c r="J40"/>
  <c r="W40" s="1"/>
  <c r="I40"/>
  <c r="AA39"/>
  <c r="Z39"/>
  <c r="Y39"/>
  <c r="X39"/>
  <c r="W39"/>
  <c r="H39"/>
  <c r="G39"/>
  <c r="F39"/>
  <c r="E39"/>
  <c r="D39"/>
  <c r="C39"/>
  <c r="Z38"/>
  <c r="Y38"/>
  <c r="AA38" s="1"/>
  <c r="X38"/>
  <c r="W38"/>
  <c r="G38"/>
  <c r="C38"/>
  <c r="D38" s="1"/>
  <c r="Z37"/>
  <c r="Y37"/>
  <c r="AA37" s="1"/>
  <c r="X37"/>
  <c r="W37"/>
  <c r="G37"/>
  <c r="C37"/>
  <c r="D37" s="1"/>
  <c r="Z36"/>
  <c r="X36"/>
  <c r="W36"/>
  <c r="Y36" s="1"/>
  <c r="AA36" s="1"/>
  <c r="G36"/>
  <c r="C36"/>
  <c r="D36" s="1"/>
  <c r="Z35"/>
  <c r="X35"/>
  <c r="W35"/>
  <c r="Y35" s="1"/>
  <c r="AA35" s="1"/>
  <c r="G35"/>
  <c r="D35"/>
  <c r="F35" s="1"/>
  <c r="H35" s="1"/>
  <c r="C35"/>
  <c r="Z34"/>
  <c r="AA34" s="1"/>
  <c r="Y34"/>
  <c r="X34"/>
  <c r="W34"/>
  <c r="G34"/>
  <c r="D34"/>
  <c r="E34" s="1"/>
  <c r="C34"/>
  <c r="Z33"/>
  <c r="X33"/>
  <c r="W33"/>
  <c r="Y33" s="1"/>
  <c r="AA33" s="1"/>
  <c r="G33"/>
  <c r="H33" s="1"/>
  <c r="F33"/>
  <c r="D33"/>
  <c r="E33" s="1"/>
  <c r="C33"/>
  <c r="Z32"/>
  <c r="X32"/>
  <c r="W32"/>
  <c r="Y32" s="1"/>
  <c r="AA32" s="1"/>
  <c r="G32"/>
  <c r="E32"/>
  <c r="D32"/>
  <c r="F32" s="1"/>
  <c r="H32" s="1"/>
  <c r="C32"/>
  <c r="Z31"/>
  <c r="X31"/>
  <c r="W31"/>
  <c r="Y31" s="1"/>
  <c r="AA31" s="1"/>
  <c r="G31"/>
  <c r="C31"/>
  <c r="D31" s="1"/>
  <c r="Z30"/>
  <c r="Y30"/>
  <c r="AA30" s="1"/>
  <c r="X30"/>
  <c r="W30"/>
  <c r="G30"/>
  <c r="C30"/>
  <c r="D30" s="1"/>
  <c r="Z29"/>
  <c r="Y29"/>
  <c r="AA29" s="1"/>
  <c r="X29"/>
  <c r="W29"/>
  <c r="G29"/>
  <c r="F29"/>
  <c r="H29" s="1"/>
  <c r="E29"/>
  <c r="D29"/>
  <c r="C29"/>
  <c r="Z28"/>
  <c r="X28"/>
  <c r="W28"/>
  <c r="Y28" s="1"/>
  <c r="AA28" s="1"/>
  <c r="H28"/>
  <c r="G28"/>
  <c r="F28"/>
  <c r="D28"/>
  <c r="E28" s="1"/>
  <c r="C28"/>
  <c r="Z27"/>
  <c r="X27"/>
  <c r="Y27" s="1"/>
  <c r="AA27" s="1"/>
  <c r="W27"/>
  <c r="G27"/>
  <c r="D27"/>
  <c r="E27" s="1"/>
  <c r="C27"/>
  <c r="Z26"/>
  <c r="X26"/>
  <c r="Y26" s="1"/>
  <c r="AA26" s="1"/>
  <c r="W26"/>
  <c r="G26"/>
  <c r="F26"/>
  <c r="H26" s="1"/>
  <c r="E26"/>
  <c r="D26"/>
  <c r="C26"/>
  <c r="Z25"/>
  <c r="X25"/>
  <c r="W25"/>
  <c r="Y25" s="1"/>
  <c r="AA25" s="1"/>
  <c r="G25"/>
  <c r="C25"/>
  <c r="D25" s="1"/>
  <c r="AA24"/>
  <c r="Z24"/>
  <c r="Y24"/>
  <c r="X24"/>
  <c r="W24"/>
  <c r="G24"/>
  <c r="E24"/>
  <c r="D24"/>
  <c r="F24" s="1"/>
  <c r="H24" s="1"/>
  <c r="C24"/>
  <c r="AA23"/>
  <c r="Z23"/>
  <c r="Y23"/>
  <c r="X23"/>
  <c r="W23"/>
  <c r="H23"/>
  <c r="G23"/>
  <c r="F23"/>
  <c r="E23"/>
  <c r="D23"/>
  <c r="C23"/>
  <c r="Z22"/>
  <c r="Y22"/>
  <c r="AA22" s="1"/>
  <c r="X22"/>
  <c r="W22"/>
  <c r="G22"/>
  <c r="C22"/>
  <c r="D22" s="1"/>
  <c r="Z21"/>
  <c r="AA21" s="1"/>
  <c r="Y21"/>
  <c r="X21"/>
  <c r="W2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D19"/>
  <c r="F19" s="1"/>
  <c r="H19" s="1"/>
  <c r="C19"/>
  <c r="AA18"/>
  <c r="Z18"/>
  <c r="Y18"/>
  <c r="X18"/>
  <c r="W18"/>
  <c r="G18"/>
  <c r="D18"/>
  <c r="E18" s="1"/>
  <c r="C18"/>
  <c r="Z17"/>
  <c r="X17"/>
  <c r="W17"/>
  <c r="Y17" s="1"/>
  <c r="AA17" s="1"/>
  <c r="H17"/>
  <c r="G17"/>
  <c r="F17"/>
  <c r="D17"/>
  <c r="E17" s="1"/>
  <c r="C17"/>
  <c r="Z16"/>
  <c r="X16"/>
  <c r="W16"/>
  <c r="Y16" s="1"/>
  <c r="AA16" s="1"/>
  <c r="G16"/>
  <c r="C16"/>
  <c r="D16" s="1"/>
  <c r="Z15"/>
  <c r="X15"/>
  <c r="W15"/>
  <c r="Y15" s="1"/>
  <c r="AA15" s="1"/>
  <c r="G15"/>
  <c r="C15"/>
  <c r="D15" s="1"/>
  <c r="Z14"/>
  <c r="X14"/>
  <c r="W14"/>
  <c r="Y14" s="1"/>
  <c r="AA14" s="1"/>
  <c r="G14"/>
  <c r="C14"/>
  <c r="D14" s="1"/>
  <c r="Z13"/>
  <c r="Y13"/>
  <c r="AA13" s="1"/>
  <c r="X13"/>
  <c r="W13"/>
  <c r="G13"/>
  <c r="D13"/>
  <c r="E13" s="1"/>
  <c r="C13"/>
  <c r="Z12"/>
  <c r="X12"/>
  <c r="W12"/>
  <c r="Y12" s="1"/>
  <c r="AA12" s="1"/>
  <c r="G12"/>
  <c r="F12"/>
  <c r="H12" s="1"/>
  <c r="D12"/>
  <c r="E12" s="1"/>
  <c r="C12"/>
  <c r="Z11"/>
  <c r="X11"/>
  <c r="Y11" s="1"/>
  <c r="AA11" s="1"/>
  <c r="W11"/>
  <c r="G11"/>
  <c r="D11"/>
  <c r="E11" s="1"/>
  <c r="C11"/>
  <c r="Z10"/>
  <c r="Z40" s="1"/>
  <c r="X10"/>
  <c r="Y10" s="1"/>
  <c r="AA10" s="1"/>
  <c r="W10"/>
  <c r="G10"/>
  <c r="F10"/>
  <c r="H10" s="1"/>
  <c r="E10"/>
  <c r="D10"/>
  <c r="C10"/>
  <c r="Z9"/>
  <c r="X9"/>
  <c r="W9"/>
  <c r="Y9" s="1"/>
  <c r="AA9" s="1"/>
  <c r="G9"/>
  <c r="C9"/>
  <c r="D9" s="1"/>
  <c r="V40" i="7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C39"/>
  <c r="D39" s="1"/>
  <c r="Z38"/>
  <c r="Y38"/>
  <c r="AA38" s="1"/>
  <c r="X38"/>
  <c r="W38"/>
  <c r="G38"/>
  <c r="C38"/>
  <c r="D38" s="1"/>
  <c r="AA37"/>
  <c r="Z37"/>
  <c r="Y37"/>
  <c r="X37"/>
  <c r="W37"/>
  <c r="G37"/>
  <c r="F37"/>
  <c r="H37" s="1"/>
  <c r="D37"/>
  <c r="E37" s="1"/>
  <c r="C37"/>
  <c r="Z36"/>
  <c r="X36"/>
  <c r="W36"/>
  <c r="Y36" s="1"/>
  <c r="AA36" s="1"/>
  <c r="H36"/>
  <c r="G36"/>
  <c r="F36"/>
  <c r="D36"/>
  <c r="E36" s="1"/>
  <c r="C36"/>
  <c r="Z35"/>
  <c r="X35"/>
  <c r="Y35" s="1"/>
  <c r="AA35" s="1"/>
  <c r="W35"/>
  <c r="G35"/>
  <c r="D35"/>
  <c r="E35" s="1"/>
  <c r="C35"/>
  <c r="Z34"/>
  <c r="X34"/>
  <c r="Y34" s="1"/>
  <c r="AA34" s="1"/>
  <c r="W34"/>
  <c r="G34"/>
  <c r="F34"/>
  <c r="H34" s="1"/>
  <c r="E34"/>
  <c r="D34"/>
  <c r="C34"/>
  <c r="Z33"/>
  <c r="X33"/>
  <c r="W33"/>
  <c r="Y33" s="1"/>
  <c r="AA33" s="1"/>
  <c r="G33"/>
  <c r="C33"/>
  <c r="D33" s="1"/>
  <c r="Z32"/>
  <c r="Y32"/>
  <c r="AA32" s="1"/>
  <c r="X32"/>
  <c r="W32"/>
  <c r="G32"/>
  <c r="E32"/>
  <c r="D32"/>
  <c r="F32" s="1"/>
  <c r="H32" s="1"/>
  <c r="C32"/>
  <c r="AA31"/>
  <c r="Z31"/>
  <c r="Y31"/>
  <c r="X31"/>
  <c r="W31"/>
  <c r="H31"/>
  <c r="G31"/>
  <c r="F31"/>
  <c r="E31"/>
  <c r="D31"/>
  <c r="C31"/>
  <c r="Z30"/>
  <c r="X30"/>
  <c r="Y30" s="1"/>
  <c r="AA30" s="1"/>
  <c r="W30"/>
  <c r="G30"/>
  <c r="C30"/>
  <c r="D30" s="1"/>
  <c r="Z29"/>
  <c r="AA29" s="1"/>
  <c r="Y29"/>
  <c r="X29"/>
  <c r="W29"/>
  <c r="G29"/>
  <c r="C29"/>
  <c r="D29" s="1"/>
  <c r="Z28"/>
  <c r="X28"/>
  <c r="W28"/>
  <c r="Y28" s="1"/>
  <c r="AA28" s="1"/>
  <c r="G28"/>
  <c r="C28"/>
  <c r="D28" s="1"/>
  <c r="Z27"/>
  <c r="Y27"/>
  <c r="AA27" s="1"/>
  <c r="X27"/>
  <c r="W27"/>
  <c r="G27"/>
  <c r="D27"/>
  <c r="F27" s="1"/>
  <c r="H27" s="1"/>
  <c r="C27"/>
  <c r="AA26"/>
  <c r="Z26"/>
  <c r="Y26"/>
  <c r="X26"/>
  <c r="W26"/>
  <c r="G26"/>
  <c r="F26"/>
  <c r="H26" s="1"/>
  <c r="D26"/>
  <c r="E26" s="1"/>
  <c r="C26"/>
  <c r="Z25"/>
  <c r="X25"/>
  <c r="W25"/>
  <c r="Y25" s="1"/>
  <c r="AA25" s="1"/>
  <c r="H25"/>
  <c r="G25"/>
  <c r="F25"/>
  <c r="D25"/>
  <c r="E25" s="1"/>
  <c r="C25"/>
  <c r="Z24"/>
  <c r="X24"/>
  <c r="W24"/>
  <c r="Y24" s="1"/>
  <c r="AA24" s="1"/>
  <c r="G24"/>
  <c r="C24"/>
  <c r="D24" s="1"/>
  <c r="Z23"/>
  <c r="X23"/>
  <c r="W23"/>
  <c r="Y23" s="1"/>
  <c r="AA23" s="1"/>
  <c r="G23"/>
  <c r="C23"/>
  <c r="D23" s="1"/>
  <c r="Z22"/>
  <c r="X22"/>
  <c r="W22"/>
  <c r="Y22" s="1"/>
  <c r="AA22" s="1"/>
  <c r="G22"/>
  <c r="C22"/>
  <c r="D22" s="1"/>
  <c r="AA21"/>
  <c r="Z21"/>
  <c r="Y21"/>
  <c r="X21"/>
  <c r="W21"/>
  <c r="G21"/>
  <c r="D21"/>
  <c r="E21" s="1"/>
  <c r="C21"/>
  <c r="Z20"/>
  <c r="X20"/>
  <c r="W20"/>
  <c r="Y20" s="1"/>
  <c r="AA20" s="1"/>
  <c r="H20"/>
  <c r="G20"/>
  <c r="F20"/>
  <c r="D20"/>
  <c r="E20" s="1"/>
  <c r="C20"/>
  <c r="Z19"/>
  <c r="X19"/>
  <c r="Y19" s="1"/>
  <c r="AA19" s="1"/>
  <c r="W19"/>
  <c r="G19"/>
  <c r="C19"/>
  <c r="D19" s="1"/>
  <c r="Z18"/>
  <c r="X18"/>
  <c r="Y18" s="1"/>
  <c r="AA18" s="1"/>
  <c r="W18"/>
  <c r="G18"/>
  <c r="F18"/>
  <c r="H18" s="1"/>
  <c r="E18"/>
  <c r="D18"/>
  <c r="C18"/>
  <c r="Z17"/>
  <c r="X17"/>
  <c r="W17"/>
  <c r="Y17" s="1"/>
  <c r="AA17" s="1"/>
  <c r="G17"/>
  <c r="C17"/>
  <c r="D17" s="1"/>
  <c r="Z16"/>
  <c r="Y16"/>
  <c r="AA16" s="1"/>
  <c r="X16"/>
  <c r="W16"/>
  <c r="H16"/>
  <c r="G16"/>
  <c r="F16"/>
  <c r="E16"/>
  <c r="D16"/>
  <c r="C16"/>
  <c r="AA15"/>
  <c r="Z15"/>
  <c r="Y15"/>
  <c r="X15"/>
  <c r="W15"/>
  <c r="H15"/>
  <c r="G15"/>
  <c r="F15"/>
  <c r="E15"/>
  <c r="D15"/>
  <c r="C15"/>
  <c r="Z14"/>
  <c r="X14"/>
  <c r="Y14" s="1"/>
  <c r="AA14" s="1"/>
  <c r="W14"/>
  <c r="H14"/>
  <c r="G14"/>
  <c r="F14"/>
  <c r="E14"/>
  <c r="D14"/>
  <c r="C14"/>
  <c r="Z13"/>
  <c r="AA13" s="1"/>
  <c r="Y13"/>
  <c r="X13"/>
  <c r="W13"/>
  <c r="G13"/>
  <c r="C13"/>
  <c r="D13" s="1"/>
  <c r="Z12"/>
  <c r="X12"/>
  <c r="W12"/>
  <c r="Y12" s="1"/>
  <c r="AA12" s="1"/>
  <c r="G12"/>
  <c r="C12"/>
  <c r="D12" s="1"/>
  <c r="Z11"/>
  <c r="Y11"/>
  <c r="AA11" s="1"/>
  <c r="X11"/>
  <c r="W11"/>
  <c r="G11"/>
  <c r="D11"/>
  <c r="F11" s="1"/>
  <c r="H11" s="1"/>
  <c r="C11"/>
  <c r="AA10"/>
  <c r="Z10"/>
  <c r="Z40" s="1"/>
  <c r="Y10"/>
  <c r="X10"/>
  <c r="W10"/>
  <c r="G10"/>
  <c r="F10"/>
  <c r="H10" s="1"/>
  <c r="D10"/>
  <c r="E10" s="1"/>
  <c r="C10"/>
  <c r="Z9"/>
  <c r="X9"/>
  <c r="W9"/>
  <c r="Y9" s="1"/>
  <c r="AA9" s="1"/>
  <c r="H9"/>
  <c r="G9"/>
  <c r="F9"/>
  <c r="D9"/>
  <c r="E9" s="1"/>
  <c r="C9"/>
  <c r="V40" i="6"/>
  <c r="U40"/>
  <c r="T40"/>
  <c r="S40"/>
  <c r="R40"/>
  <c r="Q40"/>
  <c r="P40"/>
  <c r="X40" s="1"/>
  <c r="O40"/>
  <c r="N40"/>
  <c r="M40"/>
  <c r="L40"/>
  <c r="K40"/>
  <c r="J40"/>
  <c r="W40" s="1"/>
  <c r="I40"/>
  <c r="AA38"/>
  <c r="Z38"/>
  <c r="Y38"/>
  <c r="X38"/>
  <c r="W38"/>
  <c r="G38"/>
  <c r="F38"/>
  <c r="H38" s="1"/>
  <c r="E38"/>
  <c r="D38"/>
  <c r="C38"/>
  <c r="Z37"/>
  <c r="Y37"/>
  <c r="AA37" s="1"/>
  <c r="X37"/>
  <c r="W37"/>
  <c r="G37"/>
  <c r="C37"/>
  <c r="D37" s="1"/>
  <c r="Z36"/>
  <c r="AA36" s="1"/>
  <c r="Y36"/>
  <c r="X36"/>
  <c r="W36"/>
  <c r="G36"/>
  <c r="C36"/>
  <c r="D36" s="1"/>
  <c r="Z35"/>
  <c r="X35"/>
  <c r="W35"/>
  <c r="Y35" s="1"/>
  <c r="AA35" s="1"/>
  <c r="G35"/>
  <c r="C35"/>
  <c r="D35" s="1"/>
  <c r="Z34"/>
  <c r="Y34"/>
  <c r="AA34" s="1"/>
  <c r="X34"/>
  <c r="W34"/>
  <c r="G34"/>
  <c r="D34"/>
  <c r="F34" s="1"/>
  <c r="H34" s="1"/>
  <c r="C34"/>
  <c r="AA33"/>
  <c r="Z33"/>
  <c r="Y33"/>
  <c r="X33"/>
  <c r="W33"/>
  <c r="G33"/>
  <c r="F33"/>
  <c r="H33" s="1"/>
  <c r="D33"/>
  <c r="E33" s="1"/>
  <c r="C33"/>
  <c r="Z32"/>
  <c r="X32"/>
  <c r="W32"/>
  <c r="Y32" s="1"/>
  <c r="AA32" s="1"/>
  <c r="H32"/>
  <c r="G32"/>
  <c r="F32"/>
  <c r="D32"/>
  <c r="E32" s="1"/>
  <c r="C32"/>
  <c r="Z31"/>
  <c r="X31"/>
  <c r="W31"/>
  <c r="Y31" s="1"/>
  <c r="AA31" s="1"/>
  <c r="G31"/>
  <c r="C31"/>
  <c r="D31" s="1"/>
  <c r="Z30"/>
  <c r="X30"/>
  <c r="W30"/>
  <c r="Y30" s="1"/>
  <c r="AA30" s="1"/>
  <c r="G30"/>
  <c r="C30"/>
  <c r="D30" s="1"/>
  <c r="Z29"/>
  <c r="X29"/>
  <c r="W29"/>
  <c r="Y29" s="1"/>
  <c r="AA29" s="1"/>
  <c r="G29"/>
  <c r="C29"/>
  <c r="D29" s="1"/>
  <c r="Z28"/>
  <c r="X28"/>
  <c r="W28"/>
  <c r="Y28" s="1"/>
  <c r="AA28" s="1"/>
  <c r="G28"/>
  <c r="D28"/>
  <c r="E28" s="1"/>
  <c r="C28"/>
  <c r="Z27"/>
  <c r="X27"/>
  <c r="W27"/>
  <c r="Y27" s="1"/>
  <c r="AA27" s="1"/>
  <c r="H27"/>
  <c r="G27"/>
  <c r="F27"/>
  <c r="E27"/>
  <c r="D27"/>
  <c r="C27"/>
  <c r="Z26"/>
  <c r="X26"/>
  <c r="Y26" s="1"/>
  <c r="AA26" s="1"/>
  <c r="W26"/>
  <c r="H26"/>
  <c r="G26"/>
  <c r="F26"/>
  <c r="E26"/>
  <c r="D26"/>
  <c r="C26"/>
  <c r="Z25"/>
  <c r="X25"/>
  <c r="Y25" s="1"/>
  <c r="AA25" s="1"/>
  <c r="W25"/>
  <c r="G25"/>
  <c r="F25"/>
  <c r="H25" s="1"/>
  <c r="E25"/>
  <c r="D25"/>
  <c r="C25"/>
  <c r="Z24"/>
  <c r="X24"/>
  <c r="W24"/>
  <c r="Y24" s="1"/>
  <c r="AA24" s="1"/>
  <c r="G24"/>
  <c r="F24"/>
  <c r="H24" s="1"/>
  <c r="E24"/>
  <c r="D24"/>
  <c r="C24"/>
  <c r="Z23"/>
  <c r="AA23" s="1"/>
  <c r="H23"/>
  <c r="G23"/>
  <c r="F23"/>
  <c r="E23"/>
  <c r="D23"/>
  <c r="C23"/>
  <c r="Z22"/>
  <c r="X22"/>
  <c r="W22"/>
  <c r="Y22" s="1"/>
  <c r="AA22" s="1"/>
  <c r="G22"/>
  <c r="C22"/>
  <c r="D22" s="1"/>
  <c r="Z21"/>
  <c r="X21"/>
  <c r="W21"/>
  <c r="Y21" s="1"/>
  <c r="AA21" s="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D19"/>
  <c r="E19" s="1"/>
  <c r="C19"/>
  <c r="Z18"/>
  <c r="X18"/>
  <c r="W18"/>
  <c r="Y18" s="1"/>
  <c r="AA18" s="1"/>
  <c r="G18"/>
  <c r="D18"/>
  <c r="E18" s="1"/>
  <c r="C18"/>
  <c r="Z17"/>
  <c r="X17"/>
  <c r="Y17" s="1"/>
  <c r="AA17" s="1"/>
  <c r="W17"/>
  <c r="G17"/>
  <c r="D17"/>
  <c r="E17" s="1"/>
  <c r="C17"/>
  <c r="Z16"/>
  <c r="X16"/>
  <c r="Y16" s="1"/>
  <c r="AA16" s="1"/>
  <c r="W16"/>
  <c r="G16"/>
  <c r="F16"/>
  <c r="H16" s="1"/>
  <c r="E16"/>
  <c r="D16"/>
  <c r="C16"/>
  <c r="Z15"/>
  <c r="X15"/>
  <c r="W15"/>
  <c r="Y15" s="1"/>
  <c r="AA15" s="1"/>
  <c r="G15"/>
  <c r="F15"/>
  <c r="H15" s="1"/>
  <c r="E15"/>
  <c r="D15"/>
  <c r="C15"/>
  <c r="Z14"/>
  <c r="Y14"/>
  <c r="AA14" s="1"/>
  <c r="X14"/>
  <c r="W14"/>
  <c r="G14"/>
  <c r="E14"/>
  <c r="D14"/>
  <c r="F14" s="1"/>
  <c r="H14" s="1"/>
  <c r="C14"/>
  <c r="Z13"/>
  <c r="Y13"/>
  <c r="AA13" s="1"/>
  <c r="X13"/>
  <c r="W13"/>
  <c r="G13"/>
  <c r="F13"/>
  <c r="H13" s="1"/>
  <c r="E13"/>
  <c r="D13"/>
  <c r="C13"/>
  <c r="Z12"/>
  <c r="X12"/>
  <c r="Y12" s="1"/>
  <c r="AA12" s="1"/>
  <c r="W12"/>
  <c r="G12"/>
  <c r="C12"/>
  <c r="D12" s="1"/>
  <c r="Z11"/>
  <c r="AA11" s="1"/>
  <c r="Y11"/>
  <c r="X11"/>
  <c r="W11"/>
  <c r="G11"/>
  <c r="C11"/>
  <c r="D11" s="1"/>
  <c r="Z10"/>
  <c r="X10"/>
  <c r="W10"/>
  <c r="Y10" s="1"/>
  <c r="AA10" s="1"/>
  <c r="G10"/>
  <c r="C10"/>
  <c r="D10" s="1"/>
  <c r="Z9"/>
  <c r="Z40" s="1"/>
  <c r="Y9"/>
  <c r="AA9" s="1"/>
  <c r="X9"/>
  <c r="W9"/>
  <c r="G9"/>
  <c r="C9"/>
  <c r="D9" s="1"/>
  <c r="V40" i="5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G39"/>
  <c r="F39"/>
  <c r="H39" s="1"/>
  <c r="E39"/>
  <c r="D39"/>
  <c r="C39"/>
  <c r="Z38"/>
  <c r="Y38"/>
  <c r="AA38" s="1"/>
  <c r="X38"/>
  <c r="W38"/>
  <c r="G38"/>
  <c r="D38"/>
  <c r="E38" s="1"/>
  <c r="C38"/>
  <c r="Z37"/>
  <c r="Y37"/>
  <c r="AA37" s="1"/>
  <c r="X37"/>
  <c r="W37"/>
  <c r="G37"/>
  <c r="F37"/>
  <c r="H37" s="1"/>
  <c r="E37"/>
  <c r="D37"/>
  <c r="C37"/>
  <c r="Z36"/>
  <c r="X36"/>
  <c r="Y36" s="1"/>
  <c r="AA36" s="1"/>
  <c r="W36"/>
  <c r="G36"/>
  <c r="C36"/>
  <c r="D36" s="1"/>
  <c r="Z35"/>
  <c r="AA35" s="1"/>
  <c r="Y35"/>
  <c r="X35"/>
  <c r="W35"/>
  <c r="G35"/>
  <c r="C35"/>
  <c r="D35" s="1"/>
  <c r="Z34"/>
  <c r="X34"/>
  <c r="W34"/>
  <c r="Y34" s="1"/>
  <c r="AA34" s="1"/>
  <c r="G34"/>
  <c r="C34"/>
  <c r="D34" s="1"/>
  <c r="Z33"/>
  <c r="Y33"/>
  <c r="AA33" s="1"/>
  <c r="X33"/>
  <c r="W33"/>
  <c r="G33"/>
  <c r="C33"/>
  <c r="D33" s="1"/>
  <c r="AA32"/>
  <c r="Z32"/>
  <c r="Y32"/>
  <c r="X32"/>
  <c r="W32"/>
  <c r="G32"/>
  <c r="F32"/>
  <c r="H32" s="1"/>
  <c r="D32"/>
  <c r="E32" s="1"/>
  <c r="C32"/>
  <c r="Z31"/>
  <c r="X31"/>
  <c r="W31"/>
  <c r="Y31" s="1"/>
  <c r="AA31" s="1"/>
  <c r="H31"/>
  <c r="G31"/>
  <c r="F31"/>
  <c r="D31"/>
  <c r="E31" s="1"/>
  <c r="C31"/>
  <c r="Z30"/>
  <c r="X30"/>
  <c r="W30"/>
  <c r="Y30" s="1"/>
  <c r="AA30" s="1"/>
  <c r="G30"/>
  <c r="C30"/>
  <c r="D30" s="1"/>
  <c r="Z29"/>
  <c r="X29"/>
  <c r="W29"/>
  <c r="Y29" s="1"/>
  <c r="AA29" s="1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D27"/>
  <c r="E27" s="1"/>
  <c r="C27"/>
  <c r="Z26"/>
  <c r="X26"/>
  <c r="W26"/>
  <c r="Y26" s="1"/>
  <c r="AA26" s="1"/>
  <c r="G26"/>
  <c r="D26"/>
  <c r="E26" s="1"/>
  <c r="C26"/>
  <c r="Z25"/>
  <c r="X25"/>
  <c r="Y25" s="1"/>
  <c r="AA25" s="1"/>
  <c r="W25"/>
  <c r="G25"/>
  <c r="C25"/>
  <c r="D25" s="1"/>
  <c r="Z24"/>
  <c r="X24"/>
  <c r="Y24" s="1"/>
  <c r="AA24" s="1"/>
  <c r="W24"/>
  <c r="G24"/>
  <c r="F24"/>
  <c r="H24" s="1"/>
  <c r="E24"/>
  <c r="D24"/>
  <c r="C24"/>
  <c r="Z23"/>
  <c r="X23"/>
  <c r="W23"/>
  <c r="Y23" s="1"/>
  <c r="AA23" s="1"/>
  <c r="G23"/>
  <c r="F23"/>
  <c r="H23" s="1"/>
  <c r="E23"/>
  <c r="D23"/>
  <c r="C23"/>
  <c r="Z22"/>
  <c r="Y22"/>
  <c r="AA22" s="1"/>
  <c r="X22"/>
  <c r="W22"/>
  <c r="G22"/>
  <c r="D22"/>
  <c r="E22" s="1"/>
  <c r="C22"/>
  <c r="Z21"/>
  <c r="Y21"/>
  <c r="AA21" s="1"/>
  <c r="X21"/>
  <c r="W21"/>
  <c r="G21"/>
  <c r="F21"/>
  <c r="H21" s="1"/>
  <c r="E21"/>
  <c r="D21"/>
  <c r="C21"/>
  <c r="Z20"/>
  <c r="X20"/>
  <c r="Y20" s="1"/>
  <c r="AA20" s="1"/>
  <c r="W20"/>
  <c r="G20"/>
  <c r="C20"/>
  <c r="D20" s="1"/>
  <c r="Z19"/>
  <c r="AA19" s="1"/>
  <c r="Y19"/>
  <c r="X19"/>
  <c r="W19"/>
  <c r="G19"/>
  <c r="C19"/>
  <c r="D19" s="1"/>
  <c r="Z18"/>
  <c r="X18"/>
  <c r="W18"/>
  <c r="Y18" s="1"/>
  <c r="AA18" s="1"/>
  <c r="G18"/>
  <c r="C18"/>
  <c r="D18" s="1"/>
  <c r="Z17"/>
  <c r="Y17"/>
  <c r="AA17" s="1"/>
  <c r="X17"/>
  <c r="W17"/>
  <c r="G17"/>
  <c r="C17"/>
  <c r="D17" s="1"/>
  <c r="AA16"/>
  <c r="Z16"/>
  <c r="Y16"/>
  <c r="X16"/>
  <c r="W16"/>
  <c r="G16"/>
  <c r="F16"/>
  <c r="H16" s="1"/>
  <c r="D16"/>
  <c r="E16" s="1"/>
  <c r="C16"/>
  <c r="Z15"/>
  <c r="X15"/>
  <c r="W15"/>
  <c r="Y15" s="1"/>
  <c r="AA15" s="1"/>
  <c r="H15"/>
  <c r="G15"/>
  <c r="F15"/>
  <c r="D15"/>
  <c r="E15" s="1"/>
  <c r="C15"/>
  <c r="Z14"/>
  <c r="X14"/>
  <c r="W14"/>
  <c r="Y14" s="1"/>
  <c r="AA14" s="1"/>
  <c r="G14"/>
  <c r="C14"/>
  <c r="D14" s="1"/>
  <c r="Z13"/>
  <c r="X13"/>
  <c r="W13"/>
  <c r="Y13" s="1"/>
  <c r="AA13" s="1"/>
  <c r="G13"/>
  <c r="C13"/>
  <c r="D13" s="1"/>
  <c r="Z12"/>
  <c r="X12"/>
  <c r="W12"/>
  <c r="Y12" s="1"/>
  <c r="AA12" s="1"/>
  <c r="G12"/>
  <c r="C12"/>
  <c r="D12" s="1"/>
  <c r="Z11"/>
  <c r="X11"/>
  <c r="W11"/>
  <c r="Y11" s="1"/>
  <c r="AA11" s="1"/>
  <c r="G11"/>
  <c r="D11"/>
  <c r="E11" s="1"/>
  <c r="C11"/>
  <c r="Z10"/>
  <c r="X10"/>
  <c r="W10"/>
  <c r="Y10" s="1"/>
  <c r="AA10" s="1"/>
  <c r="G10"/>
  <c r="D10"/>
  <c r="E10" s="1"/>
  <c r="C10"/>
  <c r="Z9"/>
  <c r="Z40" s="1"/>
  <c r="X9"/>
  <c r="Y9" s="1"/>
  <c r="AA9" s="1"/>
  <c r="W9"/>
  <c r="G9"/>
  <c r="C9"/>
  <c r="D9" s="1"/>
  <c r="V40" i="4"/>
  <c r="U40"/>
  <c r="T40"/>
  <c r="S40"/>
  <c r="X40" s="1"/>
  <c r="R40"/>
  <c r="Q40"/>
  <c r="P40"/>
  <c r="O40"/>
  <c r="N40"/>
  <c r="M40"/>
  <c r="L40"/>
  <c r="K40"/>
  <c r="J40"/>
  <c r="I40"/>
  <c r="W40" s="1"/>
  <c r="Z38"/>
  <c r="X38"/>
  <c r="W38"/>
  <c r="Y38" s="1"/>
  <c r="AA38" s="1"/>
  <c r="H38"/>
  <c r="G38"/>
  <c r="F38"/>
  <c r="D38"/>
  <c r="E38" s="1"/>
  <c r="C38"/>
  <c r="Z37"/>
  <c r="X37"/>
  <c r="W37"/>
  <c r="Y37" s="1"/>
  <c r="AA37" s="1"/>
  <c r="G37"/>
  <c r="C37"/>
  <c r="D37" s="1"/>
  <c r="Z36"/>
  <c r="X36"/>
  <c r="W36"/>
  <c r="Y36" s="1"/>
  <c r="AA36" s="1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D34"/>
  <c r="E34" s="1"/>
  <c r="C34"/>
  <c r="Z33"/>
  <c r="X33"/>
  <c r="W33"/>
  <c r="Y33" s="1"/>
  <c r="AA33" s="1"/>
  <c r="G33"/>
  <c r="D33"/>
  <c r="E33" s="1"/>
  <c r="C33"/>
  <c r="Z32"/>
  <c r="X32"/>
  <c r="Y32" s="1"/>
  <c r="AA32" s="1"/>
  <c r="W32"/>
  <c r="G32"/>
  <c r="C32"/>
  <c r="D32" s="1"/>
  <c r="Z31"/>
  <c r="X31"/>
  <c r="Y31" s="1"/>
  <c r="AA31" s="1"/>
  <c r="W31"/>
  <c r="G31"/>
  <c r="F31"/>
  <c r="H31" s="1"/>
  <c r="E31"/>
  <c r="D31"/>
  <c r="C31"/>
  <c r="Z30"/>
  <c r="X30"/>
  <c r="W30"/>
  <c r="Y30" s="1"/>
  <c r="AA30" s="1"/>
  <c r="G30"/>
  <c r="F30"/>
  <c r="H30" s="1"/>
  <c r="E30"/>
  <c r="D30"/>
  <c r="C30"/>
  <c r="Z29"/>
  <c r="Y29"/>
  <c r="AA29" s="1"/>
  <c r="X29"/>
  <c r="W29"/>
  <c r="G29"/>
  <c r="D29"/>
  <c r="E29" s="1"/>
  <c r="C29"/>
  <c r="Z28"/>
  <c r="Y28"/>
  <c r="AA28" s="1"/>
  <c r="X28"/>
  <c r="W28"/>
  <c r="G28"/>
  <c r="F28"/>
  <c r="H28" s="1"/>
  <c r="E28"/>
  <c r="D28"/>
  <c r="C28"/>
  <c r="Z27"/>
  <c r="X27"/>
  <c r="Y27" s="1"/>
  <c r="AA27" s="1"/>
  <c r="W27"/>
  <c r="G27"/>
  <c r="C27"/>
  <c r="D27" s="1"/>
  <c r="Z26"/>
  <c r="AA26" s="1"/>
  <c r="Y26"/>
  <c r="X26"/>
  <c r="W26"/>
  <c r="G26"/>
  <c r="C26"/>
  <c r="D26" s="1"/>
  <c r="Z25"/>
  <c r="X25"/>
  <c r="W25"/>
  <c r="Y25" s="1"/>
  <c r="AA25" s="1"/>
  <c r="G25"/>
  <c r="C25"/>
  <c r="D25" s="1"/>
  <c r="Z24"/>
  <c r="Y24"/>
  <c r="AA24" s="1"/>
  <c r="X24"/>
  <c r="W24"/>
  <c r="G24"/>
  <c r="D24"/>
  <c r="F24" s="1"/>
  <c r="H24" s="1"/>
  <c r="C24"/>
  <c r="AA23"/>
  <c r="Z23"/>
  <c r="Y23"/>
  <c r="X23"/>
  <c r="W23"/>
  <c r="G23"/>
  <c r="F23"/>
  <c r="H23" s="1"/>
  <c r="D23"/>
  <c r="E23" s="1"/>
  <c r="C23"/>
  <c r="Z22"/>
  <c r="X22"/>
  <c r="W22"/>
  <c r="Y22" s="1"/>
  <c r="AA22" s="1"/>
  <c r="H22"/>
  <c r="G22"/>
  <c r="F22"/>
  <c r="D22"/>
  <c r="E22" s="1"/>
  <c r="C22"/>
  <c r="Z21"/>
  <c r="X21"/>
  <c r="W21"/>
  <c r="Y21" s="1"/>
  <c r="AA21" s="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C19"/>
  <c r="D19" s="1"/>
  <c r="Z18"/>
  <c r="X18"/>
  <c r="W18"/>
  <c r="Y18" s="1"/>
  <c r="AA18" s="1"/>
  <c r="G18"/>
  <c r="D18"/>
  <c r="E18" s="1"/>
  <c r="C18"/>
  <c r="Z17"/>
  <c r="X17"/>
  <c r="W17"/>
  <c r="Y17" s="1"/>
  <c r="AA17" s="1"/>
  <c r="G17"/>
  <c r="D17"/>
  <c r="E17" s="1"/>
  <c r="C17"/>
  <c r="Z16"/>
  <c r="X16"/>
  <c r="Y16" s="1"/>
  <c r="AA16" s="1"/>
  <c r="W16"/>
  <c r="G16"/>
  <c r="D16"/>
  <c r="E16" s="1"/>
  <c r="C16"/>
  <c r="Z15"/>
  <c r="X15"/>
  <c r="Y15" s="1"/>
  <c r="AA15" s="1"/>
  <c r="W15"/>
  <c r="G15"/>
  <c r="F15"/>
  <c r="H15" s="1"/>
  <c r="E15"/>
  <c r="D15"/>
  <c r="C15"/>
  <c r="Z14"/>
  <c r="X14"/>
  <c r="W14"/>
  <c r="Y14" s="1"/>
  <c r="AA14" s="1"/>
  <c r="G14"/>
  <c r="F14"/>
  <c r="H14" s="1"/>
  <c r="E14"/>
  <c r="D14"/>
  <c r="C14"/>
  <c r="Z13"/>
  <c r="Y13"/>
  <c r="AA13" s="1"/>
  <c r="X13"/>
  <c r="W13"/>
  <c r="G13"/>
  <c r="D13"/>
  <c r="E13" s="1"/>
  <c r="C13"/>
  <c r="Z12"/>
  <c r="Y12"/>
  <c r="AA12" s="1"/>
  <c r="X12"/>
  <c r="W12"/>
  <c r="G12"/>
  <c r="F12"/>
  <c r="H12" s="1"/>
  <c r="E12"/>
  <c r="D12"/>
  <c r="C12"/>
  <c r="Z11"/>
  <c r="X11"/>
  <c r="Y11" s="1"/>
  <c r="AA11" s="1"/>
  <c r="W11"/>
  <c r="G11"/>
  <c r="C11"/>
  <c r="D11" s="1"/>
  <c r="Z10"/>
  <c r="AA10" s="1"/>
  <c r="Y10"/>
  <c r="X10"/>
  <c r="W10"/>
  <c r="G10"/>
  <c r="C10"/>
  <c r="D10" s="1"/>
  <c r="Z9"/>
  <c r="Z40" s="1"/>
  <c r="X9"/>
  <c r="W9"/>
  <c r="Y9" s="1"/>
  <c r="AA9" s="1"/>
  <c r="G9"/>
  <c r="C9"/>
  <c r="D9" s="1"/>
  <c r="V40" i="3"/>
  <c r="U40"/>
  <c r="T40"/>
  <c r="S40"/>
  <c r="R40"/>
  <c r="Q40"/>
  <c r="P40"/>
  <c r="X40" s="1"/>
  <c r="O40"/>
  <c r="N40"/>
  <c r="M40"/>
  <c r="L40"/>
  <c r="K40"/>
  <c r="J40"/>
  <c r="I40"/>
  <c r="W40" s="1"/>
  <c r="Z39"/>
  <c r="X39"/>
  <c r="Y39" s="1"/>
  <c r="AA39" s="1"/>
  <c r="W39"/>
  <c r="G39"/>
  <c r="F39"/>
  <c r="H39" s="1"/>
  <c r="E39"/>
  <c r="D39"/>
  <c r="C39"/>
  <c r="Z38"/>
  <c r="X38"/>
  <c r="W38"/>
  <c r="Y38" s="1"/>
  <c r="AA38" s="1"/>
  <c r="G38"/>
  <c r="F38"/>
  <c r="H38" s="1"/>
  <c r="E38"/>
  <c r="D38"/>
  <c r="C38"/>
  <c r="Z37"/>
  <c r="Y37"/>
  <c r="AA37" s="1"/>
  <c r="X37"/>
  <c r="W37"/>
  <c r="G37"/>
  <c r="E37"/>
  <c r="D37"/>
  <c r="F37" s="1"/>
  <c r="H37" s="1"/>
  <c r="C37"/>
  <c r="Z36"/>
  <c r="Y36"/>
  <c r="AA36" s="1"/>
  <c r="X36"/>
  <c r="W36"/>
  <c r="G36"/>
  <c r="F36"/>
  <c r="H36" s="1"/>
  <c r="E36"/>
  <c r="D36"/>
  <c r="C36"/>
  <c r="Z35"/>
  <c r="Y35"/>
  <c r="AA35" s="1"/>
  <c r="X35"/>
  <c r="W35"/>
  <c r="G35"/>
  <c r="C35"/>
  <c r="D35" s="1"/>
  <c r="Z34"/>
  <c r="AA34" s="1"/>
  <c r="Y34"/>
  <c r="X34"/>
  <c r="W34"/>
  <c r="G34"/>
  <c r="C34"/>
  <c r="D34" s="1"/>
  <c r="Z33"/>
  <c r="X33"/>
  <c r="W33"/>
  <c r="Y33" s="1"/>
  <c r="AA33" s="1"/>
  <c r="G33"/>
  <c r="C33"/>
  <c r="D33" s="1"/>
  <c r="Z32"/>
  <c r="Y32"/>
  <c r="AA32" s="1"/>
  <c r="X32"/>
  <c r="W32"/>
  <c r="G32"/>
  <c r="C32"/>
  <c r="D32" s="1"/>
  <c r="AA31"/>
  <c r="Z31"/>
  <c r="Y31"/>
  <c r="X31"/>
  <c r="W31"/>
  <c r="G31"/>
  <c r="F31"/>
  <c r="H31" s="1"/>
  <c r="D31"/>
  <c r="E31" s="1"/>
  <c r="C31"/>
  <c r="Z30"/>
  <c r="X30"/>
  <c r="W30"/>
  <c r="Y30" s="1"/>
  <c r="AA30" s="1"/>
  <c r="H30"/>
  <c r="G30"/>
  <c r="F30"/>
  <c r="D30"/>
  <c r="E30" s="1"/>
  <c r="C30"/>
  <c r="Z29"/>
  <c r="X29"/>
  <c r="W29"/>
  <c r="Y29" s="1"/>
  <c r="AA29" s="1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D26"/>
  <c r="E26" s="1"/>
  <c r="C26"/>
  <c r="Z25"/>
  <c r="X25"/>
  <c r="W25"/>
  <c r="Y25" s="1"/>
  <c r="AA25" s="1"/>
  <c r="G25"/>
  <c r="D25"/>
  <c r="E25" s="1"/>
  <c r="C25"/>
  <c r="Z24"/>
  <c r="X24"/>
  <c r="Y24" s="1"/>
  <c r="AA24" s="1"/>
  <c r="W24"/>
  <c r="G24"/>
  <c r="C24"/>
  <c r="D24" s="1"/>
  <c r="Z23"/>
  <c r="X23"/>
  <c r="Y23" s="1"/>
  <c r="AA23" s="1"/>
  <c r="W23"/>
  <c r="G23"/>
  <c r="F23"/>
  <c r="H23" s="1"/>
  <c r="E23"/>
  <c r="D23"/>
  <c r="C23"/>
  <c r="Z22"/>
  <c r="X22"/>
  <c r="W22"/>
  <c r="Y22" s="1"/>
  <c r="AA22" s="1"/>
  <c r="G22"/>
  <c r="F22"/>
  <c r="H22" s="1"/>
  <c r="E22"/>
  <c r="D22"/>
  <c r="C22"/>
  <c r="Z21"/>
  <c r="Y21"/>
  <c r="AA21" s="1"/>
  <c r="X21"/>
  <c r="W21"/>
  <c r="G21"/>
  <c r="D21"/>
  <c r="E21" s="1"/>
  <c r="C21"/>
  <c r="Z20"/>
  <c r="Y20"/>
  <c r="AA20" s="1"/>
  <c r="X20"/>
  <c r="W20"/>
  <c r="G20"/>
  <c r="F20"/>
  <c r="H20" s="1"/>
  <c r="E20"/>
  <c r="D20"/>
  <c r="C20"/>
  <c r="Z19"/>
  <c r="X19"/>
  <c r="Y19" s="1"/>
  <c r="AA19" s="1"/>
  <c r="W19"/>
  <c r="G19"/>
  <c r="C19"/>
  <c r="D19" s="1"/>
  <c r="Z18"/>
  <c r="AA18" s="1"/>
  <c r="Y18"/>
  <c r="X18"/>
  <c r="W18"/>
  <c r="G18"/>
  <c r="C18"/>
  <c r="D18" s="1"/>
  <c r="Z17"/>
  <c r="X17"/>
  <c r="W17"/>
  <c r="Y17" s="1"/>
  <c r="AA17" s="1"/>
  <c r="G17"/>
  <c r="C17"/>
  <c r="D17" s="1"/>
  <c r="Z16"/>
  <c r="Y16"/>
  <c r="AA16" s="1"/>
  <c r="X16"/>
  <c r="W16"/>
  <c r="G16"/>
  <c r="D16"/>
  <c r="F16" s="1"/>
  <c r="H16" s="1"/>
  <c r="C16"/>
  <c r="AA15"/>
  <c r="Z15"/>
  <c r="Y15"/>
  <c r="X15"/>
  <c r="W15"/>
  <c r="G15"/>
  <c r="F15"/>
  <c r="H15" s="1"/>
  <c r="D15"/>
  <c r="E15" s="1"/>
  <c r="C15"/>
  <c r="Z14"/>
  <c r="X14"/>
  <c r="W14"/>
  <c r="Y14" s="1"/>
  <c r="AA14" s="1"/>
  <c r="H14"/>
  <c r="G14"/>
  <c r="F14"/>
  <c r="D14"/>
  <c r="E14" s="1"/>
  <c r="C14"/>
  <c r="Z13"/>
  <c r="Z40" s="1"/>
  <c r="X13"/>
  <c r="W13"/>
  <c r="Y13" s="1"/>
  <c r="AA13" s="1"/>
  <c r="G13"/>
  <c r="C13"/>
  <c r="D13" s="1"/>
  <c r="Z12"/>
  <c r="X12"/>
  <c r="Y12" s="1"/>
  <c r="AA12" s="1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D10"/>
  <c r="E10" s="1"/>
  <c r="C10"/>
  <c r="Z9"/>
  <c r="X9"/>
  <c r="W9"/>
  <c r="Y9" s="1"/>
  <c r="AA9" s="1"/>
  <c r="G9"/>
  <c r="D9"/>
  <c r="E9" s="1"/>
  <c r="C9"/>
  <c r="X39" i="2"/>
  <c r="V39"/>
  <c r="U39"/>
  <c r="T39"/>
  <c r="S39"/>
  <c r="R39"/>
  <c r="Q39"/>
  <c r="P39"/>
  <c r="O39"/>
  <c r="N39"/>
  <c r="M39"/>
  <c r="L39"/>
  <c r="K39"/>
  <c r="J39"/>
  <c r="I39"/>
  <c r="W39" s="1"/>
  <c r="Y39" s="1"/>
  <c r="AA36"/>
  <c r="Z36"/>
  <c r="Y36"/>
  <c r="X36"/>
  <c r="W36"/>
  <c r="G36"/>
  <c r="F36"/>
  <c r="H36" s="1"/>
  <c r="D36"/>
  <c r="E36" s="1"/>
  <c r="C36"/>
  <c r="Z35"/>
  <c r="X35"/>
  <c r="W35"/>
  <c r="Y35" s="1"/>
  <c r="AA35" s="1"/>
  <c r="H35"/>
  <c r="G35"/>
  <c r="F35"/>
  <c r="D35"/>
  <c r="E35" s="1"/>
  <c r="C35"/>
  <c r="Z34"/>
  <c r="X34"/>
  <c r="W34"/>
  <c r="Y34" s="1"/>
  <c r="AA34" s="1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D31"/>
  <c r="E31" s="1"/>
  <c r="C31"/>
  <c r="Z30"/>
  <c r="X30"/>
  <c r="W30"/>
  <c r="Y30" s="1"/>
  <c r="AA30" s="1"/>
  <c r="G30"/>
  <c r="D30"/>
  <c r="E30" s="1"/>
  <c r="C30"/>
  <c r="Z29"/>
  <c r="X29"/>
  <c r="Y29" s="1"/>
  <c r="AA29" s="1"/>
  <c r="W29"/>
  <c r="G29"/>
  <c r="C29"/>
  <c r="D29" s="1"/>
  <c r="Z28"/>
  <c r="X28"/>
  <c r="Y28" s="1"/>
  <c r="AA28" s="1"/>
  <c r="W28"/>
  <c r="G28"/>
  <c r="F28"/>
  <c r="H28" s="1"/>
  <c r="E28"/>
  <c r="D28"/>
  <c r="C28"/>
  <c r="Z27"/>
  <c r="X27"/>
  <c r="W27"/>
  <c r="Y27" s="1"/>
  <c r="AA27" s="1"/>
  <c r="G27"/>
  <c r="F27"/>
  <c r="H27" s="1"/>
  <c r="E27"/>
  <c r="D27"/>
  <c r="C27"/>
  <c r="Z26"/>
  <c r="Y26"/>
  <c r="AA26" s="1"/>
  <c r="X26"/>
  <c r="W26"/>
  <c r="G26"/>
  <c r="D26"/>
  <c r="E26" s="1"/>
  <c r="C26"/>
  <c r="Z25"/>
  <c r="Y25"/>
  <c r="AA25" s="1"/>
  <c r="X25"/>
  <c r="W25"/>
  <c r="G25"/>
  <c r="F25"/>
  <c r="H25" s="1"/>
  <c r="E25"/>
  <c r="D25"/>
  <c r="C25"/>
  <c r="Z24"/>
  <c r="X24"/>
  <c r="Y24" s="1"/>
  <c r="AA24" s="1"/>
  <c r="W24"/>
  <c r="G24"/>
  <c r="C24"/>
  <c r="D24" s="1"/>
  <c r="Z23"/>
  <c r="AA23" s="1"/>
  <c r="Y23"/>
  <c r="X23"/>
  <c r="W23"/>
  <c r="G23"/>
  <c r="C23"/>
  <c r="D23" s="1"/>
  <c r="Z22"/>
  <c r="X22"/>
  <c r="W22"/>
  <c r="Y22" s="1"/>
  <c r="AA22" s="1"/>
  <c r="G22"/>
  <c r="C22"/>
  <c r="D22" s="1"/>
  <c r="Z21"/>
  <c r="Y21"/>
  <c r="AA21" s="1"/>
  <c r="X21"/>
  <c r="W21"/>
  <c r="G21"/>
  <c r="C21"/>
  <c r="D21" s="1"/>
  <c r="AA20"/>
  <c r="Z20"/>
  <c r="Y20"/>
  <c r="X20"/>
  <c r="W20"/>
  <c r="G20"/>
  <c r="F20"/>
  <c r="H20" s="1"/>
  <c r="D20"/>
  <c r="E20" s="1"/>
  <c r="C20"/>
  <c r="Z19"/>
  <c r="X19"/>
  <c r="W19"/>
  <c r="Y19" s="1"/>
  <c r="AA19" s="1"/>
  <c r="H19"/>
  <c r="G19"/>
  <c r="F19"/>
  <c r="D19"/>
  <c r="E19" s="1"/>
  <c r="C19"/>
  <c r="Z18"/>
  <c r="X18"/>
  <c r="W18"/>
  <c r="Y18" s="1"/>
  <c r="AA18" s="1"/>
  <c r="G18"/>
  <c r="C18"/>
  <c r="D18" s="1"/>
  <c r="Z17"/>
  <c r="X17"/>
  <c r="W17"/>
  <c r="Y17" s="1"/>
  <c r="AA17" s="1"/>
  <c r="G17"/>
  <c r="C17"/>
  <c r="D17" s="1"/>
  <c r="Z16"/>
  <c r="X16"/>
  <c r="W16"/>
  <c r="Y16" s="1"/>
  <c r="AA16" s="1"/>
  <c r="G16"/>
  <c r="C16"/>
  <c r="D16" s="1"/>
  <c r="Z15"/>
  <c r="X15"/>
  <c r="W15"/>
  <c r="Y15" s="1"/>
  <c r="AA15" s="1"/>
  <c r="G15"/>
  <c r="D15"/>
  <c r="E15" s="1"/>
  <c r="C15"/>
  <c r="Z14"/>
  <c r="X14"/>
  <c r="W14"/>
  <c r="Y14" s="1"/>
  <c r="AA14" s="1"/>
  <c r="G14"/>
  <c r="D14"/>
  <c r="E14" s="1"/>
  <c r="C14"/>
  <c r="Z13"/>
  <c r="X13"/>
  <c r="Y13" s="1"/>
  <c r="AA13" s="1"/>
  <c r="W13"/>
  <c r="G13"/>
  <c r="D13"/>
  <c r="E13" s="1"/>
  <c r="C13"/>
  <c r="Z12"/>
  <c r="X12"/>
  <c r="Y12" s="1"/>
  <c r="AA12" s="1"/>
  <c r="W12"/>
  <c r="G12"/>
  <c r="F12"/>
  <c r="H12" s="1"/>
  <c r="E12"/>
  <c r="D12"/>
  <c r="C12"/>
  <c r="Z11"/>
  <c r="X11"/>
  <c r="W11"/>
  <c r="Y11" s="1"/>
  <c r="AA11" s="1"/>
  <c r="G11"/>
  <c r="F11"/>
  <c r="H11" s="1"/>
  <c r="E11"/>
  <c r="D11"/>
  <c r="C11"/>
  <c r="Z10"/>
  <c r="Z39" s="1"/>
  <c r="Y10"/>
  <c r="AA10" s="1"/>
  <c r="X10"/>
  <c r="W10"/>
  <c r="G10"/>
  <c r="D10"/>
  <c r="E10" s="1"/>
  <c r="C10"/>
  <c r="Z9"/>
  <c r="Y9"/>
  <c r="AA9" s="1"/>
  <c r="X9"/>
  <c r="W9"/>
  <c r="G9"/>
  <c r="F9"/>
  <c r="H9" s="1"/>
  <c r="E9"/>
  <c r="D9"/>
  <c r="C9"/>
  <c r="V40" i="1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D39"/>
  <c r="E39" s="1"/>
  <c r="C39"/>
  <c r="Z38"/>
  <c r="X38"/>
  <c r="W38"/>
  <c r="Y38" s="1"/>
  <c r="AA38" s="1"/>
  <c r="G38"/>
  <c r="D38"/>
  <c r="E38" s="1"/>
  <c r="C38"/>
  <c r="Z37"/>
  <c r="X37"/>
  <c r="Y37" s="1"/>
  <c r="AA37" s="1"/>
  <c r="W37"/>
  <c r="G37"/>
  <c r="C37"/>
  <c r="D37" s="1"/>
  <c r="Z36"/>
  <c r="X36"/>
  <c r="Y36" s="1"/>
  <c r="AA36" s="1"/>
  <c r="W36"/>
  <c r="G36"/>
  <c r="F36"/>
  <c r="H36" s="1"/>
  <c r="E36"/>
  <c r="D36"/>
  <c r="C36"/>
  <c r="Z35"/>
  <c r="X35"/>
  <c r="W35"/>
  <c r="Y35" s="1"/>
  <c r="AA35" s="1"/>
  <c r="G35"/>
  <c r="F35"/>
  <c r="H35" s="1"/>
  <c r="E35"/>
  <c r="D35"/>
  <c r="C35"/>
  <c r="Z34"/>
  <c r="Y34"/>
  <c r="AA34" s="1"/>
  <c r="X34"/>
  <c r="W34"/>
  <c r="G34"/>
  <c r="D34"/>
  <c r="E34" s="1"/>
  <c r="C34"/>
  <c r="Z33"/>
  <c r="Y33"/>
  <c r="AA33" s="1"/>
  <c r="X33"/>
  <c r="W33"/>
  <c r="G33"/>
  <c r="F33"/>
  <c r="H33" s="1"/>
  <c r="E33"/>
  <c r="D33"/>
  <c r="C33"/>
  <c r="Z32"/>
  <c r="X32"/>
  <c r="Y32" s="1"/>
  <c r="AA32" s="1"/>
  <c r="W32"/>
  <c r="G32"/>
  <c r="C32"/>
  <c r="D32" s="1"/>
  <c r="Z31"/>
  <c r="AA31" s="1"/>
  <c r="Y31"/>
  <c r="X31"/>
  <c r="W31"/>
  <c r="G31"/>
  <c r="C31"/>
  <c r="D31" s="1"/>
  <c r="Z30"/>
  <c r="X30"/>
  <c r="W30"/>
  <c r="Y30" s="1"/>
  <c r="AA30" s="1"/>
  <c r="G30"/>
  <c r="C30"/>
  <c r="D30" s="1"/>
  <c r="Z29"/>
  <c r="Y29"/>
  <c r="AA29" s="1"/>
  <c r="X29"/>
  <c r="W29"/>
  <c r="G29"/>
  <c r="D29"/>
  <c r="F29" s="1"/>
  <c r="H29" s="1"/>
  <c r="C29"/>
  <c r="AA28"/>
  <c r="Z28"/>
  <c r="Y28"/>
  <c r="X28"/>
  <c r="W28"/>
  <c r="G28"/>
  <c r="F28"/>
  <c r="H28" s="1"/>
  <c r="D28"/>
  <c r="E28" s="1"/>
  <c r="C28"/>
  <c r="Z27"/>
  <c r="X27"/>
  <c r="W27"/>
  <c r="Y27" s="1"/>
  <c r="AA27" s="1"/>
  <c r="H27"/>
  <c r="G27"/>
  <c r="F27"/>
  <c r="D27"/>
  <c r="E27" s="1"/>
  <c r="C27"/>
  <c r="Z26"/>
  <c r="X26"/>
  <c r="W26"/>
  <c r="Y26" s="1"/>
  <c r="AA26" s="1"/>
  <c r="G26"/>
  <c r="C26"/>
  <c r="D26" s="1"/>
  <c r="Z25"/>
  <c r="X25"/>
  <c r="W25"/>
  <c r="Y25" s="1"/>
  <c r="AA25" s="1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D23"/>
  <c r="E23" s="1"/>
  <c r="C23"/>
  <c r="Z22"/>
  <c r="X22"/>
  <c r="W22"/>
  <c r="Y22" s="1"/>
  <c r="AA22" s="1"/>
  <c r="G22"/>
  <c r="D22"/>
  <c r="E22" s="1"/>
  <c r="C22"/>
  <c r="Z21"/>
  <c r="X21"/>
  <c r="Y21" s="1"/>
  <c r="AA21" s="1"/>
  <c r="W21"/>
  <c r="G21"/>
  <c r="C21"/>
  <c r="D21" s="1"/>
  <c r="Z20"/>
  <c r="X20"/>
  <c r="Y20" s="1"/>
  <c r="AA20" s="1"/>
  <c r="W20"/>
  <c r="G20"/>
  <c r="F20"/>
  <c r="H20" s="1"/>
  <c r="E20"/>
  <c r="D20"/>
  <c r="C20"/>
  <c r="Z19"/>
  <c r="X19"/>
  <c r="W19"/>
  <c r="Y19" s="1"/>
  <c r="AA19" s="1"/>
  <c r="G19"/>
  <c r="F19"/>
  <c r="H19" s="1"/>
  <c r="E19"/>
  <c r="D19"/>
  <c r="C19"/>
  <c r="Z18"/>
  <c r="Y18"/>
  <c r="AA18" s="1"/>
  <c r="X18"/>
  <c r="W18"/>
  <c r="G18"/>
  <c r="D18"/>
  <c r="E18" s="1"/>
  <c r="C18"/>
  <c r="Z17"/>
  <c r="Y17"/>
  <c r="AA17" s="1"/>
  <c r="X17"/>
  <c r="W17"/>
  <c r="G17"/>
  <c r="F17"/>
  <c r="H17" s="1"/>
  <c r="E17"/>
  <c r="D17"/>
  <c r="C17"/>
  <c r="Z16"/>
  <c r="X16"/>
  <c r="Y16" s="1"/>
  <c r="AA16" s="1"/>
  <c r="W16"/>
  <c r="G16"/>
  <c r="C16"/>
  <c r="D16" s="1"/>
  <c r="Z15"/>
  <c r="AA15" s="1"/>
  <c r="Y15"/>
  <c r="X15"/>
  <c r="W15"/>
  <c r="G15"/>
  <c r="C15"/>
  <c r="D15" s="1"/>
  <c r="Z14"/>
  <c r="X14"/>
  <c r="W14"/>
  <c r="Y14" s="1"/>
  <c r="AA14" s="1"/>
  <c r="G14"/>
  <c r="C14"/>
  <c r="D14" s="1"/>
  <c r="Z13"/>
  <c r="Y13"/>
  <c r="AA13" s="1"/>
  <c r="X13"/>
  <c r="W13"/>
  <c r="G13"/>
  <c r="D13"/>
  <c r="F13" s="1"/>
  <c r="H13" s="1"/>
  <c r="C13"/>
  <c r="AA12"/>
  <c r="Z12"/>
  <c r="Y12"/>
  <c r="X12"/>
  <c r="W12"/>
  <c r="G12"/>
  <c r="F12"/>
  <c r="H12" s="1"/>
  <c r="D12"/>
  <c r="E12" s="1"/>
  <c r="C12"/>
  <c r="Z11"/>
  <c r="X11"/>
  <c r="W11"/>
  <c r="Y11" s="1"/>
  <c r="AA11" s="1"/>
  <c r="H11"/>
  <c r="G11"/>
  <c r="F11"/>
  <c r="D11"/>
  <c r="E11" s="1"/>
  <c r="C11"/>
  <c r="Z10"/>
  <c r="X10"/>
  <c r="W10"/>
  <c r="Y10" s="1"/>
  <c r="AA10" s="1"/>
  <c r="G10"/>
  <c r="C10"/>
  <c r="D10" s="1"/>
  <c r="Z9"/>
  <c r="Z40" s="1"/>
  <c r="X9"/>
  <c r="Y9" s="1"/>
  <c r="AA9" s="1"/>
  <c r="W9"/>
  <c r="G9"/>
  <c r="C9"/>
  <c r="D9" s="1"/>
  <c r="E9" l="1"/>
  <c r="F9"/>
  <c r="H9" s="1"/>
  <c r="E17" i="2"/>
  <c r="F17"/>
  <c r="H17" s="1"/>
  <c r="E34" i="3"/>
  <c r="F34"/>
  <c r="H34" s="1"/>
  <c r="E10" i="4"/>
  <c r="F10"/>
  <c r="H10" s="1"/>
  <c r="E13" i="5"/>
  <c r="F13"/>
  <c r="H13" s="1"/>
  <c r="E14" i="8"/>
  <c r="F14"/>
  <c r="H14" s="1"/>
  <c r="E22"/>
  <c r="F22"/>
  <c r="H22" s="1"/>
  <c r="E32" i="10"/>
  <c r="F32"/>
  <c r="H32" s="1"/>
  <c r="E37"/>
  <c r="F37"/>
  <c r="H37" s="1"/>
  <c r="E27" i="12"/>
  <c r="F27"/>
  <c r="H27" s="1"/>
  <c r="AA39" i="2"/>
  <c r="Y40" i="5"/>
  <c r="Y40" i="9"/>
  <c r="E31" i="1"/>
  <c r="F31"/>
  <c r="H31" s="1"/>
  <c r="E19" i="3"/>
  <c r="F19"/>
  <c r="H19" s="1"/>
  <c r="E29"/>
  <c r="F29"/>
  <c r="H29" s="1"/>
  <c r="E27" i="4"/>
  <c r="F27"/>
  <c r="H27" s="1"/>
  <c r="E37"/>
  <c r="F37"/>
  <c r="H37" s="1"/>
  <c r="E12" i="6"/>
  <c r="F12"/>
  <c r="H12" s="1"/>
  <c r="E31"/>
  <c r="F31"/>
  <c r="H31" s="1"/>
  <c r="E28" i="7"/>
  <c r="F28"/>
  <c r="H28" s="1"/>
  <c r="E9" i="8"/>
  <c r="F9"/>
  <c r="H9" s="1"/>
  <c r="E38"/>
  <c r="F38"/>
  <c r="H38" s="1"/>
  <c r="E14" i="11"/>
  <c r="F14"/>
  <c r="H14" s="1"/>
  <c r="F9" i="6"/>
  <c r="H9" s="1"/>
  <c r="E9"/>
  <c r="E30" i="8"/>
  <c r="F30"/>
  <c r="H30" s="1"/>
  <c r="E29" i="9"/>
  <c r="F29"/>
  <c r="H29" s="1"/>
  <c r="E22" i="10"/>
  <c r="F22"/>
  <c r="H22" s="1"/>
  <c r="E11" i="12"/>
  <c r="F11"/>
  <c r="H11" s="1"/>
  <c r="E39"/>
  <c r="F39"/>
  <c r="H39" s="1"/>
  <c r="E16" i="1"/>
  <c r="F16"/>
  <c r="H16" s="1"/>
  <c r="E26"/>
  <c r="F26"/>
  <c r="H26" s="1"/>
  <c r="E11" i="3"/>
  <c r="F11"/>
  <c r="H11" s="1"/>
  <c r="E19" i="4"/>
  <c r="F19"/>
  <c r="H19" s="1"/>
  <c r="E35" i="5"/>
  <c r="F35"/>
  <c r="H35" s="1"/>
  <c r="E12" i="7"/>
  <c r="F12"/>
  <c r="H12" s="1"/>
  <c r="E23"/>
  <c r="F23"/>
  <c r="H23" s="1"/>
  <c r="E14" i="9"/>
  <c r="F14"/>
  <c r="H14" s="1"/>
  <c r="E21"/>
  <c r="F21"/>
  <c r="H21" s="1"/>
  <c r="E14" i="10"/>
  <c r="F14"/>
  <c r="H14" s="1"/>
  <c r="E18" i="11"/>
  <c r="F18"/>
  <c r="H18" s="1"/>
  <c r="E24" i="12"/>
  <c r="F24"/>
  <c r="H24" s="1"/>
  <c r="Y40" i="3"/>
  <c r="AA40" i="4"/>
  <c r="AA40" i="5"/>
  <c r="E24" i="2"/>
  <c r="F24"/>
  <c r="H24" s="1"/>
  <c r="E34"/>
  <c r="F34"/>
  <c r="H34" s="1"/>
  <c r="E20" i="5"/>
  <c r="F20"/>
  <c r="H20" s="1"/>
  <c r="E30"/>
  <c r="F30"/>
  <c r="H30" s="1"/>
  <c r="E21" i="6"/>
  <c r="F21"/>
  <c r="H21" s="1"/>
  <c r="E35"/>
  <c r="F35"/>
  <c r="H35" s="1"/>
  <c r="E39" i="7"/>
  <c r="F39"/>
  <c r="H39" s="1"/>
  <c r="E33" i="9"/>
  <c r="F33"/>
  <c r="H33" s="1"/>
  <c r="E26" i="10"/>
  <c r="F26"/>
  <c r="H26" s="1"/>
  <c r="E31" i="11"/>
  <c r="F31"/>
  <c r="H31" s="1"/>
  <c r="E38"/>
  <c r="F38"/>
  <c r="H38" s="1"/>
  <c r="E16" i="12"/>
  <c r="F16"/>
  <c r="H16" s="1"/>
  <c r="E29"/>
  <c r="F29"/>
  <c r="H29" s="1"/>
  <c r="E36"/>
  <c r="F36"/>
  <c r="H36" s="1"/>
  <c r="Y40" i="4"/>
  <c r="E16" i="2"/>
  <c r="F16"/>
  <c r="H16" s="1"/>
  <c r="F21"/>
  <c r="H21" s="1"/>
  <c r="E21"/>
  <c r="E33" i="3"/>
  <c r="F33"/>
  <c r="H33" s="1"/>
  <c r="E9" i="4"/>
  <c r="F9"/>
  <c r="H9" s="1"/>
  <c r="E12" i="5"/>
  <c r="F12"/>
  <c r="H12" s="1"/>
  <c r="F17"/>
  <c r="H17" s="1"/>
  <c r="E17"/>
  <c r="E39" i="10"/>
  <c r="F39"/>
  <c r="H39" s="1"/>
  <c r="E23" i="11"/>
  <c r="F23"/>
  <c r="H23" s="1"/>
  <c r="E30" i="1"/>
  <c r="F30"/>
  <c r="H30" s="1"/>
  <c r="E37"/>
  <c r="F37"/>
  <c r="H37" s="1"/>
  <c r="E28" i="3"/>
  <c r="F28"/>
  <c r="H28" s="1"/>
  <c r="E36" i="4"/>
  <c r="F36"/>
  <c r="H36" s="1"/>
  <c r="E9" i="5"/>
  <c r="F9"/>
  <c r="H9" s="1"/>
  <c r="E30" i="6"/>
  <c r="F30"/>
  <c r="H30" s="1"/>
  <c r="E30" i="7"/>
  <c r="F30"/>
  <c r="H30" s="1"/>
  <c r="E16" i="8"/>
  <c r="F16"/>
  <c r="H16" s="1"/>
  <c r="E21"/>
  <c r="F21"/>
  <c r="H21" s="1"/>
  <c r="E25"/>
  <c r="F25"/>
  <c r="H25" s="1"/>
  <c r="E38" i="9"/>
  <c r="F38"/>
  <c r="H38" s="1"/>
  <c r="E31" i="10"/>
  <c r="F31"/>
  <c r="H31" s="1"/>
  <c r="E13" i="11"/>
  <c r="F13"/>
  <c r="H13" s="1"/>
  <c r="E13" i="12"/>
  <c r="F13"/>
  <c r="H13" s="1"/>
  <c r="AA40" i="7"/>
  <c r="E18" i="3"/>
  <c r="F18"/>
  <c r="H18" s="1"/>
  <c r="E26" i="4"/>
  <c r="F26"/>
  <c r="H26" s="1"/>
  <c r="E11" i="6"/>
  <c r="F11"/>
  <c r="H11" s="1"/>
  <c r="E37" i="8"/>
  <c r="F37"/>
  <c r="H37" s="1"/>
  <c r="E23" i="9"/>
  <c r="F23"/>
  <c r="H23" s="1"/>
  <c r="E28"/>
  <c r="F28"/>
  <c r="H28" s="1"/>
  <c r="E16" i="10"/>
  <c r="F16"/>
  <c r="H16" s="1"/>
  <c r="E21"/>
  <c r="F21"/>
  <c r="H21" s="1"/>
  <c r="E31" i="12"/>
  <c r="F31"/>
  <c r="H31" s="1"/>
  <c r="E38"/>
  <c r="F38"/>
  <c r="H38" s="1"/>
  <c r="E25" i="1"/>
  <c r="F25"/>
  <c r="H25" s="1"/>
  <c r="E34" i="5"/>
  <c r="F34"/>
  <c r="H34" s="1"/>
  <c r="E22" i="7"/>
  <c r="F22"/>
  <c r="H22" s="1"/>
  <c r="Y40" i="6"/>
  <c r="E15" i="1"/>
  <c r="F15"/>
  <c r="H15" s="1"/>
  <c r="E33" i="2"/>
  <c r="F33"/>
  <c r="H33" s="1"/>
  <c r="E13" i="3"/>
  <c r="F13"/>
  <c r="H13" s="1"/>
  <c r="E21" i="4"/>
  <c r="F21"/>
  <c r="H21" s="1"/>
  <c r="E29" i="5"/>
  <c r="F29"/>
  <c r="H29" s="1"/>
  <c r="E20" i="6"/>
  <c r="F20"/>
  <c r="H20" s="1"/>
  <c r="E37"/>
  <c r="F37"/>
  <c r="H37" s="1"/>
  <c r="E13" i="9"/>
  <c r="F13"/>
  <c r="H13" s="1"/>
  <c r="E15" i="12"/>
  <c r="F15"/>
  <c r="H15" s="1"/>
  <c r="E23"/>
  <c r="F23"/>
  <c r="H23" s="1"/>
  <c r="E23" i="2"/>
  <c r="F23"/>
  <c r="H23" s="1"/>
  <c r="E35" i="3"/>
  <c r="F35"/>
  <c r="H35" s="1"/>
  <c r="E11" i="4"/>
  <c r="F11"/>
  <c r="H11" s="1"/>
  <c r="E19" i="5"/>
  <c r="F19"/>
  <c r="H19" s="1"/>
  <c r="E17" i="7"/>
  <c r="F17"/>
  <c r="H17" s="1"/>
  <c r="E38"/>
  <c r="F38"/>
  <c r="H38" s="1"/>
  <c r="E30" i="11"/>
  <c r="F30"/>
  <c r="H30" s="1"/>
  <c r="E20" i="12"/>
  <c r="F20"/>
  <c r="H20" s="1"/>
  <c r="E10" i="1"/>
  <c r="F10"/>
  <c r="H10" s="1"/>
  <c r="E32"/>
  <c r="F32"/>
  <c r="H32" s="1"/>
  <c r="E18" i="2"/>
  <c r="F18"/>
  <c r="H18" s="1"/>
  <c r="E27" i="3"/>
  <c r="F27"/>
  <c r="H27" s="1"/>
  <c r="F32"/>
  <c r="H32" s="1"/>
  <c r="E32"/>
  <c r="E35" i="4"/>
  <c r="F35"/>
  <c r="H35" s="1"/>
  <c r="E14" i="5"/>
  <c r="F14"/>
  <c r="H14" s="1"/>
  <c r="E29" i="6"/>
  <c r="F29"/>
  <c r="H29" s="1"/>
  <c r="E15" i="8"/>
  <c r="F15"/>
  <c r="H15" s="1"/>
  <c r="E20"/>
  <c r="F20"/>
  <c r="H20" s="1"/>
  <c r="E17" i="9"/>
  <c r="F17"/>
  <c r="H17" s="1"/>
  <c r="E10" i="10"/>
  <c r="F10"/>
  <c r="H10" s="1"/>
  <c r="E38"/>
  <c r="F38"/>
  <c r="H38" s="1"/>
  <c r="E15" i="11"/>
  <c r="F15"/>
  <c r="H15" s="1"/>
  <c r="E22"/>
  <c r="F22"/>
  <c r="H22" s="1"/>
  <c r="E17" i="3"/>
  <c r="F17"/>
  <c r="H17" s="1"/>
  <c r="E24"/>
  <c r="F24"/>
  <c r="H24" s="1"/>
  <c r="E25" i="4"/>
  <c r="F25"/>
  <c r="H25" s="1"/>
  <c r="E32"/>
  <c r="F32"/>
  <c r="H32" s="1"/>
  <c r="E10" i="6"/>
  <c r="F10"/>
  <c r="H10" s="1"/>
  <c r="E29" i="7"/>
  <c r="F29"/>
  <c r="H29" s="1"/>
  <c r="E31" i="8"/>
  <c r="F31"/>
  <c r="H31" s="1"/>
  <c r="E36"/>
  <c r="F36"/>
  <c r="H36" s="1"/>
  <c r="E30" i="9"/>
  <c r="F30"/>
  <c r="H30" s="1"/>
  <c r="E37"/>
  <c r="F37"/>
  <c r="H37" s="1"/>
  <c r="E23" i="10"/>
  <c r="F23"/>
  <c r="H23" s="1"/>
  <c r="E30"/>
  <c r="F30"/>
  <c r="H30" s="1"/>
  <c r="AA40" i="3"/>
  <c r="E24" i="1"/>
  <c r="F24"/>
  <c r="H24" s="1"/>
  <c r="E36" i="5"/>
  <c r="F36"/>
  <c r="H36" s="1"/>
  <c r="E19" i="7"/>
  <c r="F19"/>
  <c r="H19" s="1"/>
  <c r="E22" i="9"/>
  <c r="F22"/>
  <c r="H22" s="1"/>
  <c r="E15" i="10"/>
  <c r="F15"/>
  <c r="H15" s="1"/>
  <c r="AA40" i="1"/>
  <c r="AA40" i="10"/>
  <c r="AA40" i="11"/>
  <c r="E14" i="1"/>
  <c r="F14"/>
  <c r="H14" s="1"/>
  <c r="E21"/>
  <c r="F21"/>
  <c r="H21" s="1"/>
  <c r="E32" i="2"/>
  <c r="F32"/>
  <c r="H32" s="1"/>
  <c r="E12" i="3"/>
  <c r="F12"/>
  <c r="H12" s="1"/>
  <c r="E20" i="4"/>
  <c r="F20"/>
  <c r="H20" s="1"/>
  <c r="E28" i="5"/>
  <c r="F28"/>
  <c r="H28" s="1"/>
  <c r="F33"/>
  <c r="H33" s="1"/>
  <c r="E33"/>
  <c r="E13" i="7"/>
  <c r="F13"/>
  <c r="H13" s="1"/>
  <c r="E24"/>
  <c r="F24"/>
  <c r="H24" s="1"/>
  <c r="E33"/>
  <c r="F33"/>
  <c r="H33" s="1"/>
  <c r="E12" i="9"/>
  <c r="F12"/>
  <c r="H12" s="1"/>
  <c r="E34" i="11"/>
  <c r="F34"/>
  <c r="H34" s="1"/>
  <c r="E22" i="12"/>
  <c r="F22"/>
  <c r="H22" s="1"/>
  <c r="AA40" i="6"/>
  <c r="AA40" i="9"/>
  <c r="E22" i="2"/>
  <c r="F22"/>
  <c r="H22" s="1"/>
  <c r="E29"/>
  <c r="F29"/>
  <c r="H29" s="1"/>
  <c r="E18" i="5"/>
  <c r="F18"/>
  <c r="H18" s="1"/>
  <c r="E25"/>
  <c r="F25"/>
  <c r="H25" s="1"/>
  <c r="E22" i="6"/>
  <c r="F22"/>
  <c r="H22" s="1"/>
  <c r="E36"/>
  <c r="F36"/>
  <c r="H36" s="1"/>
  <c r="E24" i="11"/>
  <c r="F24"/>
  <c r="H24" s="1"/>
  <c r="E29"/>
  <c r="F29"/>
  <c r="H29" s="1"/>
  <c r="AA40" i="8"/>
  <c r="Y40"/>
  <c r="Y40" i="10"/>
  <c r="E13" i="1"/>
  <c r="E29"/>
  <c r="E16" i="3"/>
  <c r="E24" i="4"/>
  <c r="E34" i="6"/>
  <c r="E11" i="7"/>
  <c r="E27"/>
  <c r="E19" i="8"/>
  <c r="E35"/>
  <c r="E11" i="9"/>
  <c r="E27"/>
  <c r="E20" i="10"/>
  <c r="E36"/>
  <c r="E12" i="11"/>
  <c r="E28"/>
  <c r="E21" i="12"/>
  <c r="E37"/>
  <c r="F23" i="1"/>
  <c r="H23" s="1"/>
  <c r="F39"/>
  <c r="H39" s="1"/>
  <c r="F15" i="2"/>
  <c r="H15" s="1"/>
  <c r="F31"/>
  <c r="H31" s="1"/>
  <c r="F10" i="3"/>
  <c r="H10" s="1"/>
  <c r="F26"/>
  <c r="H26" s="1"/>
  <c r="F18" i="4"/>
  <c r="H18" s="1"/>
  <c r="F34"/>
  <c r="H34" s="1"/>
  <c r="F11" i="5"/>
  <c r="H11" s="1"/>
  <c r="F27"/>
  <c r="H27" s="1"/>
  <c r="F19" i="6"/>
  <c r="H19" s="1"/>
  <c r="F28"/>
  <c r="H28" s="1"/>
  <c r="F21" i="7"/>
  <c r="H21" s="1"/>
  <c r="F13" i="8"/>
  <c r="H13" s="1"/>
  <c r="Z40" i="12"/>
  <c r="F18" i="9"/>
  <c r="H18" s="1"/>
  <c r="F34"/>
  <c r="H34" s="1"/>
  <c r="F11" i="10"/>
  <c r="H11" s="1"/>
  <c r="F27"/>
  <c r="H27" s="1"/>
  <c r="F19" i="11"/>
  <c r="H19" s="1"/>
  <c r="F35"/>
  <c r="H35" s="1"/>
  <c r="F12" i="12"/>
  <c r="H12" s="1"/>
  <c r="F28"/>
  <c r="H28" s="1"/>
  <c r="AA10" i="9"/>
  <c r="F13" i="2"/>
  <c r="H13" s="1"/>
  <c r="F16" i="4"/>
  <c r="H16" s="1"/>
  <c r="F17" i="6"/>
  <c r="H17" s="1"/>
  <c r="F35" i="7"/>
  <c r="H35" s="1"/>
  <c r="F11" i="8"/>
  <c r="H11" s="1"/>
  <c r="F27"/>
  <c r="H27" s="1"/>
  <c r="F19" i="9"/>
  <c r="H19" s="1"/>
  <c r="F35"/>
  <c r="H35" s="1"/>
  <c r="F12" i="10"/>
  <c r="H12" s="1"/>
  <c r="F28"/>
  <c r="H28" s="1"/>
  <c r="F20" i="11"/>
  <c r="H20" s="1"/>
  <c r="F36"/>
  <c r="H36" s="1"/>
  <c r="F18" i="1"/>
  <c r="H18" s="1"/>
  <c r="F34"/>
  <c r="H34" s="1"/>
  <c r="F10" i="2"/>
  <c r="H10" s="1"/>
  <c r="F26"/>
  <c r="H26" s="1"/>
  <c r="F21" i="3"/>
  <c r="H21" s="1"/>
  <c r="F13" i="4"/>
  <c r="H13" s="1"/>
  <c r="F29"/>
  <c r="H29" s="1"/>
  <c r="F22" i="5"/>
  <c r="H22" s="1"/>
  <c r="F38"/>
  <c r="H38" s="1"/>
  <c r="F26" i="12"/>
  <c r="H26" s="1"/>
  <c r="F18" i="8"/>
  <c r="H18" s="1"/>
  <c r="F34"/>
  <c r="H34" s="1"/>
  <c r="F10" i="9"/>
  <c r="H10" s="1"/>
  <c r="F26"/>
  <c r="H26" s="1"/>
  <c r="F19" i="10"/>
  <c r="H19" s="1"/>
  <c r="F35"/>
  <c r="H35" s="1"/>
  <c r="F11" i="11"/>
  <c r="H11" s="1"/>
  <c r="F27"/>
  <c r="H27" s="1"/>
  <c r="F17" i="12"/>
  <c r="H17" s="1"/>
  <c r="F33"/>
  <c r="H33" s="1"/>
  <c r="F22" i="1"/>
  <c r="H22" s="1"/>
  <c r="F38"/>
  <c r="H38" s="1"/>
  <c r="F14" i="2"/>
  <c r="H14" s="1"/>
  <c r="F30"/>
  <c r="H30" s="1"/>
  <c r="F9" i="3"/>
  <c r="H9" s="1"/>
  <c r="F25"/>
  <c r="H25" s="1"/>
  <c r="F17" i="4"/>
  <c r="H17" s="1"/>
  <c r="F33"/>
  <c r="H33" s="1"/>
  <c r="F10" i="5"/>
  <c r="H10" s="1"/>
  <c r="F26"/>
  <c r="H26" s="1"/>
  <c r="F18" i="6"/>
  <c r="H18" s="1"/>
</calcChain>
</file>

<file path=xl/sharedStrings.xml><?xml version="1.0" encoding="utf-8"?>
<sst xmlns="http://schemas.openxmlformats.org/spreadsheetml/2006/main" count="782" uniqueCount="77">
  <si>
    <t>JANEIRO DE 2025</t>
  </si>
  <si>
    <t xml:space="preserve">                     INSTITUTO   ASTRONÔMICO   E   GEOFÍSICO   DA   UNIVERSIDADE   DE   SÃO   PAULO</t>
  </si>
  <si>
    <t>Atualização: Sergio 2021; Edvaldo Gomes 2023</t>
  </si>
  <si>
    <t>(digitado por  Pety )</t>
  </si>
  <si>
    <t>(digitado por Pety  )</t>
  </si>
  <si>
    <t xml:space="preserve">(Planilha verificada por Edvaldo Gomes )  </t>
  </si>
  <si>
    <t xml:space="preserve">    DADOS  RELATIVOS  À  IRRADIAÇÃO  SOLAR  GLOBAL  E  À  DURAÇÃO  DO  BRILHO  SOLAR</t>
  </si>
  <si>
    <t>(Planilha verificada por  Edvaldo Gomes  )</t>
  </si>
  <si>
    <t>DIA</t>
  </si>
  <si>
    <t xml:space="preserve">                 IRRADIAÇÃO  SOLAR  GLOBAL</t>
  </si>
  <si>
    <t xml:space="preserve">   DURAÇÃO  DO  BRILHO  SOLAR</t>
  </si>
  <si>
    <t>área</t>
  </si>
  <si>
    <t>fator</t>
  </si>
  <si>
    <t>total</t>
  </si>
  <si>
    <t>estimativa</t>
  </si>
  <si>
    <t>topo da</t>
  </si>
  <si>
    <t>transmissão</t>
  </si>
  <si>
    <t>duração</t>
  </si>
  <si>
    <t>insolação</t>
  </si>
  <si>
    <t>média</t>
  </si>
  <si>
    <t>diário de</t>
  </si>
  <si>
    <t>diário</t>
  </si>
  <si>
    <t>piranômetro</t>
  </si>
  <si>
    <t>atmosfera</t>
  </si>
  <si>
    <t>global</t>
  </si>
  <si>
    <t xml:space="preserve">                duração  horária  (horas)</t>
  </si>
  <si>
    <t>totais  (horas)</t>
  </si>
  <si>
    <t>teórica (hs)</t>
  </si>
  <si>
    <t>relativa (%)</t>
  </si>
  <si>
    <t>(cm2)</t>
  </si>
  <si>
    <t>correção</t>
  </si>
  <si>
    <t>(cal / cm2)</t>
  </si>
  <si>
    <t>(MJ / m2)</t>
  </si>
  <si>
    <t>(%)</t>
  </si>
  <si>
    <t>05h-06h</t>
  </si>
  <si>
    <t>06h-07h</t>
  </si>
  <si>
    <t>07h-08h</t>
  </si>
  <si>
    <t>08h-09h</t>
  </si>
  <si>
    <t>09h-10h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</si>
  <si>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</si>
  <si>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</si>
  <si>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</si>
  <si>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</si>
  <si>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</si>
  <si>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</si>
  <si>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</si>
  <si>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</si>
  <si>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</si>
  <si>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manhã</t>
  </si>
  <si>
    <t>tarde</t>
  </si>
  <si>
    <t>dia</t>
  </si>
  <si>
    <t xml:space="preserve">"área média": valor médio obtido a partir de diversas planimetrias sobre o actinograma </t>
  </si>
  <si>
    <t>"fator diário de correção": fator multiplicativo recomendado pelo fabricante do actinógrafo, dado por 0,734+0,00641*ho-0,000033*ho*ho, sendo ho a elevação solar na passagem meridiana</t>
  </si>
  <si>
    <t>"total diário": produto entre (1) a área média, (2) o fator de correção diário, (3) a constante 14,25 (quantidade de cal/cm2 para cada cm2 de área planimetrada), e (4) o fator 1,022 (obediência à World Radiometric Reference)</t>
  </si>
  <si>
    <t>"estimativa piranômetro": irradiação diária que seria medida com um piranômetro Eppley equipado de filtro Schott WG7, dada por (7,86+1,25*A)*4,1868/100, sendo A a irradiação obtida com o actinógrafo</t>
  </si>
  <si>
    <t>"topo da atmosfera": valor teórico da irradiação diária solar incidente no topo da atmosfera, para uma constante solar de 1367 W/m2</t>
  </si>
  <si>
    <t>"transmissão global": quociente entre as irradiações "estimativa piranômetro" e "topo da atmosfera"</t>
  </si>
  <si>
    <t>"insolação relativa": quociente entre o total diário observado para a duração de brilho solar e o respectivo valor teórico, desprezando-se possíveis efeitos associados à refração atmosférica</t>
  </si>
  <si>
    <r>
      <t xml:space="preserve">(*) valores </t>
    </r>
    <r>
      <rPr>
        <sz val="12"/>
        <color indexed="10"/>
        <rFont val="Arial"/>
        <family val="2"/>
      </rPr>
      <t>-99,0</t>
    </r>
    <r>
      <rPr>
        <sz val="12"/>
        <rFont val="Arial"/>
        <family val="2"/>
      </rPr>
      <t xml:space="preserve"> indicam falha no registro do actinógrafo</t>
    </r>
  </si>
  <si>
    <t>FEVEREIRO DE 2025</t>
  </si>
  <si>
    <t>(digitado por Pety )</t>
  </si>
  <si>
    <t>(Planilha verificada por  Edvaldo Gomes )</t>
  </si>
  <si>
    <t>MARÇO DE 2025</t>
  </si>
  <si>
    <t>(Planilha verificada por Edvaldo Gomes )</t>
  </si>
  <si>
    <t xml:space="preserve"> </t>
  </si>
  <si>
    <t>ABRIL DE 2025</t>
  </si>
  <si>
    <r>
      <t xml:space="preserve">(*) valores </t>
    </r>
    <r>
      <rPr>
        <sz val="12"/>
        <color indexed="10"/>
        <rFont val="Arial"/>
        <family val="2"/>
      </rPr>
      <t>-0,0</t>
    </r>
    <r>
      <rPr>
        <sz val="12"/>
        <rFont val="Arial"/>
        <family val="2"/>
      </rPr>
      <t xml:space="preserve"> indicam falha no registro do heliógrafo</t>
    </r>
  </si>
  <si>
    <t>MAIO DE 2025</t>
  </si>
  <si>
    <t>(Planilha verificada por Edvaldo Gome )</t>
  </si>
  <si>
    <t xml:space="preserve"> JUNHO DE 2025</t>
  </si>
  <si>
    <t>(digitado por Edvaldo Gomes  )</t>
  </si>
  <si>
    <t>JULHO DE 2025</t>
  </si>
  <si>
    <t xml:space="preserve"> AGOSTO DE 2025</t>
  </si>
  <si>
    <t>SETEMBRO DE 2025</t>
  </si>
  <si>
    <t>OUTUBRO DE 2025</t>
  </si>
  <si>
    <t>NOVEMBRO DE 2025</t>
  </si>
  <si>
    <t>DEZEMBRO DE 2025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</si>
</sst>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8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i/>
      <u/>
      <sz val="10"/>
      <color indexed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9"/>
        <bgColor indexed="27"/>
      </patternFill>
    </fill>
  </fills>
  <borders count="9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/>
      <diagonal/>
    </border>
    <border>
      <left style="double">
        <color indexed="63"/>
      </left>
      <right/>
      <top style="double">
        <color indexed="63"/>
      </top>
      <bottom style="medium">
        <color indexed="63"/>
      </bottom>
      <diagonal/>
    </border>
    <border>
      <left/>
      <right/>
      <top style="double">
        <color indexed="63"/>
      </top>
      <bottom/>
      <diagonal/>
    </border>
    <border>
      <left/>
      <right/>
      <top style="double">
        <color indexed="63"/>
      </top>
      <bottom style="medium">
        <color indexed="63"/>
      </bottom>
      <diagonal/>
    </border>
    <border>
      <left/>
      <right style="double">
        <color indexed="63"/>
      </right>
      <top style="double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double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double">
        <color indexed="63"/>
      </right>
      <top style="medium">
        <color indexed="63"/>
      </top>
      <bottom/>
      <diagonal/>
    </border>
    <border>
      <left style="double">
        <color indexed="63"/>
      </left>
      <right/>
      <top/>
      <bottom/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double">
        <color indexed="63"/>
      </left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double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double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n">
        <color indexed="63"/>
      </right>
      <top/>
      <bottom/>
      <diagonal/>
    </border>
    <border>
      <left style="medium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double">
        <color indexed="63"/>
      </right>
      <top style="thin">
        <color indexed="63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/>
      <bottom/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4"/>
      </bottom>
      <diagonal/>
    </border>
    <border>
      <left style="thin">
        <color indexed="63"/>
      </left>
      <right style="medium">
        <color indexed="63"/>
      </right>
      <top/>
      <bottom style="double">
        <color indexed="63"/>
      </bottom>
      <diagonal/>
    </border>
    <border>
      <left/>
      <right style="medium">
        <color indexed="63"/>
      </right>
      <top/>
      <bottom/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3">
    <xf numFmtId="0" fontId="0" fillId="0" borderId="0"/>
    <xf numFmtId="9" fontId="1" fillId="0" borderId="0" applyFill="0" applyBorder="0" applyAlignment="0" applyProtection="0"/>
    <xf numFmtId="0" fontId="1" fillId="0" borderId="0" applyNumberFormat="0"/>
  </cellStyleXfs>
  <cellXfs count="232">
    <xf numFmtId="0" fontId="0" fillId="0" borderId="0" xfId="0"/>
    <xf numFmtId="0" fontId="2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1" fillId="3" borderId="0" xfId="2" applyFill="1"/>
    <xf numFmtId="0" fontId="2" fillId="3" borderId="0" xfId="2" applyFont="1" applyFill="1" applyAlignment="1">
      <alignment horizontal="left"/>
    </xf>
    <xf numFmtId="0" fontId="3" fillId="3" borderId="0" xfId="2" applyFont="1" applyFill="1" applyAlignment="1">
      <alignment horizontal="center"/>
    </xf>
    <xf numFmtId="0" fontId="2" fillId="3" borderId="0" xfId="2" applyFont="1" applyFill="1"/>
    <xf numFmtId="0" fontId="4" fillId="3" borderId="0" xfId="2" applyFont="1" applyFill="1"/>
    <xf numFmtId="0" fontId="1" fillId="0" borderId="0" xfId="2"/>
    <xf numFmtId="0" fontId="0" fillId="2" borderId="0" xfId="2" applyFont="1" applyFill="1" applyAlignment="1">
      <alignment horizontal="left"/>
    </xf>
    <xf numFmtId="0" fontId="0" fillId="3" borderId="0" xfId="2" applyFont="1" applyFill="1" applyAlignment="1">
      <alignment horizontal="left"/>
    </xf>
    <xf numFmtId="0" fontId="5" fillId="3" borderId="1" xfId="2" applyFont="1" applyFill="1" applyBorder="1" applyAlignment="1">
      <alignment horizontal="center"/>
    </xf>
    <xf numFmtId="0" fontId="1" fillId="3" borderId="2" xfId="2" applyFill="1" applyBorder="1"/>
    <xf numFmtId="0" fontId="5" fillId="3" borderId="3" xfId="2" applyFont="1" applyFill="1" applyBorder="1" applyAlignment="1">
      <alignment horizontal="left"/>
    </xf>
    <xf numFmtId="0" fontId="1" fillId="3" borderId="4" xfId="2" applyFill="1" applyBorder="1"/>
    <xf numFmtId="0" fontId="5" fillId="3" borderId="4" xfId="2" applyFont="1" applyFill="1" applyBorder="1" applyAlignment="1">
      <alignment horizontal="center"/>
    </xf>
    <xf numFmtId="0" fontId="1" fillId="3" borderId="5" xfId="2" applyFill="1" applyBorder="1"/>
    <xf numFmtId="0" fontId="5" fillId="3" borderId="3" xfId="2" applyFont="1" applyFill="1" applyBorder="1" applyAlignment="1">
      <alignment horizontal="center"/>
    </xf>
    <xf numFmtId="0" fontId="5" fillId="3" borderId="3" xfId="2" applyFont="1" applyFill="1" applyBorder="1"/>
    <xf numFmtId="0" fontId="6" fillId="3" borderId="5" xfId="2" applyFont="1" applyFill="1" applyBorder="1" applyAlignment="1">
      <alignment horizontal="center"/>
    </xf>
    <xf numFmtId="0" fontId="1" fillId="3" borderId="6" xfId="2" applyFill="1" applyBorder="1" applyAlignment="1">
      <alignment horizontal="center" vertical="top" wrapText="1"/>
    </xf>
    <xf numFmtId="0" fontId="6" fillId="3" borderId="7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3" borderId="9" xfId="2" applyFont="1" applyFill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left"/>
    </xf>
    <xf numFmtId="0" fontId="1" fillId="3" borderId="12" xfId="2" applyFill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" fillId="3" borderId="14" xfId="2" applyFill="1" applyBorder="1" applyAlignment="1">
      <alignment horizontal="center"/>
    </xf>
    <xf numFmtId="0" fontId="0" fillId="3" borderId="12" xfId="2" applyFont="1" applyFill="1" applyBorder="1" applyAlignment="1">
      <alignment horizontal="center"/>
    </xf>
    <xf numFmtId="0" fontId="0" fillId="3" borderId="13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center"/>
    </xf>
    <xf numFmtId="0" fontId="6" fillId="3" borderId="15" xfId="2" applyFont="1" applyFill="1" applyBorder="1" applyAlignment="1">
      <alignment horizontal="center"/>
    </xf>
    <xf numFmtId="0" fontId="1" fillId="3" borderId="16" xfId="2" applyFill="1" applyBorder="1" applyAlignment="1">
      <alignment horizontal="center" vertical="top" wrapText="1"/>
    </xf>
    <xf numFmtId="0" fontId="6" fillId="3" borderId="17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18" xfId="2" applyFont="1" applyFill="1" applyBorder="1" applyAlignment="1">
      <alignment horizontal="center"/>
    </xf>
    <xf numFmtId="0" fontId="5" fillId="3" borderId="19" xfId="2" applyFont="1" applyFill="1" applyBorder="1" applyAlignment="1">
      <alignment horizontal="left"/>
    </xf>
    <xf numFmtId="0" fontId="6" fillId="3" borderId="20" xfId="2" applyFont="1" applyFill="1" applyBorder="1" applyAlignment="1">
      <alignment horizontal="left"/>
    </xf>
    <xf numFmtId="0" fontId="6" fillId="3" borderId="21" xfId="2" applyFont="1" applyFill="1" applyBorder="1" applyAlignment="1">
      <alignment horizontal="center"/>
    </xf>
    <xf numFmtId="0" fontId="1" fillId="3" borderId="19" xfId="2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/>
    </xf>
    <xf numFmtId="9" fontId="0" fillId="3" borderId="23" xfId="1" applyFont="1" applyFill="1" applyBorder="1" applyAlignment="1">
      <alignment horizontal="center" vertical="top" wrapText="1"/>
    </xf>
    <xf numFmtId="0" fontId="6" fillId="3" borderId="24" xfId="2" applyFont="1" applyFill="1" applyBorder="1" applyAlignment="1">
      <alignment horizontal="center"/>
    </xf>
    <xf numFmtId="0" fontId="6" fillId="3" borderId="25" xfId="2" applyFont="1" applyFill="1" applyBorder="1" applyAlignment="1">
      <alignment horizontal="center"/>
    </xf>
    <xf numFmtId="0" fontId="6" fillId="3" borderId="26" xfId="2" applyFont="1" applyFill="1" applyBorder="1" applyAlignment="1">
      <alignment horizontal="center"/>
    </xf>
    <xf numFmtId="0" fontId="6" fillId="3" borderId="27" xfId="2" applyFont="1" applyFill="1" applyBorder="1" applyAlignment="1">
      <alignment horizontal="center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left"/>
    </xf>
    <xf numFmtId="0" fontId="6" fillId="3" borderId="31" xfId="2" applyFont="1" applyFill="1" applyBorder="1" applyAlignment="1">
      <alignment horizontal="center"/>
    </xf>
    <xf numFmtId="0" fontId="6" fillId="3" borderId="13" xfId="2" applyFont="1" applyFill="1" applyBorder="1" applyAlignment="1">
      <alignment horizontal="center"/>
    </xf>
    <xf numFmtId="0" fontId="6" fillId="3" borderId="32" xfId="2" applyFont="1" applyFill="1" applyBorder="1" applyAlignment="1">
      <alignment horizontal="center"/>
    </xf>
    <xf numFmtId="0" fontId="6" fillId="3" borderId="33" xfId="2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/>
    </xf>
    <xf numFmtId="164" fontId="3" fillId="2" borderId="35" xfId="2" applyNumberFormat="1" applyFont="1" applyFill="1" applyBorder="1" applyAlignment="1">
      <alignment horizontal="center"/>
    </xf>
    <xf numFmtId="165" fontId="3" fillId="3" borderId="36" xfId="2" applyNumberFormat="1" applyFont="1" applyFill="1" applyBorder="1" applyAlignment="1">
      <alignment horizontal="center"/>
    </xf>
    <xf numFmtId="164" fontId="3" fillId="3" borderId="35" xfId="2" applyNumberFormat="1" applyFont="1" applyFill="1" applyBorder="1" applyAlignment="1">
      <alignment horizontal="center"/>
    </xf>
    <xf numFmtId="2" fontId="3" fillId="3" borderId="37" xfId="2" applyNumberFormat="1" applyFont="1" applyFill="1" applyBorder="1" applyAlignment="1">
      <alignment horizontal="center"/>
    </xf>
    <xf numFmtId="2" fontId="3" fillId="3" borderId="38" xfId="2" applyNumberFormat="1" applyFont="1" applyFill="1" applyBorder="1" applyAlignment="1">
      <alignment horizontal="center"/>
    </xf>
    <xf numFmtId="2" fontId="3" fillId="3" borderId="39" xfId="2" applyNumberFormat="1" applyFont="1" applyFill="1" applyBorder="1" applyAlignment="1">
      <alignment horizontal="center"/>
    </xf>
    <xf numFmtId="164" fontId="3" fillId="3" borderId="40" xfId="2" applyNumberFormat="1" applyFont="1" applyFill="1" applyBorder="1" applyAlignment="1">
      <alignment horizontal="center"/>
    </xf>
    <xf numFmtId="164" fontId="3" fillId="2" borderId="41" xfId="2" applyNumberFormat="1" applyFont="1" applyFill="1" applyBorder="1" applyAlignment="1">
      <alignment horizontal="center"/>
    </xf>
    <xf numFmtId="164" fontId="3" fillId="2" borderId="42" xfId="2" applyNumberFormat="1" applyFont="1" applyFill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164" fontId="3" fillId="0" borderId="44" xfId="0" applyNumberFormat="1" applyFont="1" applyBorder="1" applyAlignment="1">
      <alignment horizontal="center"/>
    </xf>
    <xf numFmtId="164" fontId="7" fillId="3" borderId="45" xfId="2" applyNumberFormat="1" applyFont="1" applyFill="1" applyBorder="1" applyAlignment="1">
      <alignment horizontal="center"/>
    </xf>
    <xf numFmtId="164" fontId="3" fillId="3" borderId="44" xfId="2" applyNumberFormat="1" applyFont="1" applyFill="1" applyBorder="1" applyAlignment="1">
      <alignment horizontal="center"/>
    </xf>
    <xf numFmtId="164" fontId="3" fillId="3" borderId="46" xfId="2" applyNumberFormat="1" applyFont="1" applyFill="1" applyBorder="1" applyAlignment="1">
      <alignment horizontal="center"/>
    </xf>
    <xf numFmtId="164" fontId="3" fillId="3" borderId="47" xfId="2" applyNumberFormat="1" applyFont="1" applyFill="1" applyBorder="1" applyAlignment="1">
      <alignment horizontal="center"/>
    </xf>
    <xf numFmtId="164" fontId="3" fillId="3" borderId="48" xfId="2" applyNumberFormat="1" applyFont="1" applyFill="1" applyBorder="1" applyAlignment="1">
      <alignment horizontal="center"/>
    </xf>
    <xf numFmtId="0" fontId="3" fillId="5" borderId="34" xfId="2" applyFont="1" applyFill="1" applyBorder="1" applyAlignment="1">
      <alignment horizontal="center"/>
    </xf>
    <xf numFmtId="165" fontId="3" fillId="3" borderId="39" xfId="2" applyNumberFormat="1" applyFont="1" applyFill="1" applyBorder="1" applyAlignment="1">
      <alignment horizontal="center"/>
    </xf>
    <xf numFmtId="164" fontId="3" fillId="3" borderId="49" xfId="2" applyNumberFormat="1" applyFont="1" applyFill="1" applyBorder="1" applyAlignment="1">
      <alignment horizontal="center"/>
    </xf>
    <xf numFmtId="164" fontId="3" fillId="2" borderId="44" xfId="2" applyNumberFormat="1" applyFont="1" applyFill="1" applyBorder="1" applyAlignment="1">
      <alignment horizontal="center"/>
    </xf>
    <xf numFmtId="164" fontId="3" fillId="2" borderId="46" xfId="2" applyNumberFormat="1" applyFont="1" applyFill="1" applyBorder="1" applyAlignment="1">
      <alignment horizontal="center"/>
    </xf>
    <xf numFmtId="164" fontId="3" fillId="2" borderId="50" xfId="2" applyNumberFormat="1" applyFont="1" applyFill="1" applyBorder="1" applyAlignment="1">
      <alignment horizontal="center"/>
    </xf>
    <xf numFmtId="164" fontId="3" fillId="2" borderId="43" xfId="2" applyNumberFormat="1" applyFont="1" applyFill="1" applyBorder="1" applyAlignment="1">
      <alignment horizontal="center"/>
    </xf>
    <xf numFmtId="0" fontId="3" fillId="5" borderId="51" xfId="2" applyFont="1" applyFill="1" applyBorder="1" applyAlignment="1">
      <alignment horizontal="center"/>
    </xf>
    <xf numFmtId="164" fontId="3" fillId="2" borderId="52" xfId="2" applyNumberFormat="1" applyFont="1" applyFill="1" applyBorder="1" applyAlignment="1">
      <alignment horizontal="center"/>
    </xf>
    <xf numFmtId="164" fontId="3" fillId="2" borderId="53" xfId="2" applyNumberFormat="1" applyFont="1" applyFill="1" applyBorder="1" applyAlignment="1">
      <alignment horizontal="center"/>
    </xf>
    <xf numFmtId="0" fontId="3" fillId="6" borderId="51" xfId="2" applyFont="1" applyFill="1" applyBorder="1" applyAlignment="1">
      <alignment horizontal="center"/>
    </xf>
    <xf numFmtId="0" fontId="3" fillId="4" borderId="51" xfId="2" applyFont="1" applyFill="1" applyBorder="1" applyAlignment="1">
      <alignment horizontal="center"/>
    </xf>
    <xf numFmtId="0" fontId="3" fillId="3" borderId="51" xfId="2" applyFont="1" applyFill="1" applyBorder="1" applyAlignment="1">
      <alignment horizontal="center"/>
    </xf>
    <xf numFmtId="0" fontId="3" fillId="3" borderId="54" xfId="2" applyFont="1" applyFill="1" applyBorder="1" applyAlignment="1">
      <alignment horizontal="center"/>
    </xf>
    <xf numFmtId="164" fontId="3" fillId="2" borderId="55" xfId="2" applyNumberFormat="1" applyFont="1" applyFill="1" applyBorder="1" applyAlignment="1">
      <alignment horizontal="center"/>
    </xf>
    <xf numFmtId="165" fontId="3" fillId="3" borderId="55" xfId="2" applyNumberFormat="1" applyFont="1" applyFill="1" applyBorder="1" applyAlignment="1">
      <alignment horizontal="center"/>
    </xf>
    <xf numFmtId="164" fontId="3" fillId="3" borderId="55" xfId="2" applyNumberFormat="1" applyFont="1" applyFill="1" applyBorder="1" applyAlignment="1">
      <alignment horizontal="center"/>
    </xf>
    <xf numFmtId="2" fontId="3" fillId="3" borderId="56" xfId="2" applyNumberFormat="1" applyFont="1" applyFill="1" applyBorder="1" applyAlignment="1">
      <alignment horizontal="center"/>
    </xf>
    <xf numFmtId="2" fontId="3" fillId="3" borderId="57" xfId="2" applyNumberFormat="1" applyFont="1" applyFill="1" applyBorder="1" applyAlignment="1">
      <alignment horizontal="center"/>
    </xf>
    <xf numFmtId="2" fontId="3" fillId="3" borderId="55" xfId="2" applyNumberFormat="1" applyFont="1" applyFill="1" applyBorder="1" applyAlignment="1">
      <alignment horizontal="center"/>
    </xf>
    <xf numFmtId="164" fontId="3" fillId="3" borderId="58" xfId="2" applyNumberFormat="1" applyFont="1" applyFill="1" applyBorder="1" applyAlignment="1">
      <alignment horizontal="center"/>
    </xf>
    <xf numFmtId="164" fontId="3" fillId="2" borderId="59" xfId="2" applyNumberFormat="1" applyFont="1" applyFill="1" applyBorder="1" applyAlignment="1">
      <alignment horizontal="center"/>
    </xf>
    <xf numFmtId="164" fontId="3" fillId="2" borderId="60" xfId="2" applyNumberFormat="1" applyFont="1" applyFill="1" applyBorder="1" applyAlignment="1">
      <alignment horizontal="center"/>
    </xf>
    <xf numFmtId="164" fontId="3" fillId="0" borderId="59" xfId="0" applyNumberFormat="1" applyFont="1" applyBorder="1" applyAlignment="1">
      <alignment horizontal="center"/>
    </xf>
    <xf numFmtId="164" fontId="3" fillId="0" borderId="55" xfId="0" applyNumberFormat="1" applyFont="1" applyBorder="1" applyAlignment="1">
      <alignment horizontal="center"/>
    </xf>
    <xf numFmtId="164" fontId="7" fillId="3" borderId="61" xfId="2" applyNumberFormat="1" applyFont="1" applyFill="1" applyBorder="1" applyAlignment="1">
      <alignment horizontal="center"/>
    </xf>
    <xf numFmtId="164" fontId="3" fillId="3" borderId="60" xfId="2" applyNumberFormat="1" applyFont="1" applyFill="1" applyBorder="1" applyAlignment="1">
      <alignment horizontal="center"/>
    </xf>
    <xf numFmtId="164" fontId="3" fillId="3" borderId="62" xfId="2" applyNumberFormat="1" applyFont="1" applyFill="1" applyBorder="1" applyAlignment="1">
      <alignment horizontal="center"/>
    </xf>
    <xf numFmtId="164" fontId="3" fillId="3" borderId="63" xfId="2" applyNumberFormat="1" applyFont="1" applyFill="1" applyBorder="1" applyAlignment="1">
      <alignment horizontal="center"/>
    </xf>
    <xf numFmtId="0" fontId="3" fillId="3" borderId="0" xfId="2" applyFont="1" applyFill="1"/>
    <xf numFmtId="164" fontId="3" fillId="3" borderId="0" xfId="2" applyNumberFormat="1" applyFont="1" applyFill="1" applyAlignment="1">
      <alignment horizontal="center"/>
    </xf>
    <xf numFmtId="164" fontId="3" fillId="3" borderId="3" xfId="2" applyNumberFormat="1" applyFont="1" applyFill="1" applyBorder="1" applyAlignment="1">
      <alignment horizontal="center"/>
    </xf>
    <xf numFmtId="164" fontId="7" fillId="3" borderId="3" xfId="2" applyNumberFormat="1" applyFont="1" applyFill="1" applyBorder="1" applyAlignment="1">
      <alignment horizontal="center"/>
    </xf>
    <xf numFmtId="0" fontId="3" fillId="0" borderId="0" xfId="2" applyFont="1"/>
    <xf numFmtId="0" fontId="4" fillId="0" borderId="0" xfId="2" applyFont="1"/>
    <xf numFmtId="0" fontId="9" fillId="3" borderId="0" xfId="2" applyFont="1" applyFill="1"/>
    <xf numFmtId="0" fontId="0" fillId="3" borderId="0" xfId="2" applyFont="1" applyFill="1"/>
    <xf numFmtId="0" fontId="6" fillId="3" borderId="64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/>
    </xf>
    <xf numFmtId="164" fontId="3" fillId="2" borderId="65" xfId="2" applyNumberFormat="1" applyFont="1" applyFill="1" applyBorder="1" applyAlignment="1">
      <alignment horizontal="center"/>
    </xf>
    <xf numFmtId="164" fontId="7" fillId="2" borderId="44" xfId="0" applyNumberFormat="1" applyFont="1" applyFill="1" applyBorder="1" applyAlignment="1">
      <alignment horizontal="center"/>
    </xf>
    <xf numFmtId="164" fontId="7" fillId="2" borderId="42" xfId="0" applyNumberFormat="1" applyFont="1" applyFill="1" applyBorder="1" applyAlignment="1">
      <alignment horizontal="center"/>
    </xf>
    <xf numFmtId="164" fontId="7" fillId="2" borderId="43" xfId="0" applyNumberFormat="1" applyFont="1" applyFill="1" applyBorder="1" applyAlignment="1">
      <alignment horizontal="center"/>
    </xf>
    <xf numFmtId="164" fontId="7" fillId="3" borderId="35" xfId="2" applyNumberFormat="1" applyFont="1" applyFill="1" applyBorder="1" applyAlignment="1">
      <alignment horizontal="center"/>
    </xf>
    <xf numFmtId="164" fontId="3" fillId="3" borderId="39" xfId="2" applyNumberFormat="1" applyFont="1" applyFill="1" applyBorder="1" applyAlignment="1">
      <alignment horizontal="center"/>
    </xf>
    <xf numFmtId="164" fontId="3" fillId="3" borderId="66" xfId="2" applyNumberFormat="1" applyFont="1" applyFill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164" fontId="7" fillId="2" borderId="46" xfId="0" applyNumberFormat="1" applyFont="1" applyFill="1" applyBorder="1" applyAlignment="1">
      <alignment horizontal="center"/>
    </xf>
    <xf numFmtId="0" fontId="10" fillId="5" borderId="51" xfId="2" applyFont="1" applyFill="1" applyBorder="1" applyAlignment="1">
      <alignment horizontal="center"/>
    </xf>
    <xf numFmtId="0" fontId="3" fillId="5" borderId="54" xfId="2" applyFont="1" applyFill="1" applyBorder="1" applyAlignment="1">
      <alignment horizontal="center"/>
    </xf>
    <xf numFmtId="2" fontId="3" fillId="3" borderId="59" xfId="2" applyNumberFormat="1" applyFont="1" applyFill="1" applyBorder="1" applyAlignment="1">
      <alignment horizontal="center"/>
    </xf>
    <xf numFmtId="164" fontId="7" fillId="3" borderId="67" xfId="2" applyNumberFormat="1" applyFont="1" applyFill="1" applyBorder="1" applyAlignment="1">
      <alignment horizontal="center"/>
    </xf>
    <xf numFmtId="164" fontId="3" fillId="3" borderId="9" xfId="2" applyNumberFormat="1" applyFont="1" applyFill="1" applyBorder="1" applyAlignment="1">
      <alignment horizontal="center"/>
    </xf>
    <xf numFmtId="164" fontId="3" fillId="3" borderId="50" xfId="2" applyNumberFormat="1" applyFont="1" applyFill="1" applyBorder="1" applyAlignment="1">
      <alignment horizontal="center"/>
    </xf>
    <xf numFmtId="164" fontId="3" fillId="3" borderId="68" xfId="2" applyNumberFormat="1" applyFont="1" applyFill="1" applyBorder="1" applyAlignment="1">
      <alignment horizontal="center"/>
    </xf>
    <xf numFmtId="164" fontId="3" fillId="3" borderId="69" xfId="2" applyNumberFormat="1" applyFont="1" applyFill="1" applyBorder="1" applyAlignment="1">
      <alignment horizontal="center"/>
    </xf>
    <xf numFmtId="164" fontId="7" fillId="3" borderId="70" xfId="2" applyNumberFormat="1" applyFont="1" applyFill="1" applyBorder="1" applyAlignment="1">
      <alignment horizontal="center"/>
    </xf>
    <xf numFmtId="164" fontId="3" fillId="3" borderId="70" xfId="2" applyNumberFormat="1" applyFont="1" applyFill="1" applyBorder="1" applyAlignment="1">
      <alignment horizontal="center"/>
    </xf>
    <xf numFmtId="9" fontId="1" fillId="5" borderId="23" xfId="1" applyFont="1" applyFill="1" applyBorder="1" applyAlignment="1">
      <alignment horizontal="center" vertical="top" wrapText="1"/>
    </xf>
    <xf numFmtId="164" fontId="3" fillId="2" borderId="44" xfId="0" applyNumberFormat="1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164" fontId="3" fillId="2" borderId="43" xfId="0" applyNumberFormat="1" applyFont="1" applyFill="1" applyBorder="1" applyAlignment="1">
      <alignment horizontal="center"/>
    </xf>
    <xf numFmtId="164" fontId="3" fillId="2" borderId="71" xfId="2" applyNumberFormat="1" applyFont="1" applyFill="1" applyBorder="1" applyAlignment="1">
      <alignment horizontal="center"/>
    </xf>
    <xf numFmtId="164" fontId="3" fillId="2" borderId="46" xfId="0" applyNumberFormat="1" applyFont="1" applyFill="1" applyBorder="1" applyAlignment="1">
      <alignment horizontal="center"/>
    </xf>
    <xf numFmtId="0" fontId="2" fillId="5" borderId="51" xfId="2" applyFont="1" applyFill="1" applyBorder="1" applyAlignment="1">
      <alignment horizontal="center"/>
    </xf>
    <xf numFmtId="164" fontId="11" fillId="2" borderId="43" xfId="0" applyNumberFormat="1" applyFont="1" applyFill="1" applyBorder="1" applyAlignment="1">
      <alignment horizontal="center"/>
    </xf>
    <xf numFmtId="164" fontId="11" fillId="2" borderId="44" xfId="0" applyNumberFormat="1" applyFont="1" applyFill="1" applyBorder="1" applyAlignment="1">
      <alignment horizontal="center"/>
    </xf>
    <xf numFmtId="164" fontId="11" fillId="2" borderId="46" xfId="0" applyNumberFormat="1" applyFont="1" applyFill="1" applyBorder="1" applyAlignment="1">
      <alignment horizontal="center"/>
    </xf>
    <xf numFmtId="164" fontId="3" fillId="2" borderId="44" xfId="0" quotePrefix="1" applyNumberFormat="1" applyFont="1" applyFill="1" applyBorder="1" applyAlignment="1">
      <alignment horizontal="center"/>
    </xf>
    <xf numFmtId="164" fontId="4" fillId="2" borderId="44" xfId="0" applyNumberFormat="1" applyFont="1" applyFill="1" applyBorder="1" applyAlignment="1">
      <alignment horizontal="center"/>
    </xf>
    <xf numFmtId="164" fontId="3" fillId="2" borderId="53" xfId="0" applyNumberFormat="1" applyFont="1" applyFill="1" applyBorder="1" applyAlignment="1">
      <alignment horizontal="center"/>
    </xf>
    <xf numFmtId="164" fontId="3" fillId="2" borderId="52" xfId="0" applyNumberFormat="1" applyFont="1" applyFill="1" applyBorder="1" applyAlignment="1">
      <alignment horizontal="center"/>
    </xf>
    <xf numFmtId="164" fontId="3" fillId="2" borderId="50" xfId="0" applyNumberFormat="1" applyFont="1" applyFill="1" applyBorder="1" applyAlignment="1">
      <alignment horizontal="center"/>
    </xf>
    <xf numFmtId="164" fontId="3" fillId="2" borderId="72" xfId="2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center"/>
    </xf>
    <xf numFmtId="164" fontId="3" fillId="2" borderId="55" xfId="0" applyNumberFormat="1" applyFont="1" applyFill="1" applyBorder="1" applyAlignment="1">
      <alignment horizontal="center"/>
    </xf>
    <xf numFmtId="164" fontId="3" fillId="2" borderId="60" xfId="0" applyNumberFormat="1" applyFont="1" applyFill="1" applyBorder="1" applyAlignment="1">
      <alignment horizontal="center"/>
    </xf>
    <xf numFmtId="0" fontId="12" fillId="3" borderId="0" xfId="2" applyFont="1" applyFill="1"/>
    <xf numFmtId="0" fontId="12" fillId="5" borderId="0" xfId="2" applyFont="1" applyFill="1"/>
    <xf numFmtId="0" fontId="13" fillId="3" borderId="0" xfId="2" applyFont="1" applyFill="1"/>
    <xf numFmtId="164" fontId="3" fillId="2" borderId="36" xfId="2" applyNumberFormat="1" applyFont="1" applyFill="1" applyBorder="1" applyAlignment="1">
      <alignment horizontal="center"/>
    </xf>
    <xf numFmtId="164" fontId="10" fillId="2" borderId="43" xfId="2" applyNumberFormat="1" applyFont="1" applyFill="1" applyBorder="1" applyAlignment="1">
      <alignment horizontal="center"/>
    </xf>
    <xf numFmtId="164" fontId="10" fillId="2" borderId="52" xfId="2" applyNumberFormat="1" applyFont="1" applyFill="1" applyBorder="1" applyAlignment="1">
      <alignment horizontal="center"/>
    </xf>
    <xf numFmtId="164" fontId="10" fillId="2" borderId="50" xfId="2" applyNumberFormat="1" applyFont="1" applyFill="1" applyBorder="1" applyAlignment="1">
      <alignment horizontal="center"/>
    </xf>
    <xf numFmtId="164" fontId="3" fillId="7" borderId="52" xfId="2" applyNumberFormat="1" applyFont="1" applyFill="1" applyBorder="1" applyAlignment="1">
      <alignment horizontal="center"/>
    </xf>
    <xf numFmtId="164" fontId="3" fillId="3" borderId="73" xfId="2" applyNumberFormat="1" applyFont="1" applyFill="1" applyBorder="1" applyAlignment="1">
      <alignment horizontal="center"/>
    </xf>
    <xf numFmtId="164" fontId="3" fillId="3" borderId="74" xfId="2" applyNumberFormat="1" applyFont="1" applyFill="1" applyBorder="1" applyAlignment="1">
      <alignment horizontal="center"/>
    </xf>
    <xf numFmtId="0" fontId="1" fillId="3" borderId="0" xfId="2" applyFont="1" applyFill="1"/>
    <xf numFmtId="0" fontId="1" fillId="3" borderId="16" xfId="2" applyFill="1" applyBorder="1"/>
    <xf numFmtId="0" fontId="3" fillId="3" borderId="16" xfId="2" applyFont="1" applyFill="1" applyBorder="1" applyAlignment="1">
      <alignment horizontal="center"/>
    </xf>
    <xf numFmtId="0" fontId="1" fillId="0" borderId="0" xfId="2" applyBorder="1"/>
    <xf numFmtId="0" fontId="11" fillId="3" borderId="51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center"/>
    </xf>
    <xf numFmtId="0" fontId="3" fillId="2" borderId="65" xfId="2" applyFont="1" applyFill="1" applyBorder="1" applyAlignment="1">
      <alignment horizontal="center"/>
    </xf>
    <xf numFmtId="164" fontId="3" fillId="2" borderId="75" xfId="2" applyNumberFormat="1" applyFont="1" applyFill="1" applyBorder="1" applyAlignment="1">
      <alignment horizontal="center"/>
    </xf>
    <xf numFmtId="164" fontId="3" fillId="2" borderId="66" xfId="2" applyNumberFormat="1" applyFont="1" applyFill="1" applyBorder="1" applyAlignment="1">
      <alignment horizontal="center"/>
    </xf>
    <xf numFmtId="0" fontId="3" fillId="2" borderId="76" xfId="2" applyFont="1" applyFill="1" applyBorder="1" applyAlignment="1">
      <alignment horizontal="center"/>
    </xf>
    <xf numFmtId="0" fontId="3" fillId="2" borderId="77" xfId="2" applyFont="1" applyFill="1" applyBorder="1" applyAlignment="1">
      <alignment horizontal="center"/>
    </xf>
    <xf numFmtId="164" fontId="11" fillId="2" borderId="44" xfId="2" applyNumberFormat="1" applyFont="1" applyFill="1" applyBorder="1" applyAlignment="1">
      <alignment horizontal="center"/>
    </xf>
    <xf numFmtId="164" fontId="10" fillId="2" borderId="44" xfId="2" applyNumberFormat="1" applyFont="1" applyFill="1" applyBorder="1" applyAlignment="1">
      <alignment horizontal="center"/>
    </xf>
    <xf numFmtId="165" fontId="10" fillId="3" borderId="39" xfId="2" applyNumberFormat="1" applyFont="1" applyFill="1" applyBorder="1" applyAlignment="1">
      <alignment horizontal="center"/>
    </xf>
    <xf numFmtId="164" fontId="10" fillId="3" borderId="35" xfId="2" applyNumberFormat="1" applyFont="1" applyFill="1" applyBorder="1" applyAlignment="1">
      <alignment horizontal="center"/>
    </xf>
    <xf numFmtId="2" fontId="10" fillId="3" borderId="37" xfId="2" applyNumberFormat="1" applyFont="1" applyFill="1" applyBorder="1" applyAlignment="1">
      <alignment horizontal="center"/>
    </xf>
    <xf numFmtId="2" fontId="10" fillId="3" borderId="38" xfId="2" applyNumberFormat="1" applyFont="1" applyFill="1" applyBorder="1" applyAlignment="1">
      <alignment horizontal="center"/>
    </xf>
    <xf numFmtId="2" fontId="10" fillId="3" borderId="39" xfId="2" applyNumberFormat="1" applyFont="1" applyFill="1" applyBorder="1" applyAlignment="1">
      <alignment horizontal="center"/>
    </xf>
    <xf numFmtId="164" fontId="10" fillId="3" borderId="49" xfId="2" applyNumberFormat="1" applyFont="1" applyFill="1" applyBorder="1" applyAlignment="1">
      <alignment horizontal="center"/>
    </xf>
    <xf numFmtId="0" fontId="10" fillId="2" borderId="77" xfId="2" applyFont="1" applyFill="1" applyBorder="1" applyAlignment="1">
      <alignment horizontal="center"/>
    </xf>
    <xf numFmtId="164" fontId="10" fillId="2" borderId="53" xfId="2" applyNumberFormat="1" applyFont="1" applyFill="1" applyBorder="1" applyAlignment="1">
      <alignment horizontal="center"/>
    </xf>
    <xf numFmtId="164" fontId="10" fillId="3" borderId="39" xfId="2" applyNumberFormat="1" applyFont="1" applyFill="1" applyBorder="1" applyAlignment="1">
      <alignment horizontal="center"/>
    </xf>
    <xf numFmtId="164" fontId="10" fillId="3" borderId="46" xfId="2" applyNumberFormat="1" applyFont="1" applyFill="1" applyBorder="1" applyAlignment="1">
      <alignment horizontal="center"/>
    </xf>
    <xf numFmtId="164" fontId="10" fillId="3" borderId="47" xfId="2" applyNumberFormat="1" applyFont="1" applyFill="1" applyBorder="1" applyAlignment="1">
      <alignment horizontal="center"/>
    </xf>
    <xf numFmtId="164" fontId="10" fillId="3" borderId="48" xfId="2" applyNumberFormat="1" applyFont="1" applyFill="1" applyBorder="1" applyAlignment="1">
      <alignment horizontal="center"/>
    </xf>
    <xf numFmtId="164" fontId="7" fillId="8" borderId="55" xfId="2" applyNumberFormat="1" applyFont="1" applyFill="1" applyBorder="1" applyAlignment="1">
      <alignment horizontal="center"/>
    </xf>
    <xf numFmtId="164" fontId="3" fillId="3" borderId="38" xfId="2" applyNumberFormat="1" applyFont="1" applyFill="1" applyBorder="1" applyAlignment="1">
      <alignment horizontal="center"/>
    </xf>
    <xf numFmtId="164" fontId="3" fillId="3" borderId="78" xfId="2" applyNumberFormat="1" applyFont="1" applyFill="1" applyBorder="1" applyAlignment="1">
      <alignment horizontal="center"/>
    </xf>
    <xf numFmtId="0" fontId="4" fillId="3" borderId="0" xfId="2" applyFont="1" applyFill="1" applyAlignment="1">
      <alignment horizontal="left"/>
    </xf>
    <xf numFmtId="0" fontId="10" fillId="3" borderId="0" xfId="2" applyFont="1" applyFill="1" applyAlignment="1">
      <alignment horizontal="center"/>
    </xf>
    <xf numFmtId="0" fontId="14" fillId="3" borderId="0" xfId="2" applyFont="1" applyFill="1"/>
    <xf numFmtId="0" fontId="6" fillId="3" borderId="79" xfId="2" applyFont="1" applyFill="1" applyBorder="1" applyAlignment="1">
      <alignment horizontal="center"/>
    </xf>
    <xf numFmtId="0" fontId="6" fillId="3" borderId="80" xfId="2" applyFont="1" applyFill="1" applyBorder="1" applyAlignment="1">
      <alignment horizontal="center"/>
    </xf>
    <xf numFmtId="164" fontId="3" fillId="2" borderId="31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81" xfId="2" applyNumberFormat="1" applyFont="1" applyFill="1" applyBorder="1" applyAlignment="1">
      <alignment horizontal="center"/>
    </xf>
    <xf numFmtId="164" fontId="11" fillId="2" borderId="35" xfId="2" applyNumberFormat="1" applyFont="1" applyFill="1" applyBorder="1" applyAlignment="1">
      <alignment horizontal="center"/>
    </xf>
    <xf numFmtId="164" fontId="3" fillId="2" borderId="82" xfId="2" applyNumberFormat="1" applyFont="1" applyFill="1" applyBorder="1" applyAlignment="1">
      <alignment horizontal="center"/>
    </xf>
    <xf numFmtId="164" fontId="3" fillId="2" borderId="45" xfId="2" applyNumberFormat="1" applyFont="1" applyFill="1" applyBorder="1" applyAlignment="1">
      <alignment horizontal="center"/>
    </xf>
    <xf numFmtId="164" fontId="10" fillId="2" borderId="35" xfId="2" applyNumberFormat="1" applyFont="1" applyFill="1" applyBorder="1" applyAlignment="1">
      <alignment horizontal="center"/>
    </xf>
    <xf numFmtId="164" fontId="3" fillId="2" borderId="83" xfId="2" applyNumberFormat="1" applyFont="1" applyFill="1" applyBorder="1" applyAlignment="1">
      <alignment horizontal="center"/>
    </xf>
    <xf numFmtId="164" fontId="3" fillId="2" borderId="84" xfId="2" applyNumberFormat="1" applyFont="1" applyFill="1" applyBorder="1" applyAlignment="1">
      <alignment horizontal="center"/>
    </xf>
    <xf numFmtId="0" fontId="3" fillId="2" borderId="72" xfId="2" applyFont="1" applyFill="1" applyBorder="1" applyAlignment="1">
      <alignment horizontal="center"/>
    </xf>
    <xf numFmtId="164" fontId="3" fillId="2" borderId="57" xfId="2" applyNumberFormat="1" applyFont="1" applyFill="1" applyBorder="1" applyAlignment="1">
      <alignment horizontal="center"/>
    </xf>
    <xf numFmtId="164" fontId="3" fillId="2" borderId="61" xfId="2" applyNumberFormat="1" applyFont="1" applyFill="1" applyBorder="1" applyAlignment="1">
      <alignment horizontal="center"/>
    </xf>
    <xf numFmtId="0" fontId="15" fillId="3" borderId="0" xfId="2" applyFont="1" applyFill="1"/>
    <xf numFmtId="164" fontId="3" fillId="3" borderId="36" xfId="2" applyNumberFormat="1" applyFont="1" applyFill="1" applyBorder="1" applyAlignment="1">
      <alignment horizontal="center"/>
    </xf>
    <xf numFmtId="164" fontId="3" fillId="3" borderId="85" xfId="2" applyNumberFormat="1" applyFont="1" applyFill="1" applyBorder="1" applyAlignment="1">
      <alignment horizontal="center"/>
    </xf>
    <xf numFmtId="164" fontId="3" fillId="3" borderId="86" xfId="2" applyNumberFormat="1" applyFont="1" applyFill="1" applyBorder="1" applyAlignment="1">
      <alignment horizontal="center"/>
    </xf>
    <xf numFmtId="0" fontId="3" fillId="9" borderId="77" xfId="2" applyFont="1" applyFill="1" applyBorder="1" applyAlignment="1">
      <alignment horizontal="center"/>
    </xf>
    <xf numFmtId="0" fontId="3" fillId="9" borderId="71" xfId="2" applyFont="1" applyFill="1" applyBorder="1" applyAlignment="1">
      <alignment horizontal="center"/>
    </xf>
    <xf numFmtId="164" fontId="3" fillId="2" borderId="87" xfId="2" applyNumberFormat="1" applyFont="1" applyFill="1" applyBorder="1" applyAlignment="1">
      <alignment horizontal="center"/>
    </xf>
    <xf numFmtId="164" fontId="3" fillId="3" borderId="67" xfId="2" applyNumberFormat="1" applyFont="1" applyFill="1" applyBorder="1" applyAlignment="1">
      <alignment horizontal="center"/>
    </xf>
    <xf numFmtId="0" fontId="3" fillId="3" borderId="0" xfId="2" applyFont="1" applyFill="1" applyBorder="1"/>
    <xf numFmtId="164" fontId="7" fillId="8" borderId="42" xfId="2" applyNumberFormat="1" applyFont="1" applyFill="1" applyBorder="1" applyAlignment="1">
      <alignment horizontal="center"/>
    </xf>
    <xf numFmtId="164" fontId="7" fillId="8" borderId="86" xfId="2" applyNumberFormat="1" applyFont="1" applyFill="1" applyBorder="1" applyAlignment="1">
      <alignment horizontal="center"/>
    </xf>
    <xf numFmtId="164" fontId="7" fillId="8" borderId="88" xfId="2" applyNumberFormat="1" applyFont="1" applyFill="1" applyBorder="1" applyAlignment="1">
      <alignment horizontal="center"/>
    </xf>
    <xf numFmtId="164" fontId="3" fillId="3" borderId="89" xfId="2" applyNumberFormat="1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164" fontId="3" fillId="8" borderId="42" xfId="2" applyNumberFormat="1" applyFont="1" applyFill="1" applyBorder="1" applyAlignment="1">
      <alignment horizontal="center"/>
    </xf>
    <xf numFmtId="164" fontId="3" fillId="3" borderId="13" xfId="2" applyNumberFormat="1" applyFont="1" applyFill="1" applyBorder="1" applyAlignment="1">
      <alignment horizontal="center"/>
    </xf>
    <xf numFmtId="164" fontId="3" fillId="8" borderId="86" xfId="2" applyNumberFormat="1" applyFont="1" applyFill="1" applyBorder="1" applyAlignment="1">
      <alignment horizontal="center"/>
    </xf>
    <xf numFmtId="164" fontId="3" fillId="3" borderId="90" xfId="2" applyNumberFormat="1" applyFont="1" applyFill="1" applyBorder="1" applyAlignment="1">
      <alignment horizontal="center"/>
    </xf>
    <xf numFmtId="164" fontId="3" fillId="8" borderId="88" xfId="2" applyNumberFormat="1" applyFont="1" applyFill="1" applyBorder="1" applyAlignment="1">
      <alignment horizontal="center"/>
    </xf>
    <xf numFmtId="164" fontId="3" fillId="3" borderId="91" xfId="2" applyNumberFormat="1" applyFont="1" applyFill="1" applyBorder="1" applyAlignment="1">
      <alignment horizontal="center"/>
    </xf>
    <xf numFmtId="0" fontId="5" fillId="3" borderId="0" xfId="2" applyFont="1" applyFill="1"/>
    <xf numFmtId="0" fontId="16" fillId="3" borderId="0" xfId="2" applyFont="1" applyFill="1" applyAlignment="1">
      <alignment horizontal="center"/>
    </xf>
    <xf numFmtId="0" fontId="17" fillId="3" borderId="0" xfId="2" applyFont="1" applyFill="1" applyAlignment="1">
      <alignment horizontal="left"/>
    </xf>
    <xf numFmtId="164" fontId="3" fillId="3" borderId="92" xfId="2" applyNumberFormat="1" applyFont="1" applyFill="1" applyBorder="1" applyAlignment="1">
      <alignment horizontal="center"/>
    </xf>
    <xf numFmtId="164" fontId="1" fillId="0" borderId="0" xfId="2" applyNumberFormat="1"/>
    <xf numFmtId="164" fontId="3" fillId="3" borderId="93" xfId="2" applyNumberFormat="1" applyFont="1" applyFill="1" applyBorder="1" applyAlignment="1">
      <alignment horizontal="center"/>
    </xf>
    <xf numFmtId="9" fontId="0" fillId="0" borderId="0" xfId="1" applyFont="1"/>
  </cellXfs>
  <cellStyles count="3">
    <cellStyle name="Normal" xfId="0" builtinId="0"/>
    <cellStyle name="Normal_01f1998a" xfId="2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Solar/so2025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rradiação solar - ano"/>
      <sheetName val="transmissão global - ano"/>
      <sheetName val="duração do brilho - ano"/>
      <sheetName val="insolação relativa - ano"/>
      <sheetName val="cálculos teóricos"/>
      <sheetName val="figura 1"/>
      <sheetName val="figura 2"/>
      <sheetName val="figura 3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>
            <v>13.432646455605028</v>
          </cell>
          <cell r="K3">
            <v>1.0433095476903587</v>
          </cell>
          <cell r="T3">
            <v>42.972554729067994</v>
          </cell>
        </row>
        <row r="4">
          <cell r="I4">
            <v>13.427083464038553</v>
          </cell>
          <cell r="K4">
            <v>1.0432689705391567</v>
          </cell>
          <cell r="T4">
            <v>42.957348831388643</v>
          </cell>
        </row>
        <row r="5">
          <cell r="I5">
            <v>13.420993894192648</v>
          </cell>
          <cell r="K5">
            <v>1.0432240147113081</v>
          </cell>
          <cell r="T5">
            <v>42.94007223550922</v>
          </cell>
        </row>
        <row r="6">
          <cell r="I6">
            <v>13.414382772748056</v>
          </cell>
          <cell r="K6">
            <v>1.0431745699304664</v>
          </cell>
          <cell r="T6">
            <v>42.920712814194886</v>
          </cell>
        </row>
        <row r="7">
          <cell r="I7">
            <v>13.40725552892793</v>
          </cell>
          <cell r="K7">
            <v>1.0431205173832472</v>
          </cell>
          <cell r="T7">
            <v>42.899257802114548</v>
          </cell>
        </row>
        <row r="8">
          <cell r="I8">
            <v>13.399617979654318</v>
          </cell>
          <cell r="K8">
            <v>1.0430617300197544</v>
          </cell>
          <cell r="T8">
            <v>42.875693838404729</v>
          </cell>
        </row>
        <row r="9">
          <cell r="I9">
            <v>13.391476313835456</v>
          </cell>
          <cell r="K9">
            <v>1.0429980728749551</v>
          </cell>
          <cell r="T9">
            <v>42.850007012169783</v>
          </cell>
        </row>
        <row r="10">
          <cell r="I10">
            <v>13.382837075865469</v>
          </cell>
          <cell r="K10">
            <v>1.0429294034098502</v>
          </cell>
          <cell r="T10">
            <v>42.822182910782871</v>
          </cell>
        </row>
        <row r="11">
          <cell r="I11">
            <v>13.373707148420571</v>
          </cell>
          <cell r="K11">
            <v>1.0428555718713279</v>
          </cell>
          <cell r="T11">
            <v>42.792206670842504</v>
          </cell>
        </row>
        <row r="12">
          <cell r="I12">
            <v>13.364093734637674</v>
          </cell>
          <cell r="K12">
            <v>1.0427764216695341</v>
          </cell>
          <cell r="T12">
            <v>42.760063031628945</v>
          </cell>
        </row>
        <row r="13">
          <cell r="I13">
            <v>13.354004339762858</v>
          </cell>
          <cell r="K13">
            <v>1.0426917897715424</v>
          </cell>
          <cell r="T13">
            <v>42.72573639089709</v>
          </cell>
        </row>
        <row r="14">
          <cell r="I14">
            <v>13.343446752357368</v>
          </cell>
          <cell r="K14">
            <v>1.0426015071100707</v>
          </cell>
          <cell r="T14">
            <v>42.689210862833292</v>
          </cell>
        </row>
        <row r="15">
          <cell r="I15">
            <v>13.332429025149247</v>
          </cell>
          <cell r="K15">
            <v>1.0425053990059436</v>
          </cell>
          <cell r="T15">
            <v>42.6504703379955</v>
          </cell>
        </row>
        <row r="16">
          <cell r="I16">
            <v>13.32095945561748</v>
          </cell>
          <cell r="K16">
            <v>1.0424032856029817</v>
          </cell>
          <cell r="T16">
            <v>42.609498545049341</v>
          </cell>
        </row>
        <row r="17">
          <cell r="I17">
            <v>13.309046566394962</v>
          </cell>
          <cell r="K17">
            <v>1.0422949823139649</v>
          </cell>
          <cell r="T17">
            <v>42.566279114105868</v>
          </cell>
        </row>
        <row r="18">
          <cell r="I18">
            <v>13.296699085574138</v>
          </cell>
          <cell r="K18">
            <v>1.0421803002763004</v>
          </cell>
          <cell r="T18">
            <v>42.520795641460737</v>
          </cell>
        </row>
        <row r="19">
          <cell r="I19">
            <v>13.283925926997437</v>
          </cell>
          <cell r="K19">
            <v>1.0420590468160129</v>
          </cell>
          <cell r="T19">
            <v>42.473031755529334</v>
          </cell>
        </row>
        <row r="20">
          <cell r="I20">
            <v>13.270736170611478</v>
          </cell>
          <cell r="K20">
            <v>1.0419310259186705</v>
          </cell>
          <cell r="T20">
            <v>42.422971183768496</v>
          </cell>
        </row>
        <row r="21">
          <cell r="I21">
            <v>13.257139042960983</v>
          </cell>
          <cell r="K21">
            <v>1.0417960387058549</v>
          </cell>
          <cell r="T21">
            <v>42.370597820371522</v>
          </cell>
        </row>
        <row r="22">
          <cell r="I22">
            <v>13.243143897894775</v>
          </cell>
          <cell r="K22">
            <v>1.0416538839157914</v>
          </cell>
          <cell r="T22">
            <v>42.315895794520593</v>
          </cell>
        </row>
        <row r="23">
          <cell r="I23">
            <v>13.228760197552258</v>
          </cell>
          <cell r="K23">
            <v>1.0415043583867623</v>
          </cell>
          <cell r="T23">
            <v>42.258849538979433</v>
          </cell>
        </row>
        <row r="24">
          <cell r="I24">
            <v>13.213997493694729</v>
          </cell>
          <cell r="K24">
            <v>1.0413472575419567</v>
          </cell>
          <cell r="T24">
            <v>42.199443858808038</v>
          </cell>
        </row>
        <row r="25">
          <cell r="I25">
            <v>13.198865409441321</v>
          </cell>
          <cell r="K25">
            <v>1.041182375874407</v>
          </cell>
          <cell r="T25">
            <v>42.137663999981427</v>
          </cell>
        </row>
        <row r="26">
          <cell r="I26">
            <v>13.183373621464895</v>
          </cell>
          <cell r="K26">
            <v>1.0410095074307182</v>
          </cell>
          <cell r="T26">
            <v>42.073495717695977</v>
          </cell>
        </row>
        <row r="27">
          <cell r="I27">
            <v>13.16753184269853</v>
          </cell>
          <cell r="K27">
            <v>1.0408284462923059</v>
          </cell>
          <cell r="T27">
            <v>42.006925344148755</v>
          </cell>
        </row>
        <row r="28">
          <cell r="I28">
            <v>13.151349805598334</v>
          </cell>
          <cell r="K28">
            <v>1.0406389870529105</v>
          </cell>
          <cell r="T28">
            <v>41.937939855578989</v>
          </cell>
        </row>
        <row r="29">
          <cell r="I29">
            <v>13.134837246003574</v>
          </cell>
          <cell r="K29">
            <v>1.040440925291195</v>
          </cell>
          <cell r="T29">
            <v>41.866526938364217</v>
          </cell>
        </row>
        <row r="30">
          <cell r="I30">
            <v>13.118003887630318</v>
          </cell>
          <cell r="K30">
            <v>1.0402340580372698</v>
          </cell>
          <cell r="T30">
            <v>41.792675053969653</v>
          </cell>
        </row>
        <row r="31">
          <cell r="I31">
            <v>13.100859427229913</v>
          </cell>
          <cell r="K31">
            <v>1.0400181842320544</v>
          </cell>
          <cell r="T31">
            <v>41.716373502555001</v>
          </cell>
        </row>
        <row r="32">
          <cell r="I32">
            <v>13.083413520438963</v>
          </cell>
          <cell r="K32">
            <v>1.0397931051784299</v>
          </cell>
          <cell r="T32">
            <v>41.637612485050042</v>
          </cell>
        </row>
        <row r="33">
          <cell r="I33">
            <v>13.065675768342954</v>
          </cell>
          <cell r="K33">
            <v>1.0395586249831952</v>
          </cell>
          <cell r="T33">
            <v>41.556383163518021</v>
          </cell>
        </row>
        <row r="34">
          <cell r="I34">
            <v>13.047655704771071</v>
          </cell>
          <cell r="K34">
            <v>1.0393145509889044</v>
          </cell>
          <cell r="T34">
            <v>41.472677719635314</v>
          </cell>
        </row>
        <row r="35">
          <cell r="I35">
            <v>13.029362784335678</v>
          </cell>
          <cell r="K35">
            <v>1.03906069419472</v>
          </cell>
          <cell r="T35">
            <v>41.386489411124131</v>
          </cell>
        </row>
        <row r="36">
          <cell r="I36">
            <v>13.010806371225611</v>
          </cell>
          <cell r="K36">
            <v>1.038796869665491</v>
          </cell>
          <cell r="T36">
            <v>41.297812625986587</v>
          </cell>
        </row>
        <row r="37">
          <cell r="I37">
            <v>12.991995728758745</v>
          </cell>
          <cell r="K37">
            <v>1.0385228969283236</v>
          </cell>
          <cell r="T37">
            <v>41.206642934398403</v>
          </cell>
        </row>
        <row r="38">
          <cell r="I38">
            <v>12.972940009695547</v>
          </cell>
          <cell r="K38">
            <v>1.0382386003559865</v>
          </cell>
          <cell r="T38">
            <v>41.112977138132415</v>
          </cell>
        </row>
        <row r="39">
          <cell r="I39">
            <v>12.953648247311923</v>
          </cell>
          <cell r="K39">
            <v>1.0379438095365645</v>
          </cell>
          <cell r="T39">
            <v>41.016813317393655</v>
          </cell>
        </row>
        <row r="40">
          <cell r="I40">
            <v>12.934129347226488</v>
          </cell>
          <cell r="K40">
            <v>1.037638359628839</v>
          </cell>
          <cell r="T40">
            <v>40.9181508749611</v>
          </cell>
        </row>
        <row r="41">
          <cell r="I41">
            <v>12.914392079974427</v>
          </cell>
          <cell r="K41">
            <v>1.0373220917029544</v>
          </cell>
          <cell r="T41">
            <v>40.816990577542512</v>
          </cell>
        </row>
        <row r="42">
          <cell r="I42">
            <v>12.894445074317558</v>
          </cell>
          <cell r="K42">
            <v>1.0369948530659916</v>
          </cell>
          <cell r="T42">
            <v>40.713334594263301</v>
          </cell>
        </row>
        <row r="43">
          <cell r="I43">
            <v>12.874296811277606</v>
          </cell>
          <cell r="K43">
            <v>1.0366564975721508</v>
          </cell>
          <cell r="T43">
            <v>40.607186532222627</v>
          </cell>
        </row>
        <row r="44">
          <cell r="I44">
            <v>12.853955618877693</v>
          </cell>
          <cell r="K44">
            <v>1.0363068859173084</v>
          </cell>
          <cell r="T44">
            <v>40.49855146906372</v>
          </cell>
        </row>
        <row r="45">
          <cell r="I45">
            <v>12.833429667575025</v>
          </cell>
          <cell r="K45">
            <v>1.0359458859177855</v>
          </cell>
          <cell r="T45">
            <v>40.387435982518646</v>
          </cell>
        </row>
        <row r="46">
          <cell r="I46">
            <v>12.812726966366139</v>
          </cell>
          <cell r="K46">
            <v>1.0355733727732386</v>
          </cell>
          <cell r="T46">
            <v>40.273848176901005</v>
          </cell>
        </row>
        <row r="47">
          <cell r="I47">
            <v>12.791855359544524</v>
          </cell>
          <cell r="K47">
            <v>1.0351892293136391</v>
          </cell>
          <cell r="T47">
            <v>40.157797706533401</v>
          </cell>
        </row>
        <row r="48">
          <cell r="I48">
            <v>12.770822524089397</v>
          </cell>
          <cell r="K48">
            <v>1.0347933462303829</v>
          </cell>
          <cell r="T48">
            <v>40.03929579610913</v>
          </cell>
        </row>
        <row r="49">
          <cell r="I49">
            <v>12.749635967663192</v>
          </cell>
          <cell r="K49">
            <v>1.0343856222916303</v>
          </cell>
          <cell r="T49">
            <v>39.918355258000474</v>
          </cell>
        </row>
        <row r="50">
          <cell r="I50">
            <v>12.728303027194645</v>
          </cell>
          <cell r="K50">
            <v>1.0339659645420316</v>
          </cell>
          <cell r="T50">
            <v>39.794990506538213</v>
          </cell>
        </row>
        <row r="51">
          <cell r="I51">
            <v>12.706830868023706</v>
          </cell>
          <cell r="K51">
            <v>1.0335342884870602</v>
          </cell>
          <cell r="T51">
            <v>39.669217569298148</v>
          </cell>
        </row>
        <row r="52">
          <cell r="I52">
            <v>12.685226483584112</v>
          </cell>
          <cell r="K52">
            <v>1.033090518262219</v>
          </cell>
          <cell r="T52">
            <v>39.54105409544276</v>
          </cell>
        </row>
        <row r="53">
          <cell r="I53">
            <v>12.663496695599086</v>
          </cell>
          <cell r="K53">
            <v>1.0326345867874447</v>
          </cell>
          <cell r="T53">
            <v>39.410519361176185</v>
          </cell>
        </row>
        <row r="54">
          <cell r="I54">
            <v>12.641648154765646</v>
          </cell>
          <cell r="K54">
            <v>1.032166435907075</v>
          </cell>
          <cell r="T54">
            <v>39.277634272380226</v>
          </cell>
        </row>
        <row r="55">
          <cell r="I55">
            <v>12.619687341902916</v>
          </cell>
          <cell r="K55">
            <v>1.0316860165157933</v>
          </cell>
          <cell r="T55">
            <v>39.142421364509971</v>
          </cell>
        </row>
        <row r="56">
          <cell r="I56">
            <v>12.597620569540034</v>
          </cell>
          <cell r="K56">
            <v>1.0311932886709996</v>
          </cell>
          <cell r="T56">
            <v>39.004904799834748</v>
          </cell>
        </row>
        <row r="57">
          <cell r="I57">
            <v>12.575453983919491</v>
          </cell>
          <cell r="K57">
            <v>1.0306882216920989</v>
          </cell>
          <cell r="T57">
            <v>38.865110362118791</v>
          </cell>
        </row>
        <row r="58">
          <cell r="I58">
            <v>12.553193567392162</v>
          </cell>
          <cell r="K58">
            <v>1.0301707942472205</v>
          </cell>
          <cell r="T58">
            <v>38.723065448843045</v>
          </cell>
        </row>
        <row r="59">
          <cell r="I59">
            <v>12.530845141180563</v>
          </cell>
          <cell r="K59">
            <v>1.0296409944279203</v>
          </cell>
          <cell r="T59">
            <v>38.578799061075529</v>
          </cell>
        </row>
        <row r="60">
          <cell r="I60">
            <v>12.508414368487685</v>
          </cell>
          <cell r="K60">
            <v>1.0290988198124356</v>
          </cell>
          <cell r="T60">
            <v>38.432341791103383</v>
          </cell>
        </row>
        <row r="61">
          <cell r="I61">
            <v>12.485906757928969</v>
          </cell>
          <cell r="K61">
            <v>1.0285442775180771</v>
          </cell>
          <cell r="T61">
            <v>38.283725807943732</v>
          </cell>
        </row>
        <row r="63">
          <cell r="I63">
            <v>12.463327667266025</v>
          </cell>
          <cell r="K63">
            <v>1.0279773842433713</v>
          </cell>
          <cell r="T63">
            <v>38.132984840855237</v>
          </cell>
        </row>
        <row r="64">
          <cell r="I64">
            <v>12.440682307421085</v>
          </cell>
          <cell r="K64">
            <v>1.027398166300562</v>
          </cell>
          <cell r="T64">
            <v>37.980154160973754</v>
          </cell>
        </row>
        <row r="65">
          <cell r="I65">
            <v>12.417975746751987</v>
          </cell>
          <cell r="K65">
            <v>1.0268066596390977</v>
          </cell>
          <cell r="T65">
            <v>37.825270561198415</v>
          </cell>
        </row>
        <row r="66">
          <cell r="I66">
            <v>12.395212915568337</v>
          </cell>
          <cell r="K66">
            <v>1.0262029098607273</v>
          </cell>
          <cell r="T66">
            <v>37.668372334455164</v>
          </cell>
        </row>
        <row r="67">
          <cell r="I67">
            <v>12.372398610870075</v>
          </cell>
          <cell r="K67">
            <v>1.0255869722268318</v>
          </cell>
          <cell r="T67">
            <v>37.509499250465367</v>
          </cell>
        </row>
        <row r="68">
          <cell r="I68">
            <v>12.349537501290623</v>
          </cell>
          <cell r="K68">
            <v>1.0249589116586053</v>
          </cell>
          <cell r="T68">
            <v>37.348692531146071</v>
          </cell>
        </row>
        <row r="69">
          <cell r="I69">
            <v>12.326634132227381</v>
          </cell>
          <cell r="K69">
            <v>1.0243188027306998</v>
          </cell>
          <cell r="T69">
            <v>37.185994824767818</v>
          </cell>
        </row>
        <row r="70">
          <cell r="I70">
            <v>12.303692931143221</v>
          </cell>
          <cell r="K70">
            <v>1.023666729658925</v>
          </cell>
          <cell r="T70">
            <v>37.021450178993661</v>
          </cell>
        </row>
        <row r="71">
          <cell r="I71">
            <v>12.280718213023388</v>
          </cell>
          <cell r="K71">
            <v>1.0230027862825883</v>
          </cell>
          <cell r="T71">
            <v>36.855104012919824</v>
          </cell>
        </row>
        <row r="72">
          <cell r="I72">
            <v>12.25771418597288</v>
          </cell>
          <cell r="K72">
            <v>1.0223270760420269</v>
          </cell>
          <cell r="T72">
            <v>36.687003088236096</v>
          </cell>
        </row>
        <row r="73">
          <cell r="I73">
            <v>12.234684956940034</v>
          </cell>
          <cell r="K73">
            <v>1.0216397119518779</v>
          </cell>
          <cell r="T73">
            <v>36.517195479618834</v>
          </cell>
        </row>
        <row r="74">
          <cell r="I74">
            <v>12.211634537553067</v>
          </cell>
          <cell r="K74">
            <v>1.0209408165705878</v>
          </cell>
          <cell r="T74">
            <v>36.345730544465582</v>
          </cell>
        </row>
        <row r="75">
          <cell r="I75">
            <v>12.1885668500564</v>
          </cell>
          <cell r="K75">
            <v>1.0202305219666468</v>
          </cell>
          <cell r="T75">
            <v>36.172658892075304</v>
          </cell>
        </row>
        <row r="76">
          <cell r="I76">
            <v>12.165485733334812</v>
          </cell>
          <cell r="K76">
            <v>1.0195089696819948</v>
          </cell>
          <cell r="T76">
            <v>35.998032352371688</v>
          </cell>
        </row>
        <row r="77">
          <cell r="I77">
            <v>12.142394949013712</v>
          </cell>
          <cell r="K77">
            <v>1.0187763106930137</v>
          </cell>
          <cell r="T77">
            <v>35.82190394426226</v>
          </cell>
        </row>
        <row r="78">
          <cell r="I78">
            <v>12.119298187624363</v>
          </cell>
          <cell r="K78">
            <v>1.018032705369482</v>
          </cell>
          <cell r="T78">
            <v>35.644327843718507</v>
          </cell>
        </row>
        <row r="79">
          <cell r="I79">
            <v>12.096199074823641</v>
          </cell>
          <cell r="K79">
            <v>1.0172783234318352</v>
          </cell>
          <cell r="T79">
            <v>35.465359351656311</v>
          </cell>
        </row>
        <row r="80">
          <cell r="I80">
            <v>12.073101177658092</v>
          </cell>
          <cell r="K80">
            <v>1.016513343907022</v>
          </cell>
          <cell r="T80">
            <v>35.285054861688451</v>
          </cell>
        </row>
        <row r="81">
          <cell r="I81">
            <v>12.050008010862662</v>
          </cell>
          <cell r="K81">
            <v>1.0157379550832217</v>
          </cell>
          <cell r="T81">
            <v>35.103471827814516</v>
          </cell>
        </row>
        <row r="82">
          <cell r="I82">
            <v>12.026923043184821</v>
          </cell>
          <cell r="K82">
            <v>1.0149523544636272</v>
          </cell>
          <cell r="T82">
            <v>34.920668732105412</v>
          </cell>
        </row>
        <row r="83">
          <cell r="I83">
            <v>12.003849703725068</v>
          </cell>
          <cell r="K83">
            <v>1.0141567487194687</v>
          </cell>
          <cell r="T83">
            <v>34.736705052432924</v>
          </cell>
        </row>
        <row r="84">
          <cell r="I84">
            <v>11.980791388285134</v>
          </cell>
          <cell r="K84">
            <v>1.0133513536423984</v>
          </cell>
          <cell r="T84">
            <v>34.551641230287451</v>
          </cell>
        </row>
        <row r="85">
          <cell r="I85">
            <v>11.957751465715512</v>
          </cell>
          <cell r="K85">
            <v>1.0125363940963121</v>
          </cell>
          <cell r="T85">
            <v>34.36553863871918</v>
          </cell>
        </row>
        <row r="86">
          <cell r="I86">
            <v>11.934733284254012</v>
          </cell>
          <cell r="K86">
            <v>1.011712103968645</v>
          </cell>
          <cell r="T86">
            <v>34.1784595504311</v>
          </cell>
        </row>
        <row r="87">
          <cell r="I87">
            <v>11.911740177847248</v>
          </cell>
          <cell r="K87">
            <v>1.0108787261211196</v>
          </cell>
          <cell r="T87">
            <v>33.990467106044939</v>
          </cell>
        </row>
        <row r="88">
          <cell r="I88">
            <v>11.888775472447131</v>
          </cell>
          <cell r="K88">
            <v>1.010036512339894</v>
          </cell>
          <cell r="T88">
            <v>33.801625282554461</v>
          </cell>
        </row>
        <row r="89">
          <cell r="I89">
            <v>11.865842492274421</v>
          </cell>
          <cell r="K89">
            <v>1.0091857232849979</v>
          </cell>
          <cell r="T89">
            <v>33.61199886197312</v>
          </cell>
        </row>
        <row r="90">
          <cell r="I90">
            <v>11.842944566041432</v>
          </cell>
          <cell r="K90">
            <v>1.0083266284389116</v>
          </cell>
          <cell r="T90">
            <v>33.421653400177576</v>
          </cell>
        </row>
        <row r="91">
          <cell r="I91">
            <v>11.820085033125993</v>
          </cell>
          <cell r="K91">
            <v>1.0074595060540923</v>
          </cell>
          <cell r="T91">
            <v>33.230655195941289</v>
          </cell>
        </row>
        <row r="92">
          <cell r="I92">
            <v>11.797267249688634</v>
          </cell>
          <cell r="K92">
            <v>1.0065846430992109</v>
          </cell>
          <cell r="T92">
            <v>33.03907126014785</v>
          </cell>
        </row>
        <row r="93">
          <cell r="I93">
            <v>11.774494594725017</v>
          </cell>
          <cell r="K93">
            <v>1.0057023352038255</v>
          </cell>
          <cell r="T93">
            <v>32.846969285166935</v>
          </cell>
        </row>
        <row r="94">
          <cell r="I94">
            <v>11.751770476045246</v>
          </cell>
          <cell r="K94">
            <v>1.0048128866011701</v>
          </cell>
          <cell r="T94">
            <v>32.65441761437198</v>
          </cell>
        </row>
        <row r="95">
          <cell r="I95">
            <v>11.729098336171763</v>
          </cell>
          <cell r="K95">
            <v>1.0039166100687127</v>
          </cell>
          <cell r="T95">
            <v>32.461485211773081</v>
          </cell>
        </row>
        <row r="96">
          <cell r="I96">
            <v>11.706481658147139</v>
          </cell>
          <cell r="K96">
            <v>1.003013826866084</v>
          </cell>
          <cell r="T96">
            <v>32.268241631734995</v>
          </cell>
        </row>
        <row r="97">
          <cell r="I97">
            <v>11.683923971242983</v>
          </cell>
          <cell r="K97">
            <v>1.0021048666699626</v>
          </cell>
          <cell r="T97">
            <v>32.074756988746543</v>
          </cell>
        </row>
        <row r="98">
          <cell r="I98">
            <v>11.661428856560702</v>
          </cell>
          <cell r="K98">
            <v>1.0011900675054584</v>
          </cell>
          <cell r="T98">
            <v>31.881101927204124</v>
          </cell>
        </row>
        <row r="99">
          <cell r="I99">
            <v>11.638999952514853</v>
          </cell>
          <cell r="K99">
            <v>1.0002697756735133</v>
          </cell>
          <cell r="T99">
            <v>31.687347591169619</v>
          </cell>
        </row>
        <row r="100">
          <cell r="I100">
            <v>11.616640960189132</v>
          </cell>
          <cell r="K100">
            <v>0.99934434567381758</v>
          </cell>
          <cell r="T100">
            <v>31.493565594061103</v>
          </cell>
        </row>
        <row r="101">
          <cell r="I101">
            <v>11.594355648555021</v>
          </cell>
          <cell r="K101">
            <v>0.99841414012270413</v>
          </cell>
          <cell r="T101">
            <v>31.299827988232465</v>
          </cell>
        </row>
        <row r="102">
          <cell r="I102">
            <v>11.5721478595426</v>
          </cell>
          <cell r="K102">
            <v>0.99747952966548015</v>
          </cell>
          <cell r="T102">
            <v>31.106207234397623</v>
          </cell>
        </row>
        <row r="103">
          <cell r="I103">
            <v>11.55002151295256</v>
          </cell>
          <cell r="K103">
            <v>0.99654089288262615</v>
          </cell>
          <cell r="T103">
            <v>30.912776170854091</v>
          </cell>
        </row>
        <row r="104">
          <cell r="I104">
            <v>11.527980611198263</v>
          </cell>
          <cell r="K104">
            <v>0.99559861618928736</v>
          </cell>
          <cell r="T104">
            <v>30.719607982460538</v>
          </cell>
        </row>
        <row r="105">
          <cell r="I105">
            <v>11.506029243866161</v>
          </cell>
          <cell r="K105">
            <v>0.99465309372746913</v>
          </cell>
          <cell r="T105">
            <v>30.526776169323703</v>
          </cell>
        </row>
        <row r="106">
          <cell r="I106">
            <v>11.484171592082447</v>
          </cell>
          <cell r="K106">
            <v>0.9937047272503452</v>
          </cell>
          <cell r="T106">
            <v>30.334354515150523</v>
          </cell>
        </row>
        <row r="107">
          <cell r="I107">
            <v>11.462411932673533</v>
          </cell>
          <cell r="K107">
            <v>0.99275392599807921</v>
          </cell>
          <cell r="T107">
            <v>30.142417055223362</v>
          </cell>
        </row>
        <row r="108">
          <cell r="I108">
            <v>11.440754642107416</v>
          </cell>
          <cell r="K108">
            <v>0.99180110656457066</v>
          </cell>
          <cell r="T108">
            <v>29.951038043957332</v>
          </cell>
        </row>
        <row r="109">
          <cell r="I109">
            <v>11.419204200202659</v>
          </cell>
          <cell r="K109">
            <v>0.99084669275453241</v>
          </cell>
          <cell r="T109">
            <v>29.760291922001649</v>
          </cell>
        </row>
        <row r="110">
          <cell r="I110">
            <v>11.397765193591368</v>
          </cell>
          <cell r="K110">
            <v>0.9898911154303186</v>
          </cell>
          <cell r="T110">
            <v>29.570253282849443</v>
          </cell>
        </row>
        <row r="111">
          <cell r="I111">
            <v>11.376442318922143</v>
          </cell>
          <cell r="K111">
            <v>0.98893481234793812</v>
          </cell>
          <cell r="T111">
            <v>29.380996838923444</v>
          </cell>
        </row>
        <row r="112">
          <cell r="I112">
            <v>11.355240385788584</v>
          </cell>
          <cell r="K112">
            <v>0.9879782279816971</v>
          </cell>
          <cell r="T112">
            <v>29.192597387108517</v>
          </cell>
        </row>
        <row r="113">
          <cell r="I113">
            <v>11.334164319368824</v>
          </cell>
          <cell r="K113">
            <v>0.98702181333694017</v>
          </cell>
          <cell r="T113">
            <v>29.005129773706106</v>
          </cell>
        </row>
        <row r="114">
          <cell r="I114">
            <v>11.313219162761063</v>
          </cell>
          <cell r="K114">
            <v>0.98606602575038249</v>
          </cell>
          <cell r="T114">
            <v>28.818668858789103</v>
          </cell>
        </row>
        <row r="115">
          <cell r="I115">
            <v>11.292410079000071</v>
          </cell>
          <cell r="K115">
            <v>0.98511132867754536</v>
          </cell>
          <cell r="T115">
            <v>28.633289479940686</v>
          </cell>
        </row>
        <row r="116">
          <cell r="I116">
            <v>11.27174235273929</v>
          </cell>
          <cell r="K116">
            <v>0.98415819146685024</v>
          </cell>
          <cell r="T116">
            <v>28.449066415364875</v>
          </cell>
        </row>
        <row r="117">
          <cell r="I117">
            <v>11.251221391583176</v>
          </cell>
          <cell r="K117">
            <v>0.98320708911994803</v>
          </cell>
          <cell r="T117">
            <v>28.266074346361314</v>
          </cell>
        </row>
        <row r="118">
          <cell r="I118">
            <v>11.230852727054316</v>
          </cell>
          <cell r="K118">
            <v>0.98225850203790688</v>
          </cell>
          <cell r="T118">
            <v>28.08438781916194</v>
          </cell>
        </row>
        <row r="119">
          <cell r="I119">
            <v>11.210642015179907</v>
          </cell>
          <cell r="K119">
            <v>0.98131291575291579</v>
          </cell>
          <cell r="T119">
            <v>27.904081206131991</v>
          </cell>
        </row>
        <row r="120">
          <cell r="I120">
            <v>11.190595036682291</v>
          </cell>
          <cell r="K120">
            <v>0.98037082064520997</v>
          </cell>
          <cell r="T120">
            <v>27.725228666343192</v>
          </cell>
        </row>
        <row r="121">
          <cell r="I121">
            <v>11.170717696758381</v>
          </cell>
          <cell r="K121">
            <v>0.97943271164497014</v>
          </cell>
          <cell r="T121">
            <v>27.547904105531607</v>
          </cell>
        </row>
        <row r="122">
          <cell r="I122">
            <v>11.15101602443325</v>
          </cell>
          <cell r="K122">
            <v>0.97849908791898976</v>
          </cell>
          <cell r="T122">
            <v>27.372181135458487</v>
          </cell>
        </row>
        <row r="123">
          <cell r="I123">
            <v>11.131496171473273</v>
          </cell>
          <cell r="K123">
            <v>0.97757045254197084</v>
          </cell>
          <cell r="T123">
            <v>27.198133032696809</v>
          </cell>
        </row>
        <row r="124">
          <cell r="I124">
            <v>11.112164410845079</v>
          </cell>
          <cell r="K124">
            <v>0.97664731215234668</v>
          </cell>
          <cell r="T124">
            <v>27.025832696871763</v>
          </cell>
        </row>
        <row r="125">
          <cell r="I125">
            <v>11.093027134706757</v>
          </cell>
          <cell r="K125">
            <v>0.97573017659260319</v>
          </cell>
          <cell r="T125">
            <v>26.855352608387982</v>
          </cell>
        </row>
        <row r="126">
          <cell r="I126">
            <v>11.074090851918852</v>
          </cell>
          <cell r="K126">
            <v>0.97481955853411284</v>
          </cell>
          <cell r="T126">
            <v>26.686764785681291</v>
          </cell>
        </row>
        <row r="127">
          <cell r="I127">
            <v>11.055362185063325</v>
          </cell>
          <cell r="K127">
            <v>0.97391597308657185</v>
          </cell>
          <cell r="T127">
            <v>26.520140742037025</v>
          </cell>
        </row>
        <row r="128">
          <cell r="I128">
            <v>11.036847866959667</v>
          </cell>
          <cell r="K128">
            <v>0.97301993739218018</v>
          </cell>
          <cell r="T128">
            <v>26.355551442021564</v>
          </cell>
        </row>
        <row r="129">
          <cell r="I129">
            <v>11.018554736668527</v>
          </cell>
          <cell r="K129">
            <v>0.97213197020477449</v>
          </cell>
          <cell r="T129">
            <v>26.193067257577663</v>
          </cell>
        </row>
        <row r="130">
          <cell r="I130">
            <v>11.000489734974462</v>
          </cell>
          <cell r="K130">
            <v>0.97125259145418985</v>
          </cell>
          <cell r="T130">
            <v>26.032757923837824</v>
          </cell>
        </row>
        <row r="131">
          <cell r="I131">
            <v>10.982659899340732</v>
          </cell>
          <cell r="K131">
            <v>0.97038232179618111</v>
          </cell>
          <cell r="T131">
            <v>25.874692494713734</v>
          </cell>
        </row>
        <row r="132">
          <cell r="I132">
            <v>10.965072358330648</v>
          </cell>
          <cell r="K132">
            <v>0.96952168214831635</v>
          </cell>
          <cell r="T132">
            <v>25.718939298322645</v>
          </cell>
        </row>
        <row r="133">
          <cell r="I133">
            <v>10.947734325491757</v>
          </cell>
          <cell r="K133">
            <v>0.96867119321230488</v>
          </cell>
          <cell r="T133">
            <v>25.565565892314495</v>
          </cell>
        </row>
        <row r="134">
          <cell r="I134">
            <v>10.930653092700721</v>
          </cell>
          <cell r="K134">
            <v>0.9678313749832993</v>
          </cell>
          <cell r="T134">
            <v>25.414639019166131</v>
          </cell>
        </row>
        <row r="135">
          <cell r="I135">
            <v>10.913836022969011</v>
          </cell>
          <cell r="K135">
            <v>0.96700274624676985</v>
          </cell>
          <cell r="T135">
            <v>25.26622456151059</v>
          </cell>
        </row>
        <row r="136">
          <cell r="I136">
            <v>10.897290542711382</v>
          </cell>
          <cell r="K136">
            <v>0.96618582406361775</v>
          </cell>
          <cell r="T136">
            <v>25.120387497571706</v>
          </cell>
        </row>
        <row r="137">
          <cell r="I137">
            <v>10.881024133481446</v>
          </cell>
          <cell r="K137">
            <v>0.96538112324425585</v>
          </cell>
          <cell r="T137">
            <v>24.977191856775008</v>
          </cell>
        </row>
        <row r="138">
          <cell r="I138">
            <v>10.865044323181046</v>
          </cell>
          <cell r="K138">
            <v>0.96458915581244764</v>
          </cell>
          <cell r="T138">
            <v>24.836700675606831</v>
          </cell>
        </row>
        <row r="139">
          <cell r="I139">
            <v>10.849358676752436</v>
          </cell>
          <cell r="K139">
            <v>0.96381043045975534</v>
          </cell>
          <cell r="T139">
            <v>24.698975953794339</v>
          </cell>
        </row>
        <row r="140">
          <cell r="I140">
            <v>10.833974786365069</v>
          </cell>
          <cell r="K140">
            <v>0.96304545199151148</v>
          </cell>
          <cell r="T140">
            <v>24.564078610878632</v>
          </cell>
        </row>
        <row r="141">
          <cell r="I141">
            <v>10.818900261111278</v>
          </cell>
          <cell r="K141">
            <v>0.96229472076527511</v>
          </cell>
          <cell r="T141">
            <v>24.432068443253335</v>
          </cell>
        </row>
        <row r="142">
          <cell r="I142">
            <v>10.804142716228</v>
          </cell>
          <cell r="K142">
            <v>0.96155873212279996</v>
          </cell>
          <cell r="T142">
            <v>24.3030040817398</v>
          </cell>
        </row>
        <row r="143">
          <cell r="I143">
            <v>10.78970976186449</v>
          </cell>
          <cell r="K143">
            <v>0.9608379758165817</v>
          </cell>
          <cell r="T143">
            <v>24.176942949769266</v>
          </cell>
        </row>
        <row r="144">
          <cell r="I144">
            <v>10.775608991418745</v>
          </cell>
          <cell r="K144">
            <v>0.96013293543210909</v>
          </cell>
          <cell r="T144">
            <v>24.053941222240866</v>
          </cell>
        </row>
        <row r="145">
          <cell r="I145">
            <v>10.761847969468413</v>
          </cell>
          <cell r="K145">
            <v>0.95944408780698176</v>
          </cell>
          <cell r="T145">
            <v>23.934053785122181</v>
          </cell>
        </row>
        <row r="146">
          <cell r="I146">
            <v>10.748434219324782</v>
          </cell>
          <cell r="K146">
            <v>0.95877190244810251</v>
          </cell>
          <cell r="T146">
            <v>23.81733419585737</v>
          </cell>
        </row>
        <row r="147">
          <cell r="I147">
            <v>10.735375210241287</v>
          </cell>
          <cell r="K147">
            <v>0.95811684094818839</v>
          </cell>
          <cell r="T147">
            <v>23.703834644645326</v>
          </cell>
        </row>
        <row r="148">
          <cell r="I148">
            <v>10.722678344310896</v>
          </cell>
          <cell r="K148">
            <v>0.95747935640287785</v>
          </cell>
          <cell r="T148">
            <v>23.593605916647533</v>
          </cell>
        </row>
        <row r="149">
          <cell r="I149">
            <v>10.710350943089647</v>
          </cell>
          <cell r="K149">
            <v>0.95685989282974016</v>
          </cell>
          <cell r="T149">
            <v>23.486697355182486</v>
          </cell>
        </row>
        <row r="150">
          <cell r="I150">
            <v>10.698400233986028</v>
          </cell>
          <cell r="K150">
            <v>0.95625888459052066</v>
          </cell>
          <cell r="T150">
            <v>23.38315682596054</v>
          </cell>
        </row>
        <row r="151">
          <cell r="I151">
            <v>10.686833336458804</v>
          </cell>
          <cell r="K151">
            <v>0.95567675581796974</v>
          </cell>
          <cell r="T151">
            <v>23.283030682409645</v>
          </cell>
        </row>
        <row r="152">
          <cell r="I152">
            <v>10.675657248068191</v>
          </cell>
          <cell r="K152">
            <v>0.95511391984862659</v>
          </cell>
          <cell r="T152">
            <v>23.186363732139114</v>
          </cell>
        </row>
        <row r="153">
          <cell r="I153">
            <v>10.66487883042762</v>
          </cell>
          <cell r="K153">
            <v>0.95457077866293116</v>
          </cell>
          <cell r="T153">
            <v>23.093199204585154</v>
          </cell>
        </row>
        <row r="154">
          <cell r="I154">
            <v>10.654504795105451</v>
          </cell>
          <cell r="K154">
            <v>0.95404772233404822</v>
          </cell>
          <cell r="T154">
            <v>23.003578719878121</v>
          </cell>
        </row>
        <row r="155">
          <cell r="I155">
            <v>10.64454168952793</v>
          </cell>
          <cell r="K155">
            <v>0.95354512848678641</v>
          </cell>
          <cell r="T155">
            <v>22.917542258968254</v>
          </cell>
        </row>
        <row r="156">
          <cell r="I156">
            <v>10.634995882936208</v>
          </cell>
          <cell r="K156">
            <v>0.95306336176798911</v>
          </cell>
          <cell r="T156">
            <v>22.835128135042794</v>
          </cell>
        </row>
        <row r="157">
          <cell r="I157">
            <v>10.625873552451839</v>
          </cell>
          <cell r="K157">
            <v>0.95260277332976384</v>
          </cell>
          <cell r="T157">
            <v>22.756372966264053</v>
          </cell>
        </row>
        <row r="158">
          <cell r="I158">
            <v>10.617180669306048</v>
          </cell>
          <cell r="K158">
            <v>0.95216370032690345</v>
          </cell>
          <cell r="T158">
            <v>22.681311649854528</v>
          </cell>
        </row>
        <row r="159">
          <cell r="I159">
            <v>10.608922985289027</v>
          </cell>
          <cell r="K159">
            <v>0.95174646542982722</v>
          </cell>
          <cell r="T159">
            <v>22.609977337551737</v>
          </cell>
        </row>
        <row r="160">
          <cell r="I160">
            <v>10.601106019475857</v>
          </cell>
          <cell r="K160">
            <v>0.95135137635435019</v>
          </cell>
          <cell r="T160">
            <v>22.542401412452758</v>
          </cell>
        </row>
        <row r="161">
          <cell r="I161">
            <v>10.593735045285838</v>
          </cell>
          <cell r="K161">
            <v>0.9509787254095502</v>
          </cell>
          <cell r="T161">
            <v>22.478613467264381</v>
          </cell>
        </row>
        <row r="162">
          <cell r="I162">
            <v>10.586815077931689</v>
          </cell>
          <cell r="K162">
            <v>0.95062878906497217</v>
          </cell>
          <cell r="T162">
            <v>22.418641283973457</v>
          </cell>
        </row>
        <row r="163">
          <cell r="I163">
            <v>10.580350862314617</v>
          </cell>
          <cell r="K163">
            <v>0.95030182753836612</v>
          </cell>
          <cell r="T163">
            <v>22.362510814947974</v>
          </cell>
        </row>
        <row r="164">
          <cell r="I164">
            <v>10.57434686142002</v>
          </cell>
          <cell r="K164">
            <v>0.94999808440510503</v>
          </cell>
          <cell r="T164">
            <v>22.310246165477785</v>
          </cell>
        </row>
        <row r="165">
          <cell r="I165">
            <v>10.568807245267474</v>
          </cell>
          <cell r="K165">
            <v>0.94971778623038505</v>
          </cell>
          <cell r="T165">
            <v>22.261869577761775</v>
          </cell>
        </row>
        <row r="166">
          <cell r="I166">
            <v>10.563735880466673</v>
          </cell>
          <cell r="K166">
            <v>0.94946114222524891</v>
          </cell>
          <cell r="T166">
            <v>22.217401416345737</v>
          </cell>
        </row>
        <row r="167">
          <cell r="I167">
            <v>10.559136320429129</v>
          </cell>
          <cell r="K167">
            <v>0.9492283439274154</v>
          </cell>
          <cell r="T167">
            <v>22.176860155014239</v>
          </cell>
        </row>
        <row r="168">
          <cell r="I168">
            <v>10.555011796282567</v>
          </cell>
          <cell r="K168">
            <v>0.94901956490783757</v>
          </cell>
          <cell r="T168">
            <v>22.140262365137801</v>
          </cell>
        </row>
        <row r="169">
          <cell r="I169">
            <v>10.551365208532534</v>
          </cell>
          <cell r="K169">
            <v>0.94883496050383698</v>
          </cell>
          <cell r="T169">
            <v>22.107622705475894</v>
          </cell>
        </row>
        <row r="170">
          <cell r="I170">
            <v>10.54819911951218</v>
          </cell>
          <cell r="K170">
            <v>0.9486746675795964</v>
          </cell>
          <cell r="T170">
            <v>22.078953913434933</v>
          </cell>
        </row>
        <row r="171">
          <cell r="I171">
            <v>10.545515746657909</v>
          </cell>
          <cell r="K171">
            <v>0.94853880431471793</v>
          </cell>
          <cell r="T171">
            <v>22.054266797780116</v>
          </cell>
        </row>
        <row r="172">
          <cell r="I172">
            <v>10.543316956644638</v>
          </cell>
          <cell r="K172">
            <v>0.94842747002147099</v>
          </cell>
          <cell r="T172">
            <v>22.033570232799129</v>
          </cell>
        </row>
        <row r="173">
          <cell r="I173">
            <v>10.541604260410397</v>
          </cell>
          <cell r="K173">
            <v>0.94834074499127929</v>
          </cell>
          <cell r="T173">
            <v>22.016871153915464</v>
          </cell>
        </row>
        <row r="174">
          <cell r="I174">
            <v>10.540378809095687</v>
          </cell>
          <cell r="K174">
            <v>0.94827869037091239</v>
          </cell>
          <cell r="T174">
            <v>22.004174554749007</v>
          </cell>
        </row>
        <row r="175">
          <cell r="I175">
            <v>10.539641390918483</v>
          </cell>
          <cell r="K175">
            <v>0.94824134806875726</v>
          </cell>
          <cell r="T175">
            <v>21.995483485621605</v>
          </cell>
        </row>
        <row r="176">
          <cell r="I176">
            <v>10.539392429001008</v>
          </cell>
          <cell r="K176">
            <v>0.94822874069146967</v>
          </cell>
          <cell r="T176">
            <v>21.990799053505</v>
          </cell>
        </row>
        <row r="177">
          <cell r="I177">
            <v>10.539631980159754</v>
          </cell>
          <cell r="K177">
            <v>0.9482408715112014</v>
          </cell>
          <cell r="T177">
            <v>21.990120423409326</v>
          </cell>
        </row>
        <row r="178">
          <cell r="I178">
            <v>10.540359734665067</v>
          </cell>
          <cell r="K178">
            <v>0.94827772446352887</v>
          </cell>
          <cell r="T178">
            <v>21.993444821210002</v>
          </cell>
        </row>
        <row r="179">
          <cell r="I179">
            <v>10.541575016971914</v>
          </cell>
          <cell r="K179">
            <v>0.94833926417610326</v>
          </cell>
          <cell r="T179">
            <v>22.000767537911535</v>
          </cell>
        </row>
        <row r="180">
          <cell r="I180">
            <v>10.543276787418177</v>
          </cell>
          <cell r="K180">
            <v>0.94842543602796126</v>
          </cell>
          <cell r="T180">
            <v>22.012081935346771</v>
          </cell>
        </row>
        <row r="181">
          <cell r="I181">
            <v>10.545463644882119</v>
          </cell>
          <cell r="K181">
            <v>0.94853616623934689</v>
          </cell>
          <cell r="T181">
            <v>22.027379453310431</v>
          </cell>
        </row>
        <row r="182">
          <cell r="I182">
            <v>10.548133830385645</v>
          </cell>
          <cell r="K182">
            <v>0.94867136199179813</v>
          </cell>
          <cell r="T182">
            <v>22.046649618125883</v>
          </cell>
        </row>
        <row r="183">
          <cell r="I183">
            <v>10.551285231625181</v>
          </cell>
          <cell r="K183">
            <v>0.94883091157817412</v>
          </cell>
          <cell r="T183">
            <v>22.069880052644166</v>
          </cell>
        </row>
        <row r="184">
          <cell r="I184">
            <v>10.554915388407521</v>
          </cell>
          <cell r="K184">
            <v>0.94901468458220362</v>
          </cell>
          <cell r="T184">
            <v>22.097056487674202</v>
          </cell>
        </row>
        <row r="185">
          <cell r="I185">
            <v>10.559021498963354</v>
          </cell>
          <cell r="K185">
            <v>0.94922253208705598</v>
          </cell>
          <cell r="T185">
            <v>22.12816277484286</v>
          </cell>
        </row>
        <row r="186">
          <cell r="I186">
            <v>10.563600427107158</v>
          </cell>
          <cell r="K186">
            <v>0.94945428691235023</v>
          </cell>
          <cell r="T186">
            <v>22.16318090088307</v>
          </cell>
        </row>
        <row r="187">
          <cell r="I187">
            <v>10.568648710207977</v>
          </cell>
          <cell r="K187">
            <v>0.94970976387893824</v>
          </cell>
          <cell r="T187">
            <v>22.20209100334764</v>
          </cell>
        </row>
        <row r="188">
          <cell r="I188">
            <v>10.57416256793211</v>
          </cell>
          <cell r="K188">
            <v>0.9499887601007182</v>
          </cell>
          <cell r="T188">
            <v>22.244871387745548</v>
          </cell>
        </row>
        <row r="189">
          <cell r="I189">
            <v>10.580137911715219</v>
          </cell>
          <cell r="K189">
            <v>0.95029105530266378</v>
          </cell>
          <cell r="T189">
            <v>22.291498546096314</v>
          </cell>
        </row>
        <row r="190">
          <cell r="I190">
            <v>10.586570354918337</v>
          </cell>
          <cell r="K190">
            <v>0.95061641216417903</v>
          </cell>
          <cell r="T190">
            <v>22.341947176896817</v>
          </cell>
        </row>
        <row r="191">
          <cell r="I191">
            <v>10.593455223619625</v>
          </cell>
          <cell r="K191">
            <v>0.95096457668682222</v>
          </cell>
          <cell r="T191">
            <v>22.396190206493252</v>
          </cell>
        </row>
        <row r="192">
          <cell r="I192">
            <v>10.600787567991276</v>
          </cell>
          <cell r="K192">
            <v>0.95133527858537681</v>
          </cell>
          <cell r="T192">
            <v>22.454198811849096</v>
          </cell>
        </row>
        <row r="193">
          <cell r="I193">
            <v>10.608562174209084</v>
          </cell>
          <cell r="K193">
            <v>0.95172823170119347</v>
          </cell>
          <cell r="T193">
            <v>22.515942444697764</v>
          </cell>
        </row>
        <row r="194">
          <cell r="I194">
            <v>10.616773576840487</v>
          </cell>
          <cell r="K194">
            <v>0.95214313443666077</v>
          </cell>
          <cell r="T194">
            <v>22.581388857066401</v>
          </cell>
        </row>
        <row r="195">
          <cell r="I195">
            <v>10.625416071655851</v>
          </cell>
          <cell r="K195">
            <v>0.95257967020962231</v>
          </cell>
          <cell r="T195">
            <v>22.650504128154459</v>
          </cell>
        </row>
        <row r="196">
          <cell r="I196">
            <v>10.634483728806718</v>
          </cell>
          <cell r="K196">
            <v>0.95303750792650499</v>
          </cell>
          <cell r="T196">
            <v>22.723252692547995</v>
          </cell>
        </row>
        <row r="197">
          <cell r="I197">
            <v>10.643970406314452</v>
          </cell>
          <cell r="K197">
            <v>0.95351630247288299</v>
          </cell>
          <cell r="T197">
            <v>22.79959736974741</v>
          </cell>
        </row>
        <row r="198">
          <cell r="I198">
            <v>10.653869763812521</v>
          </cell>
          <cell r="K198">
            <v>0.95401569522016727</v>
          </cell>
          <cell r="T198">
            <v>22.879499394983263</v>
          </cell>
        </row>
        <row r="199">
          <cell r="I199">
            <v>10.664175276485974</v>
          </cell>
          <cell r="K199">
            <v>0.95453531454708007</v>
          </cell>
          <cell r="T199">
            <v>22.962918451291131</v>
          </cell>
        </row>
        <row r="200">
          <cell r="I200">
            <v>10.674880249152137</v>
          </cell>
          <cell r="K200">
            <v>0.95507477637454152</v>
          </cell>
          <cell r="T200">
            <v>23.049812702813032</v>
          </cell>
        </row>
        <row r="201">
          <cell r="I201">
            <v>10.685977830427753</v>
          </cell>
          <cell r="K201">
            <v>0.9556336847125847</v>
          </cell>
          <cell r="T201">
            <v>23.140138829289349</v>
          </cell>
        </row>
        <row r="202">
          <cell r="I202">
            <v>10.69746102692859</v>
          </cell>
          <cell r="K202">
            <v>0.95621163221789329</v>
          </cell>
          <cell r="T202">
            <v>23.233852061700922</v>
          </cell>
        </row>
        <row r="203">
          <cell r="I203">
            <v>10.709322717449501</v>
          </cell>
          <cell r="K203">
            <v>0.95680820076054496</v>
          </cell>
          <cell r="T203">
            <v>23.330906219017812</v>
          </cell>
        </row>
        <row r="204">
          <cell r="I204">
            <v>10.721555667074277</v>
          </cell>
          <cell r="K204">
            <v>0.95742296199854815</v>
          </cell>
          <cell r="T204">
            <v>23.431253746006767</v>
          </cell>
        </row>
        <row r="205">
          <cell r="I205">
            <v>10.734152541166916</v>
          </cell>
          <cell r="K205">
            <v>0.95805547795874668</v>
          </cell>
          <cell r="T205">
            <v>23.534845752045989</v>
          </cell>
        </row>
        <row r="206">
          <cell r="I206">
            <v>10.747105919197939</v>
          </cell>
          <cell r="K206">
            <v>0.9587053016226873</v>
          </cell>
          <cell r="T206">
            <v>23.641632050891843</v>
          </cell>
        </row>
        <row r="207">
          <cell r="I207">
            <v>10.760408308361818</v>
          </cell>
          <cell r="K207">
            <v>0.95937197751604364</v>
          </cell>
          <cell r="T207">
            <v>23.751561201338504</v>
          </cell>
        </row>
        <row r="208">
          <cell r="I208">
            <v>10.774052156944194</v>
          </cell>
          <cell r="K208">
            <v>0.96005504230021532</v>
          </cell>
          <cell r="T208">
            <v>23.864580548707934</v>
          </cell>
        </row>
        <row r="209">
          <cell r="I209">
            <v>10.788029867400006</v>
          </cell>
          <cell r="K209">
            <v>0.96075402536473475</v>
          </cell>
          <cell r="T209">
            <v>23.980636267104472</v>
          </cell>
        </row>
        <row r="210">
          <cell r="I210">
            <v>10.802333809106663</v>
          </cell>
          <cell r="K210">
            <v>0.96146844941914744</v>
          </cell>
          <cell r="T210">
            <v>24.099673402364708</v>
          </cell>
        </row>
        <row r="211">
          <cell r="I211">
            <v>10.81695633075898</v>
          </cell>
          <cell r="K211">
            <v>0.96219783108305346</v>
          </cell>
          <cell r="T211">
            <v>24.221635915630831</v>
          </cell>
        </row>
        <row r="212">
          <cell r="I212">
            <v>10.831889772375648</v>
          </cell>
          <cell r="K212">
            <v>0.96294168147303771</v>
          </cell>
          <cell r="T212">
            <v>24.346466727472635</v>
          </cell>
        </row>
        <row r="213">
          <cell r="I213">
            <v>10.84712647688978</v>
          </cell>
          <cell r="K213">
            <v>0.96369950678525729</v>
          </cell>
          <cell r="T213">
            <v>24.474107762481303</v>
          </cell>
        </row>
        <row r="214">
          <cell r="I214">
            <v>10.86265880129913</v>
          </cell>
          <cell r="K214">
            <v>0.96447080887248837</v>
          </cell>
          <cell r="T214">
            <v>24.60449999425596</v>
          </cell>
        </row>
        <row r="215">
          <cell r="I215">
            <v>10.87847912735425</v>
          </cell>
          <cell r="K215">
            <v>0.96525508581449126</v>
          </cell>
          <cell r="T215">
            <v>24.7375834907022</v>
          </cell>
        </row>
        <row r="216">
          <cell r="I216">
            <v>10.894579871765924</v>
          </cell>
          <cell r="K216">
            <v>0.96605183248059556</v>
          </cell>
          <cell r="T216">
            <v>24.873297459560863</v>
          </cell>
        </row>
        <row r="217">
          <cell r="I217">
            <v>10.910953495915864</v>
          </cell>
          <cell r="K217">
            <v>0.96686054108346287</v>
          </cell>
          <cell r="T217">
            <v>25.01158029408397</v>
          </cell>
        </row>
        <row r="218">
          <cell r="I218">
            <v>10.927592515057382</v>
          </cell>
          <cell r="K218">
            <v>0.96768070172304144</v>
          </cell>
          <cell r="T218">
            <v>25.152369618774994</v>
          </cell>
        </row>
        <row r="219">
          <cell r="I219">
            <v>10.944489506995499</v>
          </cell>
          <cell r="K219">
            <v>0.96851180291978101</v>
          </cell>
          <cell r="T219">
            <v>25.295602335109727</v>
          </cell>
        </row>
        <row r="220">
          <cell r="I220">
            <v>10.961637120238258</v>
          </cell>
          <cell r="K220">
            <v>0.96935333213624431</v>
          </cell>
          <cell r="T220">
            <v>25.441214667155272</v>
          </cell>
        </row>
        <row r="221">
          <cell r="I221">
            <v>10.979028081613723</v>
          </cell>
          <cell r="K221">
            <v>0.9702047762863053</v>
          </cell>
          <cell r="T221">
            <v>25.589142207004898</v>
          </cell>
        </row>
        <row r="222">
          <cell r="I222">
            <v>10.996655203349142</v>
          </cell>
          <cell r="K222">
            <v>0.97106562223120196</v>
          </cell>
          <cell r="T222">
            <v>25.7393199599484</v>
          </cell>
        </row>
        <row r="223">
          <cell r="I223">
            <v>11.014511389611176</v>
          </cell>
          <cell r="K223">
            <v>0.97193535726175861</v>
          </cell>
          <cell r="T223">
            <v>25.891682389298744</v>
          </cell>
        </row>
        <row r="224">
          <cell r="I224">
            <v>11.032589642507965</v>
          </cell>
          <cell r="K224">
            <v>0.97281346956618042</v>
          </cell>
          <cell r="T224">
            <v>26.046163460798493</v>
          </cell>
        </row>
        <row r="225">
          <cell r="I225">
            <v>11.050883067555807</v>
          </cell>
          <cell r="K225">
            <v>0.97369944868287672</v>
          </cell>
          <cell r="T225">
            <v>26.202696686531851</v>
          </cell>
        </row>
        <row r="226">
          <cell r="I226">
            <v>11.069384878614876</v>
          </cell>
          <cell r="K226">
            <v>0.97459278593784082</v>
          </cell>
          <cell r="T226">
            <v>26.361215168271393</v>
          </cell>
        </row>
        <row r="227">
          <cell r="I227">
            <v>11.088088402300205</v>
          </cell>
          <cell r="K227">
            <v>0.97549297486618836</v>
          </cell>
          <cell r="T227">
            <v>26.521651640191784</v>
          </cell>
        </row>
        <row r="228">
          <cell r="I228">
            <v>11.106987081875399</v>
          </cell>
          <cell r="K228">
            <v>0.97639951161751659</v>
          </cell>
          <cell r="T228">
            <v>26.683938510886904</v>
          </cell>
        </row>
        <row r="229">
          <cell r="I229">
            <v>11.126074480638078</v>
          </cell>
          <cell r="K229">
            <v>0.97731189534482377</v>
          </cell>
          <cell r="T229">
            <v>26.848007904630741</v>
          </cell>
        </row>
        <row r="230">
          <cell r="I230">
            <v>11.145344284807122</v>
          </cell>
          <cell r="K230">
            <v>0.97822962857678464</v>
          </cell>
          <cell r="T230">
            <v>27.01379170182711</v>
          </cell>
        </row>
        <row r="231">
          <cell r="I231">
            <v>11.16479030592296</v>
          </cell>
          <cell r="K231">
            <v>0.97915221757325832</v>
          </cell>
          <cell r="T231">
            <v>27.181221578598191</v>
          </cell>
        </row>
        <row r="232">
          <cell r="I232">
            <v>11.184406482772879</v>
          </cell>
          <cell r="K232">
            <v>0.98007917266395439</v>
          </cell>
          <cell r="T232">
            <v>27.350229045466691</v>
          </cell>
        </row>
        <row r="233">
          <cell r="I233">
            <v>11.204186882854412</v>
          </cell>
          <cell r="K233">
            <v>0.98101000857026255</v>
          </cell>
          <cell r="T233">
            <v>27.520745485092121</v>
          </cell>
        </row>
        <row r="234">
          <cell r="I234">
            <v>11.224125703390222</v>
          </cell>
          <cell r="K234">
            <v>0.98194424471029895</v>
          </cell>
          <cell r="T234">
            <v>27.692702189027393</v>
          </cell>
        </row>
        <row r="235">
          <cell r="I235">
            <v>11.244217271908742</v>
          </cell>
          <cell r="K235">
            <v>0.98288140548729619</v>
          </cell>
          <cell r="T235">
            <v>27.866030393466986</v>
          </cell>
        </row>
        <row r="236">
          <cell r="I236">
            <v>11.264456046405073</v>
          </cell>
          <cell r="K236">
            <v>0.98382102056150911</v>
          </cell>
          <cell r="T236">
            <v>28.040661313965174</v>
          </cell>
        </row>
        <row r="237">
          <cell r="I237">
            <v>11.284836615097095</v>
          </cell>
          <cell r="K237">
            <v>0.98476262510587231</v>
          </cell>
          <cell r="T237">
            <v>28.216526179107174</v>
          </cell>
        </row>
        <row r="238">
          <cell r="I238">
            <v>11.30535369579199</v>
          </cell>
          <cell r="K238">
            <v>0.98570576004569876</v>
          </cell>
          <cell r="T238">
            <v>28.393556263123799</v>
          </cell>
        </row>
        <row r="239">
          <cell r="I239">
            <v>11.326002134878424</v>
          </cell>
          <cell r="K239">
            <v>0.98664997228275131</v>
          </cell>
          <cell r="T239">
            <v>28.571682917445187</v>
          </cell>
        </row>
        <row r="240">
          <cell r="I240">
            <v>11.346776905959914</v>
          </cell>
          <cell r="K240">
            <v>0.98759481490407497</v>
          </cell>
          <cell r="T240">
            <v>28.750837601195709</v>
          </cell>
        </row>
        <row r="241">
          <cell r="I241">
            <v>11.367673108144633</v>
          </cell>
          <cell r="K241">
            <v>0.98853984737601885</v>
          </cell>
          <cell r="T241">
            <v>28.930951910638235</v>
          </cell>
        </row>
        <row r="242">
          <cell r="I242">
            <v>11.388685964007152</v>
          </cell>
          <cell r="K242">
            <v>0.98948463572391299</v>
          </cell>
          <cell r="T242">
            <v>29.111957607581996</v>
          </cell>
        </row>
        <row r="243">
          <cell r="I243">
            <v>11.409810817237096</v>
          </cell>
          <cell r="K243">
            <v>0.99042875269791231</v>
          </cell>
          <cell r="T243">
            <v>29.29378664677364</v>
          </cell>
        </row>
        <row r="244">
          <cell r="I244">
            <v>11.431043129989952</v>
          </cell>
          <cell r="K244">
            <v>0.99137177792554487</v>
          </cell>
          <cell r="T244">
            <v>29.476371202297315</v>
          </cell>
        </row>
        <row r="245">
          <cell r="I245">
            <v>11.452378479954556</v>
          </cell>
          <cell r="K245">
            <v>0.9923132980515369</v>
          </cell>
          <cell r="T245">
            <v>29.659643693014726</v>
          </cell>
        </row>
        <row r="246">
          <cell r="I246">
            <v>11.473812557151932</v>
          </cell>
          <cell r="K246">
            <v>0.99325290686551726</v>
          </cell>
          <cell r="T246">
            <v>29.843536807081268</v>
          </cell>
        </row>
        <row r="247">
          <cell r="I247">
            <v>11.495341160479503</v>
          </cell>
          <cell r="K247">
            <v>0.99419020541821523</v>
          </cell>
          <cell r="T247">
            <v>30.02798352557965</v>
          </cell>
        </row>
        <row r="248">
          <cell r="I248">
            <v>11.516960194014535</v>
          </cell>
          <cell r="K248">
            <v>0.99512480212680143</v>
          </cell>
          <cell r="T248">
            <v>30.21291714531624</v>
          </cell>
        </row>
        <row r="249">
          <cell r="I249">
            <v>11.538665663090258</v>
          </cell>
          <cell r="K249">
            <v>0.99605631287002294</v>
          </cell>
          <cell r="T249">
            <v>30.398271300830679</v>
          </cell>
        </row>
        <row r="250">
          <cell r="I250">
            <v>11.560453670157653</v>
          </cell>
          <cell r="K250">
            <v>0.99698436107380495</v>
          </cell>
          <cell r="T250">
            <v>30.583979985672055</v>
          </cell>
        </row>
        <row r="251">
          <cell r="I251">
            <v>11.582320410445583</v>
          </cell>
          <cell r="K251">
            <v>0.99790857778799535</v>
          </cell>
          <cell r="T251">
            <v>30.769977572999139</v>
          </cell>
        </row>
        <row r="252">
          <cell r="I252">
            <v>11.604262167431463</v>
          </cell>
          <cell r="K252">
            <v>0.99882860175493227</v>
          </cell>
          <cell r="T252">
            <v>30.956198835564976</v>
          </cell>
        </row>
        <row r="253">
          <cell r="I253">
            <v>11.626275308134208</v>
          </cell>
          <cell r="K253">
            <v>0.99974407947051991</v>
          </cell>
          <cell r="T253">
            <v>31.142578965148473</v>
          </cell>
        </row>
        <row r="254">
          <cell r="I254">
            <v>11.648356278240907</v>
          </cell>
          <cell r="K254">
            <v>1.0006546652384873</v>
          </cell>
          <cell r="T254">
            <v>31.329053591497956</v>
          </cell>
        </row>
        <row r="255">
          <cell r="I255">
            <v>11.670501597078111</v>
          </cell>
          <cell r="K255">
            <v>1.0015600212185085</v>
          </cell>
          <cell r="T255">
            <v>31.515558800853107</v>
          </cell>
        </row>
        <row r="256">
          <cell r="I256">
            <v>11.692707852438252</v>
          </cell>
          <cell r="K256">
            <v>1.0024598174688395</v>
          </cell>
          <cell r="T256">
            <v>31.702031154112685</v>
          </cell>
        </row>
        <row r="257">
          <cell r="I257">
            <v>11.714971695271378</v>
          </cell>
          <cell r="K257">
            <v>1.0033537319841259</v>
          </cell>
          <cell r="T257">
            <v>31.888407704716052</v>
          </cell>
        </row>
        <row r="258">
          <cell r="I258">
            <v>11.737289834251907</v>
          </cell>
          <cell r="K258">
            <v>1.0042414507290078</v>
          </cell>
          <cell r="T258">
            <v>32.074626016306389</v>
          </cell>
        </row>
        <row r="259">
          <cell r="I259">
            <v>11.759659030229781</v>
          </cell>
          <cell r="K259">
            <v>1.0051226676681373</v>
          </cell>
          <cell r="T259">
            <v>32.260624180242964</v>
          </cell>
        </row>
        <row r="260">
          <cell r="I260">
            <v>11.782076090575021</v>
          </cell>
          <cell r="K260">
            <v>1.0059970847931912</v>
          </cell>
          <cell r="T260">
            <v>32.446340833028621</v>
          </cell>
        </row>
        <row r="261">
          <cell r="I261">
            <v>11.804537863424434</v>
          </cell>
          <cell r="K261">
            <v>1.0068644121474433</v>
          </cell>
          <cell r="T261">
            <v>32.63171517371709</v>
          </cell>
        </row>
        <row r="262">
          <cell r="I262">
            <v>11.827041231838793</v>
          </cell>
          <cell r="K262">
            <v>1.0077243678484233</v>
          </cell>
          <cell r="T262">
            <v>32.816686981362338</v>
          </cell>
        </row>
        <row r="263">
          <cell r="I263">
            <v>11.849583107878678</v>
          </cell>
          <cell r="K263">
            <v>1.0085766781091658</v>
          </cell>
          <cell r="T263">
            <v>33.001196632569247</v>
          </cell>
        </row>
        <row r="264">
          <cell r="I264">
            <v>11.872160426606762</v>
          </cell>
          <cell r="K264">
            <v>1.0094210772585084</v>
          </cell>
          <cell r="T264">
            <v>33.185185119202401</v>
          </cell>
        </row>
        <row r="265">
          <cell r="I265">
            <v>11.894770140024326</v>
          </cell>
          <cell r="K265">
            <v>1.0102573077608699</v>
          </cell>
          <cell r="T265">
            <v>33.368594066304397</v>
          </cell>
        </row>
        <row r="266">
          <cell r="I266">
            <v>11.917409210949348</v>
          </cell>
          <cell r="K266">
            <v>1.0110851202358924</v>
          </cell>
          <cell r="T266">
            <v>33.551365750272652</v>
          </cell>
        </row>
        <row r="267">
          <cell r="I267">
            <v>11.940074606843586</v>
          </cell>
          <cell r="K267">
            <v>1.0119042734782999</v>
          </cell>
          <cell r="T267">
            <v>33.733443117336968</v>
          </cell>
        </row>
        <row r="268">
          <cell r="I268">
            <v>11.962763293595893</v>
          </cell>
          <cell r="K268">
            <v>1.0127145344782673</v>
          </cell>
          <cell r="T268">
            <v>33.914769802376469</v>
          </cell>
        </row>
        <row r="269">
          <cell r="I269">
            <v>11.985472229268808</v>
          </cell>
          <cell r="K269">
            <v>1.0135156784425661</v>
          </cell>
          <cell r="T269">
            <v>34.095290148107495</v>
          </cell>
        </row>
        <row r="270">
          <cell r="I270">
            <v>12.008198357815731</v>
          </cell>
          <cell r="K270">
            <v>1.0143074888166961</v>
          </cell>
          <cell r="T270">
            <v>34.274949224668816</v>
          </cell>
        </row>
        <row r="271">
          <cell r="I271">
            <v>12.030938602775587</v>
          </cell>
          <cell r="K271">
            <v>1.0150897573081683</v>
          </cell>
          <cell r="T271">
            <v>34.453692849623536</v>
          </cell>
        </row>
        <row r="272">
          <cell r="I272">
            <v>12.053689860952399</v>
          </cell>
          <cell r="K272">
            <v>1.0158622839110589</v>
          </cell>
          <cell r="T272">
            <v>34.631467608390317</v>
          </cell>
        </row>
        <row r="273">
          <cell r="I273">
            <v>12.076448996086873</v>
          </cell>
          <cell r="K273">
            <v>1.0166248769318984</v>
          </cell>
          <cell r="T273">
            <v>34.808220875109512</v>
          </cell>
        </row>
        <row r="274">
          <cell r="I274">
            <v>12.099212832527423</v>
          </cell>
          <cell r="K274">
            <v>1.0173773530169188</v>
          </cell>
          <cell r="T274">
            <v>34.983900833942378</v>
          </cell>
        </row>
        <row r="275">
          <cell r="I275">
            <v>12.121978148908402</v>
          </cell>
          <cell r="K275">
            <v>1.0181195371806306</v>
          </cell>
          <cell r="T275">
            <v>35.158456500793754</v>
          </cell>
        </row>
        <row r="276">
          <cell r="I276">
            <v>12.144741671843036</v>
          </cell>
          <cell r="K276">
            <v>1.018851262835645</v>
          </cell>
          <cell r="T276">
            <v>35.331837745441064</v>
          </cell>
        </row>
        <row r="277">
          <cell r="I277">
            <v>12.167500069639472</v>
          </cell>
          <cell r="K277">
            <v>1.01957237182362</v>
          </cell>
          <cell r="T277">
            <v>35.503995314044545</v>
          </cell>
        </row>
        <row r="278">
          <cell r="I278">
            <v>12.190249946048064</v>
          </cell>
          <cell r="K278">
            <v>1.020282714447148</v>
          </cell>
          <cell r="T278">
            <v>35.67488085200516</v>
          </cell>
        </row>
        <row r="279">
          <cell r="I279">
            <v>12.212987834048798</v>
          </cell>
          <cell r="K279">
            <v>1.0209821495023679</v>
          </cell>
          <cell r="T279">
            <v>35.84444692712988</v>
          </cell>
        </row>
        <row r="280">
          <cell r="I280">
            <v>12.235710189687937</v>
          </cell>
          <cell r="K280">
            <v>1.0216705443120255</v>
          </cell>
          <cell r="T280">
            <v>36.012647053054536</v>
          </cell>
        </row>
        <row r="281">
          <cell r="I281">
            <v>12.25841338597343</v>
          </cell>
          <cell r="K281">
            <v>1.0223477747586711</v>
          </cell>
          <cell r="T281">
            <v>36.179435712867594</v>
          </cell>
        </row>
        <row r="282">
          <cell r="I282">
            <v>12.281093706839203</v>
          </cell>
          <cell r="K282">
            <v>1.0230137253176346</v>
          </cell>
          <cell r="T282">
            <v>36.344768382870527</v>
          </cell>
        </row>
        <row r="283">
          <cell r="I283">
            <v>12.303747341188917</v>
          </cell>
          <cell r="K283">
            <v>1.0236682890893776</v>
          </cell>
          <cell r="T283">
            <v>36.508601556402283</v>
          </cell>
        </row>
        <row r="284">
          <cell r="I284">
            <v>12.326370377030226</v>
          </cell>
          <cell r="K284">
            <v>1.0243113678307814</v>
          </cell>
          <cell r="T284">
            <v>36.670892767648695</v>
          </cell>
        </row>
        <row r="285">
          <cell r="I285">
            <v>12.348958795711455</v>
          </cell>
          <cell r="K285">
            <v>1.0249428719848979</v>
          </cell>
          <cell r="T285">
            <v>36.831600615350567</v>
          </cell>
        </row>
        <row r="286">
          <cell r="I286">
            <v>12.371508466272868</v>
          </cell>
          <cell r="K286">
            <v>1.025562720708646</v>
          </cell>
          <cell r="T286">
            <v>36.990684786317473</v>
          </cell>
        </row>
        <row r="287">
          <cell r="I287">
            <v>12.394015139925731</v>
          </cell>
          <cell r="K287">
            <v>1.0261708418979132</v>
          </cell>
          <cell r="T287">
            <v>37.148106078648368</v>
          </cell>
        </row>
        <row r="288">
          <cell r="I288">
            <v>12.416474444672822</v>
          </cell>
          <cell r="K288">
            <v>1.0267671722094867</v>
          </cell>
          <cell r="T288">
            <v>37.303826424554515</v>
          </cell>
        </row>
        <row r="289">
          <cell r="I289">
            <v>12.438881880084809</v>
          </cell>
          <cell r="K289">
            <v>1.0273516570792156</v>
          </cell>
          <cell r="T289">
            <v>37.457808912674437</v>
          </cell>
        </row>
        <row r="290">
          <cell r="I290">
            <v>12.461232812247786</v>
          </cell>
          <cell r="K290">
            <v>1.0279242507357855</v>
          </cell>
          <cell r="T290">
            <v>37.610017809767371</v>
          </cell>
        </row>
        <row r="291">
          <cell r="I291">
            <v>12.483522468897803</v>
          </cell>
          <cell r="K291">
            <v>1.0284849162094551</v>
          </cell>
          <cell r="T291">
            <v>37.760418581666087</v>
          </cell>
        </row>
        <row r="292">
          <cell r="I292">
            <v>12.505745934759188</v>
          </cell>
          <cell r="K292">
            <v>1.0290336253351089</v>
          </cell>
          <cell r="T292">
            <v>37.908977913368176</v>
          </cell>
        </row>
        <row r="293">
          <cell r="I293">
            <v>12.527898147104127</v>
          </cell>
          <cell r="K293">
            <v>1.0295703587489491</v>
          </cell>
          <cell r="T293">
            <v>38.055663728141198</v>
          </cell>
        </row>
        <row r="294">
          <cell r="I294">
            <v>12.549973891551732</v>
          </cell>
          <cell r="K294">
            <v>1.0300951058781556</v>
          </cell>
          <cell r="T294">
            <v>38.200445205516317</v>
          </cell>
        </row>
        <row r="295">
          <cell r="I295">
            <v>12.571967798125707</v>
          </cell>
          <cell r="K295">
            <v>1.0306078649228301</v>
          </cell>
          <cell r="T295">
            <v>38.34329279804254</v>
          </cell>
        </row>
        <row r="296">
          <cell r="I296">
            <v>12.593874337590313</v>
          </cell>
          <cell r="K296">
            <v>1.0311086428295455</v>
          </cell>
          <cell r="T296">
            <v>38.484178246675384</v>
          </cell>
        </row>
        <row r="297">
          <cell r="I297">
            <v>12.615687818085217</v>
          </cell>
          <cell r="K297">
            <v>1.0315974552558274</v>
          </cell>
          <cell r="T297">
            <v>38.623074594672374</v>
          </cell>
        </row>
        <row r="298">
          <cell r="I298">
            <v>12.637402382080378</v>
          </cell>
          <cell r="K298">
            <v>1.0320743265248982</v>
          </cell>
          <cell r="T298">
            <v>38.759956199870359</v>
          </cell>
        </row>
        <row r="299">
          <cell r="I299">
            <v>12.65901200367289</v>
          </cell>
          <cell r="K299">
            <v>1.032539289570032</v>
          </cell>
          <cell r="T299">
            <v>38.894798745221976</v>
          </cell>
        </row>
        <row r="300">
          <cell r="I300">
            <v>12.680510486248172</v>
          </cell>
          <cell r="K300">
            <v>1.0329923858678827</v>
          </cell>
          <cell r="T300">
            <v>39.027579247470733</v>
          </cell>
        </row>
        <row r="301">
          <cell r="I301">
            <v>12.701891460528639</v>
          </cell>
          <cell r="K301">
            <v>1.0334336653601741</v>
          </cell>
          <cell r="T301">
            <v>39.158276063849144</v>
          </cell>
        </row>
        <row r="302">
          <cell r="I302">
            <v>12.723148383033188</v>
          </cell>
          <cell r="K302">
            <v>1.03386318636316</v>
          </cell>
          <cell r="T302">
            <v>39.286868896688745</v>
          </cell>
        </row>
        <row r="303">
          <cell r="I303">
            <v>12.744274534971474</v>
          </cell>
          <cell r="K303">
            <v>1.0342810154643007</v>
          </cell>
          <cell r="T303">
            <v>39.413338795836367</v>
          </cell>
        </row>
        <row r="304">
          <cell r="I304">
            <v>12.765263021597068</v>
          </cell>
          <cell r="K304">
            <v>1.034687227405628</v>
          </cell>
          <cell r="T304">
            <v>39.537668158777905</v>
          </cell>
        </row>
        <row r="305">
          <cell r="I305">
            <v>12.786106772043812</v>
          </cell>
          <cell r="K305">
            <v>1.0350819049533166</v>
          </cell>
          <cell r="T305">
            <v>39.659840728377716</v>
          </cell>
        </row>
        <row r="306">
          <cell r="I306">
            <v>12.806798539669806</v>
          </cell>
          <cell r="K306">
            <v>1.0354651387530205</v>
          </cell>
          <cell r="T306">
            <v>39.779841588149978</v>
          </cell>
        </row>
        <row r="307">
          <cell r="I307">
            <v>12.82733090293323</v>
          </cell>
          <cell r="K307">
            <v>1.0358370271705748</v>
          </cell>
          <cell r="T307">
            <v>39.897657154987527</v>
          </cell>
        </row>
        <row r="308">
          <cell r="I308">
            <v>12.847696266824101</v>
          </cell>
          <cell r="K308">
            <v>1.0361976761177196</v>
          </cell>
          <cell r="T308">
            <v>40.013275169282224</v>
          </cell>
        </row>
        <row r="309">
          <cell r="I309">
            <v>12.867886864875677</v>
          </cell>
          <cell r="K309">
            <v>1.0365471988625521</v>
          </cell>
          <cell r="T309">
            <v>40.126684682382106</v>
          </cell>
        </row>
        <row r="310">
          <cell r="I310">
            <v>12.887894761778501</v>
          </cell>
          <cell r="K310">
            <v>1.0368857158244706</v>
          </cell>
          <cell r="T310">
            <v>40.237876041340378</v>
          </cell>
        </row>
        <row r="311">
          <cell r="I311">
            <v>12.907711856619468</v>
          </cell>
          <cell r="K311">
            <v>1.0372133543534348</v>
          </cell>
          <cell r="T311">
            <v>40.346840870923295</v>
          </cell>
        </row>
        <row r="312">
          <cell r="I312">
            <v>12.927329886767305</v>
          </cell>
          <cell r="K312">
            <v>1.0375302484934286</v>
          </cell>
          <cell r="T312">
            <v>40.453572052854859</v>
          </cell>
        </row>
        <row r="313">
          <cell r="I313">
            <v>12.946740432424651</v>
          </cell>
          <cell r="K313">
            <v>1.0378365387300734</v>
          </cell>
          <cell r="T313">
            <v>40.558063702289274</v>
          </cell>
        </row>
        <row r="314">
          <cell r="I314">
            <v>12.965934921865541</v>
          </cell>
          <cell r="K314">
            <v>1.0381323717224153</v>
          </cell>
          <cell r="T314">
            <v>40.660311141513574</v>
          </cell>
        </row>
        <row r="315">
          <cell r="I315">
            <v>12.984904637375484</v>
          </cell>
          <cell r="K315">
            <v>1.0384179000189673</v>
          </cell>
          <cell r="T315">
            <v>40.76031087089649</v>
          </cell>
        </row>
        <row r="316">
          <cell r="I316">
            <v>13.003640721909486</v>
          </cell>
          <cell r="K316">
            <v>1.0386932817581682</v>
          </cell>
          <cell r="T316">
            <v>40.858060537111371</v>
          </cell>
        </row>
        <row r="317">
          <cell r="I317">
            <v>13.022134186481196</v>
          </cell>
          <cell r="K317">
            <v>1.0389586803534896</v>
          </cell>
          <cell r="T317">
            <v>40.95355889867507</v>
          </cell>
        </row>
        <row r="318">
          <cell r="I318">
            <v>13.040375918294128</v>
          </cell>
          <cell r="K318">
            <v>1.0392142641634872</v>
          </cell>
          <cell r="T318">
            <v>41.046805788856631</v>
          </cell>
        </row>
        <row r="319">
          <cell r="I319">
            <v>13.058356689623087</v>
          </cell>
          <cell r="K319">
            <v>1.0394602061471769</v>
          </cell>
          <cell r="T319">
            <v>41.137802076023092</v>
          </cell>
        </row>
        <row r="320">
          <cell r="I320">
            <v>13.076067167451267</v>
          </cell>
          <cell r="K320">
            <v>1.0396966835051891</v>
          </cell>
          <cell r="T320">
            <v>41.226549621502578</v>
          </cell>
        </row>
        <row r="321">
          <cell r="I321">
            <v>13.093497923865337</v>
          </cell>
          <cell r="K321">
            <v>1.0399238773072104</v>
          </cell>
          <cell r="T321">
            <v>41.31305123505652</v>
          </cell>
        </row>
        <row r="322">
          <cell r="I322">
            <v>13.110639447207307</v>
          </cell>
          <cell r="K322">
            <v>1.0401419721063272</v>
          </cell>
          <cell r="T322">
            <v>41.397310628066037</v>
          </cell>
        </row>
        <row r="323">
          <cell r="I323">
            <v>13.127482153978651</v>
          </cell>
          <cell r="K323">
            <v>1.0403511555409204</v>
          </cell>
          <cell r="T323">
            <v>41.479332364548611</v>
          </cell>
        </row>
        <row r="324">
          <cell r="I324">
            <v>13.144016401488095</v>
          </cell>
          <cell r="K324">
            <v>1.0405516179248628</v>
          </cell>
          <cell r="T324">
            <v>41.559121810132794</v>
          </cell>
        </row>
        <row r="325">
          <cell r="I325">
            <v>13.160232501230519</v>
          </cell>
          <cell r="K325">
            <v>1.0407435518268184</v>
          </cell>
          <cell r="T325">
            <v>41.636685079129691</v>
          </cell>
        </row>
        <row r="326">
          <cell r="I326">
            <v>13.176120732980356</v>
          </cell>
          <cell r="K326">
            <v>1.0409271516395178</v>
          </cell>
          <cell r="T326">
            <v>41.712028979849315</v>
          </cell>
        </row>
        <row r="327">
          <cell r="I327">
            <v>13.191671359578162</v>
          </cell>
          <cell r="K327">
            <v>1.0411026131399503</v>
          </cell>
          <cell r="T327">
            <v>41.785160958320809</v>
          </cell>
        </row>
        <row r="328">
          <cell r="I328">
            <v>13.206874642384781</v>
          </cell>
          <cell r="K328">
            <v>1.0412701330414673</v>
          </cell>
          <cell r="T328">
            <v>41.856089040582916</v>
          </cell>
        </row>
        <row r="329">
          <cell r="I329">
            <v>13.221720857372709</v>
          </cell>
          <cell r="K329">
            <v>1.0414299085388574</v>
          </cell>
          <cell r="T329">
            <v>41.924821773720296</v>
          </cell>
        </row>
        <row r="330">
          <cell r="I330">
            <v>13.236200311819495</v>
          </cell>
          <cell r="K330">
            <v>1.0415821368474991</v>
          </cell>
          <cell r="T330">
            <v>41.991368165827453</v>
          </cell>
        </row>
        <row r="331">
          <cell r="I331">
            <v>13.250303361563352</v>
          </cell>
          <cell r="K331">
            <v>1.0417270147377604</v>
          </cell>
          <cell r="T331">
            <v>42.055737625089591</v>
          </cell>
        </row>
        <row r="332">
          <cell r="I332">
            <v>13.264020428776165</v>
          </cell>
          <cell r="K332">
            <v>1.0418647380658455</v>
          </cell>
          <cell r="T332">
            <v>42.117939898174072</v>
          </cell>
        </row>
        <row r="333">
          <cell r="I333">
            <v>13.277342020204403</v>
          </cell>
          <cell r="K333">
            <v>1.0419955013023439</v>
          </cell>
          <cell r="T333">
            <v>42.17798500813155</v>
          </cell>
        </row>
        <row r="334">
          <cell r="I334">
            <v>13.290258745823692</v>
          </cell>
          <cell r="K334">
            <v>1.0421194970597658</v>
          </cell>
          <cell r="T334">
            <v>42.235883192008956</v>
          </cell>
        </row>
        <row r="335">
          <cell r="I335">
            <v>13.302761337848288</v>
          </cell>
          <cell r="K335">
            <v>1.0422369156203868</v>
          </cell>
          <cell r="T335">
            <v>42.291644838379867</v>
          </cell>
        </row>
        <row r="336">
          <cell r="I336">
            <v>13.314840670031995</v>
          </cell>
          <cell r="K336">
            <v>1.0423479444657391</v>
          </cell>
          <cell r="T336">
            <v>42.345280424998855</v>
          </cell>
        </row>
        <row r="337">
          <cell r="I337">
            <v>13.326487777193289</v>
          </cell>
          <cell r="K337">
            <v>1.0424527678091269</v>
          </cell>
          <cell r="T337">
            <v>42.396800456787844</v>
          </cell>
        </row>
        <row r="338">
          <cell r="I338">
            <v>13.33769387489302</v>
          </cell>
          <cell r="K338">
            <v>1.0425515661325413</v>
          </cell>
          <cell r="T338">
            <v>42.446215404362263</v>
          </cell>
        </row>
        <row r="339">
          <cell r="I339">
            <v>13.348450379189718</v>
          </cell>
          <cell r="K339">
            <v>1.0426445157293678</v>
          </cell>
          <cell r="T339">
            <v>42.493535643303574</v>
          </cell>
        </row>
        <row r="340">
          <cell r="I340">
            <v>13.358748926394169</v>
          </cell>
          <cell r="K340">
            <v>1.0427317882542817</v>
          </cell>
          <cell r="T340">
            <v>42.538771394383659</v>
          </cell>
        </row>
        <row r="341">
          <cell r="I341">
            <v>13.368581392741991</v>
          </cell>
          <cell r="K341">
            <v>1.0428135502817324</v>
          </cell>
          <cell r="T341">
            <v>42.581932664942727</v>
          </cell>
        </row>
        <row r="342">
          <cell r="I342">
            <v>13.37793991390074</v>
          </cell>
          <cell r="K342">
            <v>1.042889962874388</v>
          </cell>
          <cell r="T342">
            <v>42.623029191619999</v>
          </cell>
        </row>
        <row r="343">
          <cell r="I343">
            <v>13.386816904225913</v>
          </cell>
          <cell r="K343">
            <v>1.042961181162926</v>
          </cell>
          <cell r="T343">
            <v>42.66207038463164</v>
          </cell>
        </row>
        <row r="344">
          <cell r="I344">
            <v>13.395205075679121</v>
          </cell>
          <cell r="K344">
            <v>1.0430273539385098</v>
          </cell>
          <cell r="T344">
            <v>42.699065273785024</v>
          </cell>
        </row>
        <row r="345">
          <cell r="I345">
            <v>13.40309745632074</v>
          </cell>
          <cell r="K345">
            <v>1.0430886232592806</v>
          </cell>
          <cell r="T345">
            <v>42.734022456413641</v>
          </cell>
        </row>
        <row r="346">
          <cell r="I346">
            <v>13.410487408289292</v>
          </cell>
          <cell r="K346">
            <v>1.0431451240721528</v>
          </cell>
          <cell r="T346">
            <v>42.766950047409651</v>
          </cell>
        </row>
        <row r="347">
          <cell r="I347">
            <v>13.417368645180208</v>
          </cell>
          <cell r="K347">
            <v>1.0431969838511672</v>
          </cell>
          <cell r="T347">
            <v>42.797855631524406</v>
          </cell>
        </row>
        <row r="348">
          <cell r="I348">
            <v>13.423735248737781</v>
          </cell>
          <cell r="K348">
            <v>1.0432443222536116</v>
          </cell>
          <cell r="T348">
            <v>42.826746218100261</v>
          </cell>
        </row>
        <row r="349">
          <cell r="I349">
            <v>13.429581684775858</v>
          </cell>
          <cell r="K349">
            <v>1.043287250795065</v>
          </cell>
          <cell r="T349">
            <v>42.853628198387739</v>
          </cell>
        </row>
        <row r="350">
          <cell r="I350">
            <v>13.434902818245344</v>
          </cell>
          <cell r="K350">
            <v>1.043325872544469</v>
          </cell>
          <cell r="T350">
            <v>42.878507305594937</v>
          </cell>
        </row>
        <row r="351">
          <cell r="I351">
            <v>13.439693927369586</v>
          </cell>
          <cell r="K351">
            <v>1.0433602818402716</v>
          </cell>
          <cell r="T351">
            <v>42.901388577805832</v>
          </cell>
        </row>
        <row r="352">
          <cell r="I352">
            <v>13.443950716772623</v>
          </cell>
          <cell r="K352">
            <v>1.043390564028623</v>
          </cell>
          <cell r="T352">
            <v>42.922276323896114</v>
          </cell>
        </row>
        <row r="353">
          <cell r="I353">
            <v>13.447669329529568</v>
          </cell>
          <cell r="K353">
            <v>1.0434167952245224</v>
          </cell>
          <cell r="T353">
            <v>42.941174092563962</v>
          </cell>
        </row>
        <row r="354">
          <cell r="I354">
            <v>13.450846358073472</v>
          </cell>
          <cell r="K354">
            <v>1.0434390420967636</v>
          </cell>
          <cell r="T354">
            <v>42.958084644584673</v>
          </cell>
        </row>
        <row r="355">
          <cell r="I355">
            <v>13.453478853898625</v>
          </cell>
          <cell r="K355">
            <v>1.0434573616774252</v>
          </cell>
          <cell r="T355">
            <v>42.973009928386787</v>
          </cell>
        </row>
        <row r="356">
          <cell r="I356">
            <v>13.455564336006312</v>
          </cell>
          <cell r="K356">
            <v>1.0434718011965771</v>
          </cell>
          <cell r="T356">
            <v>42.985951059037113</v>
          </cell>
        </row>
        <row r="357">
          <cell r="I357">
            <v>13.457100798045776</v>
          </cell>
          <cell r="K357">
            <v>1.0434823979428147</v>
          </cell>
          <cell r="T357">
            <v>42.996908300711738</v>
          </cell>
        </row>
        <row r="358">
          <cell r="I358">
            <v>13.458086714110046</v>
          </cell>
          <cell r="K358">
            <v>1.0434891791500842</v>
          </cell>
          <cell r="T358">
            <v>43.005881052718408</v>
          </cell>
        </row>
        <row r="359">
          <cell r="I359">
            <v>13.458521043153825</v>
          </cell>
          <cell r="K359">
            <v>1.0434921619112543</v>
          </cell>
          <cell r="T359">
            <v>43.012867839125683</v>
          </cell>
        </row>
        <row r="360">
          <cell r="I360">
            <v>13.458403232008276</v>
          </cell>
          <cell r="K360">
            <v>1.0434913531187173</v>
          </cell>
          <cell r="T360">
            <v>43.017866302041909</v>
          </cell>
        </row>
        <row r="361">
          <cell r="I361">
            <v>13.457733216975646</v>
          </cell>
          <cell r="K361">
            <v>1.0434867494322762</v>
          </cell>
          <cell r="T361">
            <v>43.020873198576822</v>
          </cell>
        </row>
        <row r="362">
          <cell r="I362">
            <v>13.456511423994518</v>
          </cell>
          <cell r="K362">
            <v>1.0434783372744176</v>
          </cell>
          <cell r="T362">
            <v>43.021884401506568</v>
          </cell>
        </row>
        <row r="363">
          <cell r="I363">
            <v>13.454738767374977</v>
          </cell>
          <cell r="K363">
            <v>1.0434660928530486</v>
          </cell>
          <cell r="T363">
            <v>43.020894903651737</v>
          </cell>
        </row>
        <row r="364">
          <cell r="I364">
            <v>13.45241664711107</v>
          </cell>
          <cell r="K364">
            <v>1.0434499822115912</v>
          </cell>
          <cell r="T364">
            <v>43.017898825966327</v>
          </cell>
        </row>
        <row r="365">
          <cell r="I365">
            <v>13.449546944786</v>
          </cell>
          <cell r="K365">
            <v>1.0434299613063189</v>
          </cell>
          <cell r="T365">
            <v>43.012889429324311</v>
          </cell>
        </row>
        <row r="366">
          <cell r="I366">
            <v>13.446132018093639</v>
          </cell>
          <cell r="K366">
            <v>1.0434059761106758</v>
          </cell>
          <cell r="T366">
            <v>43.005859129978646</v>
          </cell>
        </row>
        <row r="367">
          <cell r="I367">
            <v>13.44217469400769</v>
          </cell>
          <cell r="K367">
            <v>1.0433779627462227</v>
          </cell>
          <cell r="T367">
            <v>42.996799518656061</v>
          </cell>
        </row>
        <row r="368">
          <cell r="I368">
            <v>13.437678260637247</v>
          </cell>
          <cell r="K368">
            <v>1.0433458476398019</v>
          </cell>
          <cell r="T368">
            <v>42.985701383239665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9" t="s">
        <v>4</v>
      </c>
      <c r="V2" s="3"/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" t="s">
        <v>7</v>
      </c>
      <c r="V3" s="10"/>
      <c r="W3" s="6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0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32" t="s">
        <v>48</v>
      </c>
      <c r="X8" s="52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56">
        <v>1</v>
      </c>
      <c r="B9" s="57">
        <v>24.8</v>
      </c>
      <c r="C9" s="58">
        <f>'[1]cálculos teóricos'!K3</f>
        <v>1.0433095476903587</v>
      </c>
      <c r="D9" s="59">
        <f>IF(B9&gt;0,B9*C9*14.25*1.022,-999)</f>
        <v>376.81711722515581</v>
      </c>
      <c r="E9" s="60">
        <f>IF(B9&gt;0,D9*4.1868/100,-999)</f>
        <v>15.776579063982823</v>
      </c>
      <c r="F9" s="61">
        <f>IF(B9&gt;0,(7.86+1.25*D9)*4.1868/100,-999)</f>
        <v>20.049806309978532</v>
      </c>
      <c r="G9" s="62">
        <f>'[1]cálculos teóricos'!T3</f>
        <v>42.972554729067994</v>
      </c>
      <c r="H9" s="63">
        <f>IF(B9&gt;0,100*F9/G9,-999)</f>
        <v>46.657236081000811</v>
      </c>
      <c r="I9" s="64"/>
      <c r="J9" s="64">
        <v>0.8</v>
      </c>
      <c r="K9" s="64">
        <v>1</v>
      </c>
      <c r="L9" s="64">
        <v>1</v>
      </c>
      <c r="M9" s="64">
        <v>1</v>
      </c>
      <c r="N9" s="64">
        <v>1</v>
      </c>
      <c r="O9" s="65">
        <v>1</v>
      </c>
      <c r="P9" s="66">
        <v>1</v>
      </c>
      <c r="Q9" s="67">
        <v>0.3</v>
      </c>
      <c r="R9" s="67"/>
      <c r="S9" s="67"/>
      <c r="T9" s="67"/>
      <c r="U9" s="67"/>
      <c r="V9" s="65"/>
      <c r="W9" s="68">
        <f t="shared" ref="W9:W40" si="0">SUM(I9:O9)</f>
        <v>5.8</v>
      </c>
      <c r="X9" s="69">
        <f>SUM(P9:V9)</f>
        <v>1.3</v>
      </c>
      <c r="Y9" s="70">
        <f>W9+X9</f>
        <v>7.1</v>
      </c>
      <c r="Z9" s="71">
        <f>'[1]cálculos teóricos'!I3</f>
        <v>13.432646455605028</v>
      </c>
      <c r="AA9" s="72">
        <f>100*Y9/Z9</f>
        <v>52.856300681072341</v>
      </c>
      <c r="AB9" s="3"/>
    </row>
    <row r="10" spans="1:28" ht="18" customHeight="1">
      <c r="A10" s="73">
        <v>2</v>
      </c>
      <c r="B10" s="57">
        <v>37.799999999999997</v>
      </c>
      <c r="C10" s="74">
        <f>'[1]cálculos teóricos'!K4</f>
        <v>1.0432689705391567</v>
      </c>
      <c r="D10" s="59">
        <f>IF(B10&gt;0,B10*C10*14.25*1.022,-999)</f>
        <v>574.31988126249689</v>
      </c>
      <c r="E10" s="60">
        <f>IF(B10&gt;0,D10*4.1868/100,-999)</f>
        <v>24.04562478869822</v>
      </c>
      <c r="F10" s="61">
        <f>IF(B10&gt;0,(7.86+1.25*D10)*4.1868/100,-999)</f>
        <v>30.386113465872771</v>
      </c>
      <c r="G10" s="62">
        <f>'[1]cálculos teóricos'!T4</f>
        <v>42.957348831388643</v>
      </c>
      <c r="H10" s="75">
        <f>IF(B10&gt;0,100*F10/G10,-999)</f>
        <v>70.735541863025418</v>
      </c>
      <c r="I10" s="57"/>
      <c r="J10" s="76">
        <v>0.3</v>
      </c>
      <c r="K10" s="76">
        <v>1</v>
      </c>
      <c r="L10" s="76">
        <v>1</v>
      </c>
      <c r="M10" s="76">
        <v>1</v>
      </c>
      <c r="N10" s="76">
        <v>1</v>
      </c>
      <c r="O10" s="77">
        <v>1</v>
      </c>
      <c r="P10" s="66">
        <v>1</v>
      </c>
      <c r="Q10" s="67">
        <v>1</v>
      </c>
      <c r="R10" s="67">
        <v>1</v>
      </c>
      <c r="S10" s="67">
        <v>1</v>
      </c>
      <c r="T10" s="67">
        <v>0.4</v>
      </c>
      <c r="U10" s="67"/>
      <c r="V10" s="78"/>
      <c r="W10" s="68">
        <f t="shared" si="0"/>
        <v>5.3</v>
      </c>
      <c r="X10" s="69">
        <f t="shared" ref="X10:X39" si="1">SUM(P10:V10)</f>
        <v>4.4000000000000004</v>
      </c>
      <c r="Y10" s="70">
        <f t="shared" ref="Y10:Y39" si="2">W10+X10</f>
        <v>9.6999999999999993</v>
      </c>
      <c r="Z10" s="71">
        <f>'[1]cálculos teóricos'!I4</f>
        <v>13.427083464038553</v>
      </c>
      <c r="AA10" s="72">
        <f t="shared" ref="AA10:AA39" si="3">100*Y10/Z10</f>
        <v>72.242047396065459</v>
      </c>
      <c r="AB10" s="3"/>
    </row>
    <row r="11" spans="1:28" ht="18" customHeight="1">
      <c r="A11" s="73">
        <v>3</v>
      </c>
      <c r="B11" s="57">
        <v>34.1</v>
      </c>
      <c r="C11" s="74">
        <f>'[1]cálculos teóricos'!K5</f>
        <v>1.0432240147113081</v>
      </c>
      <c r="D11" s="59">
        <f t="shared" ref="D11:D39" si="4">IF(B11&gt;0,B11*C11*14.25*1.022,-999)</f>
        <v>518.08105919426146</v>
      </c>
      <c r="E11" s="60">
        <f t="shared" ref="E11:E39" si="5">IF(B11&gt;0,D11*4.1868/100,-999)</f>
        <v>21.691017786345338</v>
      </c>
      <c r="F11" s="61">
        <f t="shared" ref="F11:F39" si="6">IF(B11&gt;0,(7.86+1.25*D11)*4.1868/100,-999)</f>
        <v>27.44285471293167</v>
      </c>
      <c r="G11" s="62">
        <f>'[1]cálculos teóricos'!T5</f>
        <v>42.94007223550922</v>
      </c>
      <c r="H11" s="75">
        <f t="shared" ref="H11:H39" si="7">IF(B11&gt;0,100*F11/G11,-999)</f>
        <v>63.909661265632081</v>
      </c>
      <c r="I11" s="57">
        <v>0.1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7">
        <v>1</v>
      </c>
      <c r="P11" s="66">
        <v>1</v>
      </c>
      <c r="Q11" s="67">
        <v>1</v>
      </c>
      <c r="R11" s="67">
        <v>1</v>
      </c>
      <c r="S11" s="67">
        <v>0.4</v>
      </c>
      <c r="T11" s="67"/>
      <c r="U11" s="67"/>
      <c r="V11" s="78"/>
      <c r="W11" s="68">
        <f t="shared" si="0"/>
        <v>6.1</v>
      </c>
      <c r="X11" s="69">
        <f t="shared" si="1"/>
        <v>3.4</v>
      </c>
      <c r="Y11" s="70">
        <f t="shared" si="2"/>
        <v>9.5</v>
      </c>
      <c r="Z11" s="71">
        <f>'[1]cálculos teóricos'!I5</f>
        <v>13.420993894192648</v>
      </c>
      <c r="AA11" s="72">
        <f t="shared" si="3"/>
        <v>70.78462351518327</v>
      </c>
      <c r="AB11" s="3"/>
    </row>
    <row r="12" spans="1:28" ht="18" customHeight="1">
      <c r="A12" s="73">
        <v>4</v>
      </c>
      <c r="B12" s="57">
        <v>28.4</v>
      </c>
      <c r="C12" s="74">
        <f>'[1]cálculos teóricos'!K6</f>
        <v>1.0431745699304664</v>
      </c>
      <c r="D12" s="59">
        <f t="shared" si="4"/>
        <v>431.46054891677863</v>
      </c>
      <c r="E12" s="60">
        <f t="shared" si="5"/>
        <v>18.064390262047688</v>
      </c>
      <c r="F12" s="61">
        <f t="shared" si="6"/>
        <v>22.909570307559612</v>
      </c>
      <c r="G12" s="62">
        <f>'[1]cálculos teóricos'!T6</f>
        <v>42.920712814194886</v>
      </c>
      <c r="H12" s="75">
        <f t="shared" si="7"/>
        <v>53.37649075572407</v>
      </c>
      <c r="I12" s="57"/>
      <c r="J12" s="76">
        <v>0.5</v>
      </c>
      <c r="K12" s="76">
        <v>0.8</v>
      </c>
      <c r="L12" s="76">
        <v>1</v>
      </c>
      <c r="M12" s="76">
        <v>1</v>
      </c>
      <c r="N12" s="76">
        <v>1</v>
      </c>
      <c r="O12" s="77">
        <v>0.6</v>
      </c>
      <c r="P12" s="79">
        <v>1</v>
      </c>
      <c r="Q12" s="76">
        <v>0.7</v>
      </c>
      <c r="R12" s="76">
        <v>0.3</v>
      </c>
      <c r="S12" s="76"/>
      <c r="T12" s="76">
        <v>0.2</v>
      </c>
      <c r="U12" s="67"/>
      <c r="V12" s="78"/>
      <c r="W12" s="68">
        <f t="shared" si="0"/>
        <v>4.8999999999999995</v>
      </c>
      <c r="X12" s="69">
        <f t="shared" si="1"/>
        <v>2.2000000000000002</v>
      </c>
      <c r="Y12" s="70">
        <f t="shared" si="2"/>
        <v>7.1</v>
      </c>
      <c r="Z12" s="71">
        <f>'[1]cálculos teóricos'!I6</f>
        <v>13.414382772748056</v>
      </c>
      <c r="AA12" s="72">
        <f t="shared" si="3"/>
        <v>52.928264537254606</v>
      </c>
      <c r="AB12" s="3"/>
    </row>
    <row r="13" spans="1:28" ht="18" customHeight="1">
      <c r="A13" s="73">
        <v>5</v>
      </c>
      <c r="B13" s="57">
        <v>30</v>
      </c>
      <c r="C13" s="74">
        <f>'[1]cálculos teóricos'!K7</f>
        <v>1.0431205173832472</v>
      </c>
      <c r="D13" s="59">
        <f t="shared" si="4"/>
        <v>455.74456964732758</v>
      </c>
      <c r="E13" s="60">
        <f t="shared" si="5"/>
        <v>19.08111364199431</v>
      </c>
      <c r="F13" s="61">
        <f t="shared" si="6"/>
        <v>24.180474532492891</v>
      </c>
      <c r="G13" s="62">
        <f>'[1]cálculos teóricos'!T7</f>
        <v>42.899257802114548</v>
      </c>
      <c r="H13" s="75">
        <f t="shared" si="7"/>
        <v>56.365717663537318</v>
      </c>
      <c r="I13" s="57"/>
      <c r="J13" s="76">
        <v>0.6</v>
      </c>
      <c r="K13" s="76">
        <v>1</v>
      </c>
      <c r="L13" s="76">
        <v>1</v>
      </c>
      <c r="M13" s="76">
        <v>1</v>
      </c>
      <c r="N13" s="76">
        <v>1</v>
      </c>
      <c r="O13" s="77">
        <v>1</v>
      </c>
      <c r="P13" s="66">
        <v>1</v>
      </c>
      <c r="Q13" s="66">
        <v>1</v>
      </c>
      <c r="R13" s="67">
        <v>0.6</v>
      </c>
      <c r="S13" s="67"/>
      <c r="T13" s="67"/>
      <c r="U13" s="67"/>
      <c r="V13" s="78"/>
      <c r="W13" s="68">
        <f t="shared" si="0"/>
        <v>5.6</v>
      </c>
      <c r="X13" s="69">
        <f t="shared" si="1"/>
        <v>2.6</v>
      </c>
      <c r="Y13" s="70">
        <f t="shared" si="2"/>
        <v>8.1999999999999993</v>
      </c>
      <c r="Z13" s="71">
        <f>'[1]cálculos teóricos'!I7</f>
        <v>13.40725552892793</v>
      </c>
      <c r="AA13" s="72">
        <f t="shared" si="3"/>
        <v>61.16091382242557</v>
      </c>
      <c r="AB13" s="3"/>
    </row>
    <row r="14" spans="1:28" ht="18" customHeight="1">
      <c r="A14" s="73">
        <v>6</v>
      </c>
      <c r="B14" s="57">
        <v>30.8</v>
      </c>
      <c r="C14" s="74">
        <f>'[1]cálculos teóricos'!K8</f>
        <v>1.0430617300197544</v>
      </c>
      <c r="D14" s="59">
        <f t="shared" si="4"/>
        <v>467.87138875839497</v>
      </c>
      <c r="E14" s="60">
        <f t="shared" si="5"/>
        <v>19.588839304536478</v>
      </c>
      <c r="F14" s="61">
        <f t="shared" si="6"/>
        <v>24.815131610670601</v>
      </c>
      <c r="G14" s="62">
        <f>'[1]cálculos teóricos'!T8</f>
        <v>42.875693838404729</v>
      </c>
      <c r="H14" s="75">
        <f t="shared" si="7"/>
        <v>57.876921372274388</v>
      </c>
      <c r="I14" s="57">
        <v>0.1</v>
      </c>
      <c r="J14" s="76">
        <v>1</v>
      </c>
      <c r="K14" s="76">
        <v>1</v>
      </c>
      <c r="L14" s="76">
        <v>1</v>
      </c>
      <c r="M14" s="76">
        <v>1</v>
      </c>
      <c r="N14" s="76">
        <v>0.8</v>
      </c>
      <c r="O14" s="77">
        <v>0.9</v>
      </c>
      <c r="P14" s="66">
        <v>1</v>
      </c>
      <c r="Q14" s="66">
        <v>0.9</v>
      </c>
      <c r="R14" s="67"/>
      <c r="S14" s="67"/>
      <c r="T14" s="67"/>
      <c r="U14" s="67"/>
      <c r="V14" s="78"/>
      <c r="W14" s="68">
        <f t="shared" si="0"/>
        <v>5.8</v>
      </c>
      <c r="X14" s="69">
        <f t="shared" si="1"/>
        <v>1.9</v>
      </c>
      <c r="Y14" s="70">
        <f t="shared" si="2"/>
        <v>7.6999999999999993</v>
      </c>
      <c r="Z14" s="71">
        <f>'[1]cálculos teóricos'!I8</f>
        <v>13.399617979654318</v>
      </c>
      <c r="AA14" s="72">
        <f t="shared" si="3"/>
        <v>57.464324816509752</v>
      </c>
      <c r="AB14" s="3"/>
    </row>
    <row r="15" spans="1:28" ht="18" customHeight="1">
      <c r="A15" s="73">
        <v>7</v>
      </c>
      <c r="B15" s="57">
        <v>19.399999999999999</v>
      </c>
      <c r="C15" s="74">
        <f>'[1]cálculos teóricos'!K9</f>
        <v>1.0429980728749551</v>
      </c>
      <c r="D15" s="59">
        <f t="shared" si="4"/>
        <v>294.68022722569953</v>
      </c>
      <c r="E15" s="60">
        <f t="shared" si="5"/>
        <v>12.337671753485587</v>
      </c>
      <c r="F15" s="61">
        <f t="shared" si="6"/>
        <v>15.751172171856986</v>
      </c>
      <c r="G15" s="62">
        <f>'[1]cálculos teóricos'!T9</f>
        <v>42.850007012169783</v>
      </c>
      <c r="H15" s="75">
        <f t="shared" si="7"/>
        <v>36.758855529203323</v>
      </c>
      <c r="I15" s="57"/>
      <c r="J15" s="57">
        <v>0.1</v>
      </c>
      <c r="K15" s="76">
        <v>0.1</v>
      </c>
      <c r="L15" s="76"/>
      <c r="M15" s="76">
        <v>0.8</v>
      </c>
      <c r="N15" s="76">
        <v>1</v>
      </c>
      <c r="O15" s="77">
        <v>0.3</v>
      </c>
      <c r="P15" s="79"/>
      <c r="Q15" s="76"/>
      <c r="R15" s="76"/>
      <c r="S15" s="76"/>
      <c r="T15" s="67">
        <v>0.4</v>
      </c>
      <c r="U15" s="67"/>
      <c r="V15" s="78"/>
      <c r="W15" s="68">
        <f t="shared" si="0"/>
        <v>2.2999999999999998</v>
      </c>
      <c r="X15" s="69">
        <f t="shared" si="1"/>
        <v>0.4</v>
      </c>
      <c r="Y15" s="70">
        <f t="shared" si="2"/>
        <v>2.6999999999999997</v>
      </c>
      <c r="Z15" s="71">
        <f>'[1]cálculos teóricos'!I9</f>
        <v>13.391476313835456</v>
      </c>
      <c r="AA15" s="72">
        <f t="shared" si="3"/>
        <v>20.162078748632698</v>
      </c>
      <c r="AB15" s="3"/>
    </row>
    <row r="16" spans="1:28" ht="18" customHeight="1">
      <c r="A16" s="80">
        <v>8</v>
      </c>
      <c r="B16" s="76">
        <v>26.1</v>
      </c>
      <c r="C16" s="74">
        <f>'[1]cálculos teóricos'!K10</f>
        <v>1.0429294034098502</v>
      </c>
      <c r="D16" s="59">
        <f t="shared" si="4"/>
        <v>396.42513176719916</v>
      </c>
      <c r="E16" s="60">
        <f t="shared" si="5"/>
        <v>16.597527416829095</v>
      </c>
      <c r="F16" s="61">
        <f t="shared" si="6"/>
        <v>21.075991751036369</v>
      </c>
      <c r="G16" s="62">
        <f>'[1]cálculos teóricos'!T10</f>
        <v>42.822182910782871</v>
      </c>
      <c r="H16" s="75">
        <f t="shared" si="7"/>
        <v>49.217462348770901</v>
      </c>
      <c r="I16" s="79"/>
      <c r="J16" s="57">
        <v>0.8</v>
      </c>
      <c r="K16" s="76">
        <v>0.8</v>
      </c>
      <c r="L16" s="76">
        <v>0.9</v>
      </c>
      <c r="M16" s="76">
        <v>1</v>
      </c>
      <c r="N16" s="76">
        <v>0.7</v>
      </c>
      <c r="O16" s="77">
        <v>0.9</v>
      </c>
      <c r="P16" s="79">
        <v>1</v>
      </c>
      <c r="Q16" s="66">
        <v>0.3</v>
      </c>
      <c r="R16" s="67">
        <v>0.1</v>
      </c>
      <c r="S16" s="67"/>
      <c r="T16" s="67"/>
      <c r="U16" s="67"/>
      <c r="V16" s="78"/>
      <c r="W16" s="68">
        <f t="shared" si="0"/>
        <v>5.1000000000000005</v>
      </c>
      <c r="X16" s="69">
        <f t="shared" si="1"/>
        <v>1.4000000000000001</v>
      </c>
      <c r="Y16" s="70">
        <f t="shared" si="2"/>
        <v>6.5000000000000009</v>
      </c>
      <c r="Z16" s="71">
        <f>'[1]cálculos teóricos'!I10</f>
        <v>13.382837075865469</v>
      </c>
      <c r="AA16" s="72">
        <f t="shared" si="3"/>
        <v>48.569671461681793</v>
      </c>
      <c r="AB16" s="3"/>
    </row>
    <row r="17" spans="1:28" ht="18" customHeight="1">
      <c r="A17" s="80">
        <v>9</v>
      </c>
      <c r="B17" s="76">
        <v>19.2</v>
      </c>
      <c r="C17" s="74">
        <f>'[1]cálculos teóricos'!K11</f>
        <v>1.0428555718713279</v>
      </c>
      <c r="D17" s="59">
        <f t="shared" si="4"/>
        <v>291.6024407222032</v>
      </c>
      <c r="E17" s="60">
        <f t="shared" si="5"/>
        <v>12.208810988157204</v>
      </c>
      <c r="F17" s="61">
        <f t="shared" si="6"/>
        <v>15.590096215196503</v>
      </c>
      <c r="G17" s="62">
        <f>'[1]cálculos teóricos'!T11</f>
        <v>42.792206670842504</v>
      </c>
      <c r="H17" s="75">
        <f t="shared" si="7"/>
        <v>36.432092261835123</v>
      </c>
      <c r="I17" s="79"/>
      <c r="J17" s="81"/>
      <c r="K17" s="81">
        <v>0.4</v>
      </c>
      <c r="L17" s="81">
        <v>0.7</v>
      </c>
      <c r="M17" s="81">
        <v>0.9</v>
      </c>
      <c r="N17" s="81"/>
      <c r="O17" s="78">
        <v>0.1</v>
      </c>
      <c r="P17" s="82">
        <v>0.5</v>
      </c>
      <c r="Q17" s="81">
        <v>0.8</v>
      </c>
      <c r="R17" s="81">
        <v>0.1</v>
      </c>
      <c r="S17" s="81"/>
      <c r="T17" s="81"/>
      <c r="U17" s="67"/>
      <c r="V17" s="78"/>
      <c r="W17" s="68">
        <f t="shared" si="0"/>
        <v>2.1</v>
      </c>
      <c r="X17" s="69">
        <f t="shared" si="1"/>
        <v>1.4000000000000001</v>
      </c>
      <c r="Y17" s="70">
        <f t="shared" si="2"/>
        <v>3.5</v>
      </c>
      <c r="Z17" s="71">
        <f>'[1]cálculos teóricos'!I11</f>
        <v>13.373707148420571</v>
      </c>
      <c r="AA17" s="72">
        <f t="shared" si="3"/>
        <v>26.170754011264172</v>
      </c>
      <c r="AB17" s="3"/>
    </row>
    <row r="18" spans="1:28" ht="18" customHeight="1">
      <c r="A18" s="83">
        <v>10</v>
      </c>
      <c r="B18" s="76">
        <v>32.700000000000003</v>
      </c>
      <c r="C18" s="74">
        <f>'[1]cálculos teóricos'!K12</f>
        <v>1.0427764216695341</v>
      </c>
      <c r="D18" s="59">
        <f t="shared" si="4"/>
        <v>496.59771343538534</v>
      </c>
      <c r="E18" s="60">
        <f t="shared" si="5"/>
        <v>20.791553066112716</v>
      </c>
      <c r="F18" s="61">
        <f t="shared" si="6"/>
        <v>26.31852381264089</v>
      </c>
      <c r="G18" s="62">
        <f>'[1]cálculos teóricos'!T12</f>
        <v>42.760063031628945</v>
      </c>
      <c r="H18" s="75">
        <f t="shared" si="7"/>
        <v>61.549310142909505</v>
      </c>
      <c r="I18" s="79"/>
      <c r="J18" s="81">
        <v>0.6</v>
      </c>
      <c r="K18" s="81">
        <v>1</v>
      </c>
      <c r="L18" s="81">
        <v>1</v>
      </c>
      <c r="M18" s="81">
        <v>1</v>
      </c>
      <c r="N18" s="81">
        <v>0.8</v>
      </c>
      <c r="O18" s="78">
        <v>1</v>
      </c>
      <c r="P18" s="82">
        <v>1</v>
      </c>
      <c r="Q18" s="81">
        <v>0.7</v>
      </c>
      <c r="R18" s="81">
        <v>0.9</v>
      </c>
      <c r="S18" s="81">
        <v>1</v>
      </c>
      <c r="T18" s="67">
        <v>1</v>
      </c>
      <c r="U18" s="67">
        <v>0.8</v>
      </c>
      <c r="V18" s="78"/>
      <c r="W18" s="68">
        <f t="shared" si="0"/>
        <v>5.4</v>
      </c>
      <c r="X18" s="69">
        <f t="shared" si="1"/>
        <v>5.3999999999999995</v>
      </c>
      <c r="Y18" s="70">
        <f t="shared" si="2"/>
        <v>10.8</v>
      </c>
      <c r="Z18" s="71">
        <f>'[1]cálculos teóricos'!I12</f>
        <v>13.364093734637674</v>
      </c>
      <c r="AA18" s="72">
        <f t="shared" si="3"/>
        <v>80.813560683191426</v>
      </c>
      <c r="AB18" s="3"/>
    </row>
    <row r="19" spans="1:28" ht="18" customHeight="1">
      <c r="A19" s="84">
        <v>11</v>
      </c>
      <c r="B19" s="76">
        <v>32.1</v>
      </c>
      <c r="C19" s="74">
        <f>'[1]cálculos teóricos'!K13</f>
        <v>1.0426917897715424</v>
      </c>
      <c r="D19" s="59">
        <f t="shared" si="4"/>
        <v>487.44626435884527</v>
      </c>
      <c r="E19" s="60">
        <f t="shared" si="5"/>
        <v>20.408400196176132</v>
      </c>
      <c r="F19" s="61">
        <f t="shared" si="6"/>
        <v>25.839582725220165</v>
      </c>
      <c r="G19" s="62">
        <f>'[1]cálculos teóricos'!T13</f>
        <v>42.72573639089709</v>
      </c>
      <c r="H19" s="75">
        <f t="shared" si="7"/>
        <v>60.477793732597682</v>
      </c>
      <c r="I19" s="79"/>
      <c r="J19" s="81">
        <v>0.9</v>
      </c>
      <c r="K19" s="81">
        <v>1</v>
      </c>
      <c r="L19" s="81">
        <v>1</v>
      </c>
      <c r="M19" s="81">
        <v>1</v>
      </c>
      <c r="N19" s="81">
        <v>0.9</v>
      </c>
      <c r="O19" s="77">
        <v>1</v>
      </c>
      <c r="P19" s="66">
        <v>0.9</v>
      </c>
      <c r="Q19" s="67">
        <v>0.8</v>
      </c>
      <c r="R19" s="67">
        <v>0.2</v>
      </c>
      <c r="S19" s="67">
        <v>0.2</v>
      </c>
      <c r="T19" s="67"/>
      <c r="U19" s="67"/>
      <c r="V19" s="78"/>
      <c r="W19" s="68">
        <f t="shared" si="0"/>
        <v>5.8</v>
      </c>
      <c r="X19" s="69">
        <f t="shared" si="1"/>
        <v>2.1</v>
      </c>
      <c r="Y19" s="70">
        <f t="shared" si="2"/>
        <v>7.9</v>
      </c>
      <c r="Z19" s="71">
        <f>'[1]cálculos teóricos'!I13</f>
        <v>13.354004339762858</v>
      </c>
      <c r="AA19" s="72">
        <f t="shared" si="3"/>
        <v>59.158285402656155</v>
      </c>
      <c r="AB19" s="3"/>
    </row>
    <row r="20" spans="1:28" ht="18" customHeight="1">
      <c r="A20" s="85">
        <v>12</v>
      </c>
      <c r="B20" s="76">
        <v>22.5</v>
      </c>
      <c r="C20" s="74">
        <f>'[1]cálculos teóricos'!K14</f>
        <v>1.0426015071100707</v>
      </c>
      <c r="D20" s="59">
        <f t="shared" si="4"/>
        <v>341.63835859794409</v>
      </c>
      <c r="E20" s="60">
        <f t="shared" si="5"/>
        <v>14.303714797778722</v>
      </c>
      <c r="F20" s="61">
        <f t="shared" si="6"/>
        <v>18.208725977223402</v>
      </c>
      <c r="G20" s="62">
        <f>'[1]cálculos teóricos'!T14</f>
        <v>42.689210862833292</v>
      </c>
      <c r="H20" s="75">
        <f t="shared" si="7"/>
        <v>42.654163919147429</v>
      </c>
      <c r="I20" s="79"/>
      <c r="J20" s="81"/>
      <c r="K20" s="81"/>
      <c r="L20" s="81"/>
      <c r="M20" s="81"/>
      <c r="N20" s="81">
        <v>0.3</v>
      </c>
      <c r="O20" s="78">
        <v>0.3</v>
      </c>
      <c r="P20" s="66">
        <v>0.3</v>
      </c>
      <c r="Q20" s="67">
        <v>0.3</v>
      </c>
      <c r="R20" s="67">
        <v>0.3</v>
      </c>
      <c r="S20" s="67">
        <v>0.1</v>
      </c>
      <c r="T20" s="67"/>
      <c r="U20" s="67"/>
      <c r="V20" s="78"/>
      <c r="W20" s="68">
        <f t="shared" si="0"/>
        <v>0.6</v>
      </c>
      <c r="X20" s="69">
        <f t="shared" si="1"/>
        <v>0.99999999999999989</v>
      </c>
      <c r="Y20" s="70">
        <f t="shared" si="2"/>
        <v>1.5999999999999999</v>
      </c>
      <c r="Z20" s="71">
        <f>'[1]cálculos teóricos'!I14</f>
        <v>13.343446752357368</v>
      </c>
      <c r="AA20" s="72">
        <f t="shared" si="3"/>
        <v>11.990904821629616</v>
      </c>
      <c r="AB20" s="3"/>
    </row>
    <row r="21" spans="1:28" ht="18" customHeight="1">
      <c r="A21" s="85">
        <v>13</v>
      </c>
      <c r="B21" s="76">
        <v>29.6</v>
      </c>
      <c r="C21" s="74">
        <f>'[1]cálculos teóricos'!K15</f>
        <v>1.0425053990059436</v>
      </c>
      <c r="D21" s="59">
        <f t="shared" si="4"/>
        <v>449.40281040132265</v>
      </c>
      <c r="E21" s="60">
        <f t="shared" si="5"/>
        <v>18.815596865882576</v>
      </c>
      <c r="F21" s="61">
        <f t="shared" si="6"/>
        <v>23.848578562353222</v>
      </c>
      <c r="G21" s="62">
        <f>'[1]cálculos teóricos'!T15</f>
        <v>42.6504703379955</v>
      </c>
      <c r="H21" s="75">
        <f t="shared" si="7"/>
        <v>55.916331926373935</v>
      </c>
      <c r="I21" s="79"/>
      <c r="J21" s="81">
        <v>0.6</v>
      </c>
      <c r="K21" s="81">
        <v>1</v>
      </c>
      <c r="L21" s="81">
        <v>1</v>
      </c>
      <c r="M21" s="81">
        <v>1</v>
      </c>
      <c r="N21" s="81">
        <v>0.4</v>
      </c>
      <c r="O21" s="78">
        <v>0.9</v>
      </c>
      <c r="P21" s="66">
        <v>0.5</v>
      </c>
      <c r="Q21" s="67">
        <v>0.1</v>
      </c>
      <c r="R21" s="67">
        <v>0.3</v>
      </c>
      <c r="S21" s="67">
        <v>0.8</v>
      </c>
      <c r="T21" s="67">
        <v>0.4</v>
      </c>
      <c r="U21" s="67"/>
      <c r="V21" s="78"/>
      <c r="W21" s="68">
        <f t="shared" si="0"/>
        <v>4.9000000000000004</v>
      </c>
      <c r="X21" s="69">
        <f t="shared" si="1"/>
        <v>2.1</v>
      </c>
      <c r="Y21" s="70">
        <f t="shared" si="2"/>
        <v>7</v>
      </c>
      <c r="Z21" s="71">
        <f>'[1]cálculos teóricos'!I15</f>
        <v>13.332429025149247</v>
      </c>
      <c r="AA21" s="72">
        <f t="shared" si="3"/>
        <v>52.503560954989894</v>
      </c>
      <c r="AB21" s="3"/>
    </row>
    <row r="22" spans="1:28" ht="18" customHeight="1">
      <c r="A22" s="85">
        <v>14</v>
      </c>
      <c r="B22" s="76">
        <v>20.5</v>
      </c>
      <c r="C22" s="74">
        <f>'[1]cálculos teóricos'!K16</f>
        <v>1.0424032856029817</v>
      </c>
      <c r="D22" s="59">
        <f t="shared" si="4"/>
        <v>311.21132512252001</v>
      </c>
      <c r="E22" s="60">
        <f t="shared" si="5"/>
        <v>13.029795760229668</v>
      </c>
      <c r="F22" s="61">
        <f t="shared" si="6"/>
        <v>16.616327180287087</v>
      </c>
      <c r="G22" s="62">
        <f>'[1]cálculos teóricos'!T16</f>
        <v>42.609498545049341</v>
      </c>
      <c r="H22" s="75">
        <f t="shared" si="7"/>
        <v>38.996767734122244</v>
      </c>
      <c r="I22" s="79"/>
      <c r="J22" s="81">
        <v>1</v>
      </c>
      <c r="K22" s="81">
        <v>0.6</v>
      </c>
      <c r="L22" s="81">
        <v>0.5</v>
      </c>
      <c r="M22" s="81">
        <v>0.8</v>
      </c>
      <c r="N22" s="81">
        <v>0.5</v>
      </c>
      <c r="O22" s="78">
        <v>0.3</v>
      </c>
      <c r="P22" s="66"/>
      <c r="Q22" s="67"/>
      <c r="R22" s="67"/>
      <c r="S22" s="67"/>
      <c r="T22" s="67"/>
      <c r="U22" s="67"/>
      <c r="V22" s="78"/>
      <c r="W22" s="68">
        <f t="shared" si="0"/>
        <v>3.7</v>
      </c>
      <c r="X22" s="69">
        <f t="shared" si="1"/>
        <v>0</v>
      </c>
      <c r="Y22" s="70">
        <f t="shared" si="2"/>
        <v>3.7</v>
      </c>
      <c r="Z22" s="71">
        <f>'[1]cálculos teóricos'!I16</f>
        <v>13.32095945561748</v>
      </c>
      <c r="AA22" s="72">
        <f t="shared" si="3"/>
        <v>27.775777055155746</v>
      </c>
      <c r="AB22" s="3"/>
    </row>
    <row r="23" spans="1:28" ht="18" customHeight="1">
      <c r="A23" s="85">
        <v>15</v>
      </c>
      <c r="B23" s="76">
        <v>32</v>
      </c>
      <c r="C23" s="74">
        <f>'[1]cálculos teóricos'!K17</f>
        <v>1.0422949823139649</v>
      </c>
      <c r="D23" s="59">
        <f t="shared" si="4"/>
        <v>485.74281519774172</v>
      </c>
      <c r="E23" s="60">
        <f t="shared" si="5"/>
        <v>20.337080186699051</v>
      </c>
      <c r="F23" s="61">
        <f t="shared" si="6"/>
        <v>25.750432713373815</v>
      </c>
      <c r="G23" s="62">
        <f>'[1]cálculos teóricos'!T17</f>
        <v>42.566279114105868</v>
      </c>
      <c r="H23" s="75">
        <f t="shared" si="7"/>
        <v>60.494911111082963</v>
      </c>
      <c r="I23" s="79"/>
      <c r="J23" s="81"/>
      <c r="K23" s="81">
        <v>0.5</v>
      </c>
      <c r="L23" s="81">
        <v>1</v>
      </c>
      <c r="M23" s="81">
        <v>1</v>
      </c>
      <c r="N23" s="81">
        <v>1</v>
      </c>
      <c r="O23" s="78">
        <v>1</v>
      </c>
      <c r="P23" s="66">
        <v>0.9</v>
      </c>
      <c r="Q23" s="67">
        <v>1</v>
      </c>
      <c r="R23" s="67">
        <v>1</v>
      </c>
      <c r="S23" s="67">
        <v>0.5</v>
      </c>
      <c r="T23" s="67"/>
      <c r="U23" s="67"/>
      <c r="V23" s="78"/>
      <c r="W23" s="68">
        <f t="shared" si="0"/>
        <v>4.5</v>
      </c>
      <c r="X23" s="69">
        <f t="shared" si="1"/>
        <v>3.4</v>
      </c>
      <c r="Y23" s="70">
        <f t="shared" si="2"/>
        <v>7.9</v>
      </c>
      <c r="Z23" s="71">
        <f>'[1]cálculos teóricos'!I17</f>
        <v>13.309046566394962</v>
      </c>
      <c r="AA23" s="72">
        <f t="shared" si="3"/>
        <v>59.358121264278388</v>
      </c>
      <c r="AB23" s="3"/>
    </row>
    <row r="24" spans="1:28" ht="18" customHeight="1">
      <c r="A24" s="85">
        <v>16</v>
      </c>
      <c r="B24" s="76">
        <v>19.5</v>
      </c>
      <c r="C24" s="74">
        <f>'[1]cálculos teóricos'!K18</f>
        <v>1.0421803002763004</v>
      </c>
      <c r="D24" s="59">
        <f t="shared" si="4"/>
        <v>295.96695965994104</v>
      </c>
      <c r="E24" s="60">
        <f t="shared" si="5"/>
        <v>12.39154466704241</v>
      </c>
      <c r="F24" s="61">
        <f t="shared" si="6"/>
        <v>15.818513313803015</v>
      </c>
      <c r="G24" s="62">
        <f>'[1]cálculos teóricos'!T18</f>
        <v>42.520795641460737</v>
      </c>
      <c r="H24" s="75">
        <f t="shared" si="7"/>
        <v>37.201828129431476</v>
      </c>
      <c r="I24" s="79"/>
      <c r="J24" s="81"/>
      <c r="K24" s="81"/>
      <c r="L24" s="81"/>
      <c r="M24" s="81">
        <v>0.3</v>
      </c>
      <c r="N24" s="81">
        <v>0.3</v>
      </c>
      <c r="O24" s="78">
        <v>0.1</v>
      </c>
      <c r="P24" s="66">
        <v>0.2</v>
      </c>
      <c r="Q24" s="67">
        <v>0.2</v>
      </c>
      <c r="R24" s="67">
        <v>1</v>
      </c>
      <c r="S24" s="67">
        <v>0.1</v>
      </c>
      <c r="T24" s="67"/>
      <c r="U24" s="67"/>
      <c r="V24" s="78"/>
      <c r="W24" s="68">
        <f t="shared" si="0"/>
        <v>0.7</v>
      </c>
      <c r="X24" s="69">
        <f t="shared" si="1"/>
        <v>1.5</v>
      </c>
      <c r="Y24" s="70">
        <f t="shared" si="2"/>
        <v>2.2000000000000002</v>
      </c>
      <c r="Z24" s="71">
        <f>'[1]cálculos teóricos'!I18</f>
        <v>13.296699085574138</v>
      </c>
      <c r="AA24" s="72">
        <f t="shared" si="3"/>
        <v>16.545459785480332</v>
      </c>
      <c r="AB24" s="3"/>
    </row>
    <row r="25" spans="1:28" ht="18" customHeight="1">
      <c r="A25" s="85">
        <v>17</v>
      </c>
      <c r="B25" s="76">
        <v>19.8</v>
      </c>
      <c r="C25" s="74">
        <f>'[1]cálculos teóricos'!K19</f>
        <v>1.0420590468160129</v>
      </c>
      <c r="D25" s="59">
        <f t="shared" si="4"/>
        <v>300.48533318043911</v>
      </c>
      <c r="E25" s="60">
        <f t="shared" si="5"/>
        <v>12.580719929598624</v>
      </c>
      <c r="F25" s="61">
        <f t="shared" si="6"/>
        <v>16.05498239199828</v>
      </c>
      <c r="G25" s="62">
        <f>'[1]cálculos teóricos'!T19</f>
        <v>42.473031755529334</v>
      </c>
      <c r="H25" s="75">
        <f t="shared" si="7"/>
        <v>37.800415295072902</v>
      </c>
      <c r="I25" s="79"/>
      <c r="J25" s="81"/>
      <c r="K25" s="81">
        <v>0.5</v>
      </c>
      <c r="L25" s="81">
        <v>0.4</v>
      </c>
      <c r="M25" s="81">
        <v>0.2</v>
      </c>
      <c r="N25" s="81">
        <v>0.3</v>
      </c>
      <c r="O25" s="78"/>
      <c r="P25" s="66"/>
      <c r="Q25" s="67"/>
      <c r="R25" s="67"/>
      <c r="S25" s="67"/>
      <c r="T25" s="67"/>
      <c r="U25" s="67"/>
      <c r="V25" s="78"/>
      <c r="W25" s="68">
        <f t="shared" si="0"/>
        <v>1.4000000000000001</v>
      </c>
      <c r="X25" s="69">
        <f t="shared" si="1"/>
        <v>0</v>
      </c>
      <c r="Y25" s="70">
        <f t="shared" si="2"/>
        <v>1.4000000000000001</v>
      </c>
      <c r="Z25" s="71">
        <f>'[1]cálculos teóricos'!I19</f>
        <v>13.283925926997437</v>
      </c>
      <c r="AA25" s="72">
        <f t="shared" si="3"/>
        <v>10.539053045716898</v>
      </c>
      <c r="AB25" s="3"/>
    </row>
    <row r="26" spans="1:28" ht="18" customHeight="1">
      <c r="A26" s="85">
        <v>18</v>
      </c>
      <c r="B26" s="76">
        <v>34.299999999999997</v>
      </c>
      <c r="C26" s="74">
        <f>'[1]cálculos teóricos'!K20</f>
        <v>1.0419310259186705</v>
      </c>
      <c r="D26" s="59">
        <f t="shared" si="4"/>
        <v>520.47377361165286</v>
      </c>
      <c r="E26" s="60">
        <f t="shared" si="5"/>
        <v>21.791195953572682</v>
      </c>
      <c r="F26" s="61">
        <f t="shared" si="6"/>
        <v>27.568077421965853</v>
      </c>
      <c r="G26" s="62">
        <f>'[1]cálculos teóricos'!T20</f>
        <v>42.422971183768496</v>
      </c>
      <c r="H26" s="75">
        <f t="shared" si="7"/>
        <v>64.983844018246671</v>
      </c>
      <c r="I26" s="79"/>
      <c r="J26" s="81"/>
      <c r="K26" s="81">
        <v>0.6</v>
      </c>
      <c r="L26" s="81">
        <v>1</v>
      </c>
      <c r="M26" s="81">
        <v>1</v>
      </c>
      <c r="N26" s="81">
        <v>1</v>
      </c>
      <c r="O26" s="78">
        <v>0.9</v>
      </c>
      <c r="P26" s="82">
        <v>1</v>
      </c>
      <c r="Q26" s="67">
        <v>1</v>
      </c>
      <c r="R26" s="67">
        <v>1</v>
      </c>
      <c r="S26" s="67">
        <v>0.1</v>
      </c>
      <c r="T26" s="67">
        <v>0.5</v>
      </c>
      <c r="U26" s="67"/>
      <c r="V26" s="78"/>
      <c r="W26" s="68">
        <f t="shared" si="0"/>
        <v>4.5</v>
      </c>
      <c r="X26" s="69">
        <f t="shared" si="1"/>
        <v>3.6</v>
      </c>
      <c r="Y26" s="70">
        <f t="shared" si="2"/>
        <v>8.1</v>
      </c>
      <c r="Z26" s="71">
        <f>'[1]cálculos teóricos'!I20</f>
        <v>13.270736170611478</v>
      </c>
      <c r="AA26" s="72">
        <f t="shared" si="3"/>
        <v>61.03655363097144</v>
      </c>
      <c r="AB26" s="3"/>
    </row>
    <row r="27" spans="1:28" ht="18" customHeight="1">
      <c r="A27" s="85">
        <v>19</v>
      </c>
      <c r="B27" s="76">
        <v>22.7</v>
      </c>
      <c r="C27" s="74">
        <f>'[1]cálculos teóricos'!K21</f>
        <v>1.0417960387058549</v>
      </c>
      <c r="D27" s="59">
        <f t="shared" si="4"/>
        <v>344.4088630400247</v>
      </c>
      <c r="E27" s="60">
        <f t="shared" si="5"/>
        <v>14.419710277759753</v>
      </c>
      <c r="F27" s="61">
        <f t="shared" si="6"/>
        <v>18.353720327199692</v>
      </c>
      <c r="G27" s="62">
        <f>'[1]cálculos teóricos'!T21</f>
        <v>42.370597820371522</v>
      </c>
      <c r="H27" s="75">
        <f t="shared" si="7"/>
        <v>43.317114393829335</v>
      </c>
      <c r="I27" s="79"/>
      <c r="J27" s="81"/>
      <c r="K27" s="81">
        <v>0.7</v>
      </c>
      <c r="L27" s="81">
        <v>1</v>
      </c>
      <c r="M27" s="81">
        <v>1</v>
      </c>
      <c r="N27" s="81">
        <v>0.9</v>
      </c>
      <c r="O27" s="78">
        <v>0.1</v>
      </c>
      <c r="P27" s="66"/>
      <c r="Q27" s="67">
        <v>0.2</v>
      </c>
      <c r="R27" s="67"/>
      <c r="S27" s="67">
        <v>0.5</v>
      </c>
      <c r="T27" s="67">
        <v>0.2</v>
      </c>
      <c r="U27" s="67"/>
      <c r="V27" s="78"/>
      <c r="W27" s="68">
        <f t="shared" si="0"/>
        <v>3.7</v>
      </c>
      <c r="X27" s="69">
        <f t="shared" si="1"/>
        <v>0.89999999999999991</v>
      </c>
      <c r="Y27" s="70">
        <f t="shared" si="2"/>
        <v>4.5999999999999996</v>
      </c>
      <c r="Z27" s="71">
        <f>'[1]cálculos teóricos'!I21</f>
        <v>13.257139042960983</v>
      </c>
      <c r="AA27" s="72">
        <f t="shared" si="3"/>
        <v>34.698285845032437</v>
      </c>
      <c r="AB27" s="3"/>
    </row>
    <row r="28" spans="1:28" ht="18" customHeight="1">
      <c r="A28" s="85">
        <v>20</v>
      </c>
      <c r="B28" s="76">
        <v>35.799999999999997</v>
      </c>
      <c r="C28" s="74">
        <f>'[1]cálculos teóricos'!K22</f>
        <v>1.0416538839157914</v>
      </c>
      <c r="D28" s="59">
        <f t="shared" si="4"/>
        <v>543.09052291499313</v>
      </c>
      <c r="E28" s="60">
        <f t="shared" si="5"/>
        <v>22.738114013404935</v>
      </c>
      <c r="F28" s="61">
        <f t="shared" si="6"/>
        <v>28.751724996756167</v>
      </c>
      <c r="G28" s="62">
        <f>'[1]cálculos teóricos'!T22</f>
        <v>42.315895794520593</v>
      </c>
      <c r="H28" s="75">
        <f t="shared" si="7"/>
        <v>67.945448056612264</v>
      </c>
      <c r="I28" s="79"/>
      <c r="J28" s="81">
        <v>1</v>
      </c>
      <c r="K28" s="81">
        <v>0.9</v>
      </c>
      <c r="L28" s="81">
        <v>1</v>
      </c>
      <c r="M28" s="81">
        <v>1</v>
      </c>
      <c r="N28" s="81">
        <v>1</v>
      </c>
      <c r="O28" s="77">
        <v>1</v>
      </c>
      <c r="P28" s="66">
        <v>1</v>
      </c>
      <c r="Q28" s="67">
        <v>1</v>
      </c>
      <c r="R28" s="67">
        <v>1</v>
      </c>
      <c r="S28" s="67">
        <v>1</v>
      </c>
      <c r="T28" s="67">
        <v>1</v>
      </c>
      <c r="U28" s="67">
        <v>0.6</v>
      </c>
      <c r="V28" s="78"/>
      <c r="W28" s="68">
        <f t="shared" si="0"/>
        <v>5.9</v>
      </c>
      <c r="X28" s="69">
        <f t="shared" si="1"/>
        <v>5.6</v>
      </c>
      <c r="Y28" s="70">
        <f t="shared" si="2"/>
        <v>11.5</v>
      </c>
      <c r="Z28" s="71">
        <f>'[1]cálculos teóricos'!I22</f>
        <v>13.243143897894775</v>
      </c>
      <c r="AA28" s="72">
        <f t="shared" si="3"/>
        <v>86.837386112130986</v>
      </c>
      <c r="AB28" s="3"/>
    </row>
    <row r="29" spans="1:28" ht="18" customHeight="1">
      <c r="A29" s="84">
        <v>21</v>
      </c>
      <c r="B29" s="76">
        <v>30.5</v>
      </c>
      <c r="C29" s="74">
        <f>'[1]cálculos teóricos'!K23</f>
        <v>1.0415043583867623</v>
      </c>
      <c r="D29" s="59">
        <f t="shared" si="4"/>
        <v>462.62243606265116</v>
      </c>
      <c r="E29" s="60">
        <f t="shared" si="5"/>
        <v>19.369076153071077</v>
      </c>
      <c r="F29" s="61">
        <f t="shared" si="6"/>
        <v>24.540427671338847</v>
      </c>
      <c r="G29" s="62">
        <f>'[1]cálculos teóricos'!T23</f>
        <v>42.258849538979433</v>
      </c>
      <c r="H29" s="75">
        <f t="shared" si="7"/>
        <v>58.071688981269666</v>
      </c>
      <c r="I29" s="79"/>
      <c r="J29" s="81">
        <v>0.5</v>
      </c>
      <c r="K29" s="81">
        <v>1</v>
      </c>
      <c r="L29" s="81">
        <v>1</v>
      </c>
      <c r="M29" s="81">
        <v>1</v>
      </c>
      <c r="N29" s="81">
        <v>1</v>
      </c>
      <c r="O29" s="78">
        <v>1</v>
      </c>
      <c r="P29" s="66">
        <v>1</v>
      </c>
      <c r="Q29" s="67">
        <v>1</v>
      </c>
      <c r="R29" s="67">
        <v>0.9</v>
      </c>
      <c r="S29" s="67">
        <v>0.8</v>
      </c>
      <c r="T29" s="67"/>
      <c r="U29" s="67"/>
      <c r="V29" s="78"/>
      <c r="W29" s="68">
        <f t="shared" si="0"/>
        <v>5.5</v>
      </c>
      <c r="X29" s="69">
        <f t="shared" si="1"/>
        <v>3.7</v>
      </c>
      <c r="Y29" s="70">
        <f t="shared" si="2"/>
        <v>9.1999999999999993</v>
      </c>
      <c r="Z29" s="71">
        <f>'[1]cálculos teóricos'!I23</f>
        <v>13.228760197552258</v>
      </c>
      <c r="AA29" s="72">
        <f t="shared" si="3"/>
        <v>69.545443885983289</v>
      </c>
      <c r="AB29" s="3"/>
    </row>
    <row r="30" spans="1:28" ht="18" customHeight="1">
      <c r="A30" s="85">
        <v>22</v>
      </c>
      <c r="B30" s="76">
        <v>29.629000000000001</v>
      </c>
      <c r="C30" s="74">
        <f>'[1]cálculos teóricos'!K24</f>
        <v>1.0413472575419567</v>
      </c>
      <c r="D30" s="59">
        <f t="shared" si="4"/>
        <v>449.34336340505484</v>
      </c>
      <c r="E30" s="60">
        <f t="shared" si="5"/>
        <v>18.813107939042837</v>
      </c>
      <c r="F30" s="61">
        <f t="shared" si="6"/>
        <v>23.845467403803546</v>
      </c>
      <c r="G30" s="62">
        <f>'[1]cálculos teóricos'!T24</f>
        <v>42.199443858808038</v>
      </c>
      <c r="H30" s="75">
        <f t="shared" si="7"/>
        <v>56.506591611932876</v>
      </c>
      <c r="I30" s="79"/>
      <c r="J30" s="81">
        <v>0.5</v>
      </c>
      <c r="K30" s="81">
        <v>0.8</v>
      </c>
      <c r="L30" s="81">
        <v>1</v>
      </c>
      <c r="M30" s="81">
        <v>0.9</v>
      </c>
      <c r="N30" s="81">
        <v>1</v>
      </c>
      <c r="O30" s="78">
        <v>1</v>
      </c>
      <c r="P30" s="66">
        <v>1</v>
      </c>
      <c r="Q30" s="67">
        <v>0.8</v>
      </c>
      <c r="R30" s="67">
        <v>1</v>
      </c>
      <c r="S30" s="67">
        <v>1</v>
      </c>
      <c r="T30" s="67"/>
      <c r="U30" s="67"/>
      <c r="V30" s="78"/>
      <c r="W30" s="68">
        <f t="shared" si="0"/>
        <v>5.1999999999999993</v>
      </c>
      <c r="X30" s="69">
        <f t="shared" si="1"/>
        <v>3.8</v>
      </c>
      <c r="Y30" s="70">
        <f t="shared" si="2"/>
        <v>9</v>
      </c>
      <c r="Z30" s="71">
        <f>'[1]cálculos teóricos'!I24</f>
        <v>13.213997493694729</v>
      </c>
      <c r="AA30" s="72">
        <f t="shared" si="3"/>
        <v>68.109593666068832</v>
      </c>
      <c r="AB30" s="3"/>
    </row>
    <row r="31" spans="1:28" ht="18" customHeight="1">
      <c r="A31" s="85">
        <v>23</v>
      </c>
      <c r="B31" s="76">
        <v>29</v>
      </c>
      <c r="C31" s="74">
        <f>'[1]cálculos teóricos'!K25</f>
        <v>1.041182375874407</v>
      </c>
      <c r="D31" s="59">
        <f t="shared" si="4"/>
        <v>439.73452640036083</v>
      </c>
      <c r="E31" s="60">
        <f t="shared" si="5"/>
        <v>18.410805151330308</v>
      </c>
      <c r="F31" s="61">
        <f t="shared" si="6"/>
        <v>23.342588919162885</v>
      </c>
      <c r="G31" s="62">
        <f>'[1]cálculos teóricos'!T25</f>
        <v>42.137663999981427</v>
      </c>
      <c r="H31" s="75">
        <f t="shared" si="7"/>
        <v>55.396020337466204</v>
      </c>
      <c r="I31" s="79"/>
      <c r="J31" s="81">
        <v>0.2</v>
      </c>
      <c r="K31" s="81"/>
      <c r="L31" s="81">
        <v>0.2</v>
      </c>
      <c r="M31" s="81">
        <v>0.7</v>
      </c>
      <c r="N31" s="81">
        <v>0.6</v>
      </c>
      <c r="O31" s="78">
        <v>0.9</v>
      </c>
      <c r="P31" s="66">
        <v>1</v>
      </c>
      <c r="Q31" s="67">
        <v>0.8</v>
      </c>
      <c r="R31" s="67">
        <v>0.9</v>
      </c>
      <c r="S31" s="67">
        <v>1</v>
      </c>
      <c r="T31" s="67">
        <v>0.9</v>
      </c>
      <c r="U31" s="67">
        <v>1</v>
      </c>
      <c r="V31" s="78"/>
      <c r="W31" s="68">
        <f t="shared" si="0"/>
        <v>2.6</v>
      </c>
      <c r="X31" s="69">
        <f t="shared" si="1"/>
        <v>5.6000000000000005</v>
      </c>
      <c r="Y31" s="70">
        <f t="shared" si="2"/>
        <v>8.2000000000000011</v>
      </c>
      <c r="Z31" s="71">
        <f>'[1]cálculos teóricos'!I25</f>
        <v>13.198865409441321</v>
      </c>
      <c r="AA31" s="72">
        <f t="shared" si="3"/>
        <v>62.12655213632555</v>
      </c>
      <c r="AB31" s="3"/>
    </row>
    <row r="32" spans="1:28" ht="18" customHeight="1">
      <c r="A32" s="85">
        <v>24</v>
      </c>
      <c r="B32" s="76">
        <v>24.6</v>
      </c>
      <c r="C32" s="74">
        <f>'[1]cálculos teóricos'!K26</f>
        <v>1.0410095074307182</v>
      </c>
      <c r="D32" s="59">
        <f t="shared" si="4"/>
        <v>372.9542522520947</v>
      </c>
      <c r="E32" s="60">
        <f t="shared" si="5"/>
        <v>15.6148486332907</v>
      </c>
      <c r="F32" s="61">
        <f t="shared" si="6"/>
        <v>19.847643271613375</v>
      </c>
      <c r="G32" s="62">
        <f>'[1]cálculos teóricos'!T26</f>
        <v>42.073495717695977</v>
      </c>
      <c r="H32" s="75">
        <f t="shared" si="7"/>
        <v>47.173744261201286</v>
      </c>
      <c r="I32" s="79"/>
      <c r="J32" s="81"/>
      <c r="K32" s="81">
        <v>0.8</v>
      </c>
      <c r="L32" s="81">
        <v>0.7</v>
      </c>
      <c r="M32" s="81">
        <v>0.3</v>
      </c>
      <c r="N32" s="81">
        <v>1</v>
      </c>
      <c r="O32" s="78">
        <v>1</v>
      </c>
      <c r="P32" s="66">
        <v>1</v>
      </c>
      <c r="Q32" s="67">
        <v>0.6</v>
      </c>
      <c r="R32" s="67">
        <v>0.8</v>
      </c>
      <c r="S32" s="67"/>
      <c r="T32" s="67"/>
      <c r="U32" s="67"/>
      <c r="V32" s="78"/>
      <c r="W32" s="68">
        <f t="shared" si="0"/>
        <v>3.8</v>
      </c>
      <c r="X32" s="69">
        <f t="shared" si="1"/>
        <v>2.4000000000000004</v>
      </c>
      <c r="Y32" s="70">
        <f t="shared" si="2"/>
        <v>6.2</v>
      </c>
      <c r="Z32" s="71">
        <f>'[1]cálculos teóricos'!I26</f>
        <v>13.183373621464895</v>
      </c>
      <c r="AA32" s="72">
        <f t="shared" si="3"/>
        <v>47.028933397634191</v>
      </c>
      <c r="AB32" s="3"/>
    </row>
    <row r="33" spans="1:28" ht="18" customHeight="1">
      <c r="A33" s="85">
        <v>25</v>
      </c>
      <c r="B33" s="76">
        <v>33.200000000000003</v>
      </c>
      <c r="C33" s="74">
        <f>'[1]cálculos teóricos'!K27</f>
        <v>1.0408284462923059</v>
      </c>
      <c r="D33" s="59">
        <f t="shared" si="4"/>
        <v>503.24908857558944</v>
      </c>
      <c r="E33" s="60">
        <f t="shared" si="5"/>
        <v>21.070032840482778</v>
      </c>
      <c r="F33" s="61">
        <f t="shared" si="6"/>
        <v>26.666623530603474</v>
      </c>
      <c r="G33" s="62">
        <f>'[1]cálculos teóricos'!T27</f>
        <v>42.006925344148755</v>
      </c>
      <c r="H33" s="75">
        <f t="shared" si="7"/>
        <v>63.481493377895916</v>
      </c>
      <c r="I33" s="79"/>
      <c r="J33" s="81">
        <v>0.5</v>
      </c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66">
        <v>1</v>
      </c>
      <c r="Q33" s="67">
        <v>1</v>
      </c>
      <c r="R33" s="67">
        <v>1</v>
      </c>
      <c r="S33" s="67">
        <v>0.9</v>
      </c>
      <c r="T33" s="67">
        <v>0.8</v>
      </c>
      <c r="U33" s="67"/>
      <c r="V33" s="78"/>
      <c r="W33" s="68">
        <f t="shared" si="0"/>
        <v>5.5</v>
      </c>
      <c r="X33" s="69">
        <f t="shared" si="1"/>
        <v>4.7</v>
      </c>
      <c r="Y33" s="70">
        <f t="shared" si="2"/>
        <v>10.199999999999999</v>
      </c>
      <c r="Z33" s="71">
        <f>'[1]cálculos teóricos'!I27</f>
        <v>13.16753184269853</v>
      </c>
      <c r="AA33" s="72">
        <f t="shared" si="3"/>
        <v>77.463264352430301</v>
      </c>
      <c r="AB33" s="3"/>
    </row>
    <row r="34" spans="1:28" ht="18" customHeight="1">
      <c r="A34" s="84">
        <v>26</v>
      </c>
      <c r="B34" s="76">
        <v>17.600000000000001</v>
      </c>
      <c r="C34" s="74">
        <f>'[1]cálculos teóricos'!K28</f>
        <v>1.0406389870529105</v>
      </c>
      <c r="D34" s="59">
        <f t="shared" si="4"/>
        <v>266.73408762783311</v>
      </c>
      <c r="E34" s="60">
        <f t="shared" si="5"/>
        <v>11.167622780802116</v>
      </c>
      <c r="F34" s="61">
        <f t="shared" si="6"/>
        <v>14.288610956002646</v>
      </c>
      <c r="G34" s="62">
        <f>'[1]cálculos teóricos'!T28</f>
        <v>41.937939855578989</v>
      </c>
      <c r="H34" s="75">
        <f t="shared" si="7"/>
        <v>34.070846124554777</v>
      </c>
      <c r="I34" s="79"/>
      <c r="J34" s="81"/>
      <c r="K34" s="81">
        <v>0.7</v>
      </c>
      <c r="L34" s="81">
        <v>0.8</v>
      </c>
      <c r="M34" s="81">
        <v>0.7</v>
      </c>
      <c r="N34" s="81">
        <v>0.8</v>
      </c>
      <c r="O34" s="78">
        <v>1</v>
      </c>
      <c r="P34" s="66"/>
      <c r="Q34" s="67"/>
      <c r="R34" s="67"/>
      <c r="S34" s="67"/>
      <c r="T34" s="67"/>
      <c r="U34" s="67"/>
      <c r="V34" s="78"/>
      <c r="W34" s="68">
        <f t="shared" si="0"/>
        <v>4</v>
      </c>
      <c r="X34" s="69">
        <f t="shared" si="1"/>
        <v>0</v>
      </c>
      <c r="Y34" s="70">
        <f t="shared" si="2"/>
        <v>4</v>
      </c>
      <c r="Z34" s="71">
        <f>'[1]cálculos teóricos'!I28</f>
        <v>13.151349805598334</v>
      </c>
      <c r="AA34" s="72">
        <f t="shared" si="3"/>
        <v>30.415128934501151</v>
      </c>
      <c r="AB34" s="3"/>
    </row>
    <row r="35" spans="1:28" ht="18" customHeight="1">
      <c r="A35" s="84">
        <v>27</v>
      </c>
      <c r="B35" s="76">
        <v>15.5</v>
      </c>
      <c r="C35" s="74">
        <f>'[1]cálculos teóricos'!K29</f>
        <v>1.040440925291195</v>
      </c>
      <c r="D35" s="59">
        <f t="shared" si="4"/>
        <v>234.86315193991396</v>
      </c>
      <c r="E35" s="60">
        <f t="shared" si="5"/>
        <v>9.8332504454203171</v>
      </c>
      <c r="F35" s="61">
        <f t="shared" si="6"/>
        <v>12.620645536775395</v>
      </c>
      <c r="G35" s="62">
        <f>'[1]cálculos teóricos'!T29</f>
        <v>41.866526938364217</v>
      </c>
      <c r="H35" s="75">
        <f t="shared" si="7"/>
        <v>30.1449545966769</v>
      </c>
      <c r="I35" s="79"/>
      <c r="J35" s="81">
        <v>0.9</v>
      </c>
      <c r="K35" s="81">
        <v>0.8</v>
      </c>
      <c r="L35" s="81"/>
      <c r="M35" s="81">
        <v>0.3</v>
      </c>
      <c r="N35" s="81"/>
      <c r="O35" s="78">
        <v>0.2</v>
      </c>
      <c r="P35" s="66"/>
      <c r="Q35" s="67"/>
      <c r="R35" s="67"/>
      <c r="S35" s="67">
        <v>0.1</v>
      </c>
      <c r="T35" s="67"/>
      <c r="U35" s="67"/>
      <c r="V35" s="78"/>
      <c r="W35" s="68">
        <f t="shared" si="0"/>
        <v>2.2000000000000002</v>
      </c>
      <c r="X35" s="69">
        <f t="shared" si="1"/>
        <v>0.1</v>
      </c>
      <c r="Y35" s="70">
        <f t="shared" si="2"/>
        <v>2.3000000000000003</v>
      </c>
      <c r="Z35" s="71">
        <f>'[1]cálculos teóricos'!I29</f>
        <v>13.134837246003574</v>
      </c>
      <c r="AA35" s="72">
        <f t="shared" si="3"/>
        <v>17.510685187209319</v>
      </c>
      <c r="AB35" s="3"/>
    </row>
    <row r="36" spans="1:28" ht="18" customHeight="1">
      <c r="A36" s="85">
        <v>28</v>
      </c>
      <c r="B36" s="76">
        <v>18.899999999999999</v>
      </c>
      <c r="C36" s="74">
        <f>'[1]cálculos teóricos'!K30</f>
        <v>1.0402340580372698</v>
      </c>
      <c r="D36" s="59">
        <f t="shared" si="4"/>
        <v>286.32458050986719</v>
      </c>
      <c r="E36" s="60">
        <f t="shared" si="5"/>
        <v>11.987837536787119</v>
      </c>
      <c r="F36" s="61">
        <f t="shared" si="6"/>
        <v>15.313879400983899</v>
      </c>
      <c r="G36" s="62">
        <f>'[1]cálculos teóricos'!T30</f>
        <v>41.792675053969653</v>
      </c>
      <c r="H36" s="75">
        <f t="shared" si="7"/>
        <v>36.642496277656484</v>
      </c>
      <c r="I36" s="79"/>
      <c r="J36" s="81"/>
      <c r="K36" s="81"/>
      <c r="L36" s="81">
        <v>0.4</v>
      </c>
      <c r="M36" s="81">
        <v>0.4</v>
      </c>
      <c r="N36" s="81">
        <v>0.6</v>
      </c>
      <c r="O36" s="78">
        <v>1</v>
      </c>
      <c r="P36" s="66">
        <v>0.6</v>
      </c>
      <c r="Q36" s="67">
        <v>0.7</v>
      </c>
      <c r="R36" s="67"/>
      <c r="S36" s="67"/>
      <c r="T36" s="67"/>
      <c r="U36" s="67"/>
      <c r="V36" s="78"/>
      <c r="W36" s="68">
        <f t="shared" si="0"/>
        <v>2.4</v>
      </c>
      <c r="X36" s="69">
        <f t="shared" si="1"/>
        <v>1.2999999999999998</v>
      </c>
      <c r="Y36" s="70">
        <f t="shared" si="2"/>
        <v>3.6999999999999997</v>
      </c>
      <c r="Z36" s="71">
        <f>'[1]cálculos teóricos'!I30</f>
        <v>13.118003887630318</v>
      </c>
      <c r="AA36" s="72">
        <f t="shared" si="3"/>
        <v>28.205510775072511</v>
      </c>
      <c r="AB36" s="3"/>
    </row>
    <row r="37" spans="1:28" ht="18" customHeight="1">
      <c r="A37" s="85">
        <v>29</v>
      </c>
      <c r="B37" s="76">
        <v>11.5</v>
      </c>
      <c r="C37" s="74">
        <f>'[1]cálculos teóricos'!K31</f>
        <v>1.0400181842320544</v>
      </c>
      <c r="D37" s="59">
        <f t="shared" si="4"/>
        <v>174.18250549973055</v>
      </c>
      <c r="E37" s="60">
        <f t="shared" si="5"/>
        <v>7.2926731402627185</v>
      </c>
      <c r="F37" s="61">
        <f t="shared" si="6"/>
        <v>9.4449239053283982</v>
      </c>
      <c r="G37" s="62">
        <f>'[1]cálculos teóricos'!T31</f>
        <v>41.716373502555001</v>
      </c>
      <c r="H37" s="75">
        <f t="shared" si="7"/>
        <v>22.640807702879364</v>
      </c>
      <c r="I37" s="79"/>
      <c r="J37" s="81"/>
      <c r="K37" s="81"/>
      <c r="L37" s="81"/>
      <c r="M37" s="81"/>
      <c r="N37" s="81">
        <v>0.1</v>
      </c>
      <c r="O37" s="78"/>
      <c r="P37" s="66"/>
      <c r="Q37" s="67"/>
      <c r="R37" s="67"/>
      <c r="S37" s="67"/>
      <c r="T37" s="67"/>
      <c r="U37" s="67"/>
      <c r="V37" s="78"/>
      <c r="W37" s="68">
        <f t="shared" si="0"/>
        <v>0.1</v>
      </c>
      <c r="X37" s="69">
        <f t="shared" si="1"/>
        <v>0</v>
      </c>
      <c r="Y37" s="70">
        <f t="shared" si="2"/>
        <v>0.1</v>
      </c>
      <c r="Z37" s="71">
        <f>'[1]cálculos teóricos'!I31</f>
        <v>13.100859427229913</v>
      </c>
      <c r="AA37" s="72">
        <f t="shared" si="3"/>
        <v>0.76330870165778364</v>
      </c>
      <c r="AB37" s="3"/>
    </row>
    <row r="38" spans="1:28" ht="18" customHeight="1">
      <c r="A38" s="80">
        <v>30</v>
      </c>
      <c r="B38" s="76">
        <v>13.8</v>
      </c>
      <c r="C38" s="74">
        <f>'[1]cálculos teóricos'!K32</f>
        <v>1.0397931051784299</v>
      </c>
      <c r="D38" s="59">
        <f t="shared" si="4"/>
        <v>208.9737710442717</v>
      </c>
      <c r="E38" s="60">
        <f t="shared" si="5"/>
        <v>8.7493138460815665</v>
      </c>
      <c r="F38" s="61">
        <f t="shared" si="6"/>
        <v>11.265724787601959</v>
      </c>
      <c r="G38" s="62">
        <f>'[1]cálculos teóricos'!T32</f>
        <v>41.637612485050042</v>
      </c>
      <c r="H38" s="75">
        <f t="shared" si="7"/>
        <v>27.056606071366151</v>
      </c>
      <c r="I38" s="79"/>
      <c r="J38" s="81"/>
      <c r="K38" s="81"/>
      <c r="L38" s="81"/>
      <c r="M38" s="81"/>
      <c r="N38" s="81">
        <v>0.2</v>
      </c>
      <c r="O38" s="78">
        <v>0.2</v>
      </c>
      <c r="P38" s="66">
        <v>0.7</v>
      </c>
      <c r="Q38" s="67">
        <v>0.3</v>
      </c>
      <c r="R38" s="67"/>
      <c r="S38" s="67"/>
      <c r="T38" s="67"/>
      <c r="U38" s="67"/>
      <c r="V38" s="78"/>
      <c r="W38" s="68">
        <f t="shared" si="0"/>
        <v>0.4</v>
      </c>
      <c r="X38" s="69">
        <f t="shared" si="1"/>
        <v>1</v>
      </c>
      <c r="Y38" s="70">
        <f t="shared" si="2"/>
        <v>1.4</v>
      </c>
      <c r="Z38" s="71">
        <f>'[1]cálculos teóricos'!I32</f>
        <v>13.083413520438963</v>
      </c>
      <c r="AA38" s="72">
        <f t="shared" si="3"/>
        <v>10.700571359400314</v>
      </c>
      <c r="AB38" s="3"/>
    </row>
    <row r="39" spans="1:28" ht="18" customHeight="1" thickBot="1">
      <c r="A39" s="86">
        <v>31</v>
      </c>
      <c r="B39" s="87">
        <v>18.2</v>
      </c>
      <c r="C39" s="88">
        <f>'[1]cálculos teóricos'!K33</f>
        <v>1.0395586249831952</v>
      </c>
      <c r="D39" s="89">
        <f t="shared" si="4"/>
        <v>275.54093903595827</v>
      </c>
      <c r="E39" s="90">
        <f t="shared" si="5"/>
        <v>11.5363480355575</v>
      </c>
      <c r="F39" s="91">
        <f t="shared" si="6"/>
        <v>14.749517524446876</v>
      </c>
      <c r="G39" s="92">
        <f>'[1]cálculos teóricos'!T33</f>
        <v>41.556383163518021</v>
      </c>
      <c r="H39" s="93">
        <f t="shared" si="7"/>
        <v>35.492784505354514</v>
      </c>
      <c r="I39" s="94"/>
      <c r="J39" s="87"/>
      <c r="K39" s="87"/>
      <c r="L39" s="87"/>
      <c r="M39" s="87"/>
      <c r="N39" s="87">
        <v>0.1</v>
      </c>
      <c r="O39" s="95">
        <v>0.1</v>
      </c>
      <c r="P39" s="96"/>
      <c r="Q39" s="97">
        <v>0.3</v>
      </c>
      <c r="R39" s="97">
        <v>1</v>
      </c>
      <c r="S39" s="97">
        <v>0.5</v>
      </c>
      <c r="T39" s="97"/>
      <c r="U39" s="97"/>
      <c r="V39" s="78"/>
      <c r="W39" s="98">
        <f t="shared" si="0"/>
        <v>0.2</v>
      </c>
      <c r="X39" s="89">
        <f t="shared" si="1"/>
        <v>1.8</v>
      </c>
      <c r="Y39" s="99">
        <f t="shared" si="2"/>
        <v>2</v>
      </c>
      <c r="Z39" s="100">
        <f>'[1]cálculos teóricos'!I33</f>
        <v>13.065675768342954</v>
      </c>
      <c r="AA39" s="101">
        <f t="shared" si="3"/>
        <v>15.307283262346321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0.2</v>
      </c>
      <c r="J40" s="103">
        <f t="shared" ref="J40:V40" si="8">SUM(J9:J39)</f>
        <v>11.799999999999999</v>
      </c>
      <c r="K40" s="103">
        <f t="shared" si="8"/>
        <v>19</v>
      </c>
      <c r="L40" s="103">
        <f t="shared" si="8"/>
        <v>20.599999999999998</v>
      </c>
      <c r="M40" s="103">
        <f t="shared" si="8"/>
        <v>22.299999999999997</v>
      </c>
      <c r="N40" s="103">
        <f t="shared" si="8"/>
        <v>21.300000000000011</v>
      </c>
      <c r="O40" s="103">
        <f t="shared" si="8"/>
        <v>20.8</v>
      </c>
      <c r="P40" s="103">
        <f t="shared" si="8"/>
        <v>19.600000000000001</v>
      </c>
      <c r="Q40" s="103">
        <f t="shared" si="8"/>
        <v>16.8</v>
      </c>
      <c r="R40" s="103">
        <f t="shared" si="8"/>
        <v>14.400000000000002</v>
      </c>
      <c r="S40" s="103">
        <f t="shared" si="8"/>
        <v>10</v>
      </c>
      <c r="T40" s="103">
        <f t="shared" si="8"/>
        <v>5.8</v>
      </c>
      <c r="U40" s="103">
        <f t="shared" si="8"/>
        <v>2.4</v>
      </c>
      <c r="V40" s="104">
        <f t="shared" si="8"/>
        <v>0</v>
      </c>
      <c r="W40" s="105">
        <f t="shared" si="0"/>
        <v>116</v>
      </c>
      <c r="X40" s="104">
        <f>SUM(P40:V40)</f>
        <v>69.000000000000014</v>
      </c>
      <c r="Y40" s="104">
        <f>W40+X40</f>
        <v>185</v>
      </c>
      <c r="Z40" s="104">
        <f>SUM(Z9:Z39)</f>
        <v>411.67229285134226</v>
      </c>
      <c r="AA40" s="104">
        <f>SUM(AA9:AA39)</f>
        <v>1390.7722032499521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  <row r="58" spans="1:28" ht="15.75">
      <c r="A58" s="107"/>
      <c r="B58" s="107"/>
      <c r="C58" s="107"/>
      <c r="D58" s="107"/>
      <c r="E58" s="107"/>
      <c r="F58" s="107"/>
      <c r="G58" s="107"/>
      <c r="H58" s="107"/>
      <c r="I58" s="107"/>
      <c r="J58" s="106"/>
      <c r="K58" s="106"/>
    </row>
    <row r="59" spans="1:28" ht="15.75">
      <c r="A59" s="107"/>
      <c r="B59" s="107"/>
      <c r="C59" s="107"/>
      <c r="D59" s="107"/>
      <c r="E59" s="107"/>
      <c r="F59" s="107"/>
      <c r="G59" s="107"/>
      <c r="H59" s="107"/>
      <c r="I59" s="107"/>
      <c r="J59" s="106"/>
      <c r="K59" s="106"/>
    </row>
    <row r="60" spans="1:28" ht="15.75">
      <c r="A60" s="107"/>
      <c r="B60" s="107"/>
      <c r="C60" s="107"/>
      <c r="D60" s="107"/>
      <c r="E60" s="107"/>
      <c r="F60" s="107"/>
      <c r="G60" s="107"/>
      <c r="H60" s="107"/>
      <c r="I60" s="107"/>
      <c r="J60" s="106"/>
      <c r="K60" s="106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4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59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08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61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109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35" t="s">
        <v>29</v>
      </c>
      <c r="C8" s="40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112">
        <v>19.899999999999999</v>
      </c>
      <c r="C9" s="58">
        <f>'[1]cálculos teóricos'!K34</f>
        <v>1.0393145509889044</v>
      </c>
      <c r="D9" s="59">
        <f>IF(B9&gt;0,B9*C9*14.25*1.022,-999)</f>
        <v>301.20754352020549</v>
      </c>
      <c r="E9" s="60">
        <f>IF(B9&gt;0,D9*4.1868/100,-999)</f>
        <v>12.610957432103962</v>
      </c>
      <c r="F9" s="61">
        <f>IF(B9&gt;0,(7.86+1.25*D9)*4.1868/100,-999)</f>
        <v>16.092779270129952</v>
      </c>
      <c r="G9" s="62">
        <f>'[1]cálculos teóricos'!T34</f>
        <v>41.472677719635314</v>
      </c>
      <c r="H9" s="63">
        <f>IF(B9&gt;0,100*F9/G9,-999)</f>
        <v>38.803328251242377</v>
      </c>
      <c r="I9" s="113"/>
      <c r="J9" s="113"/>
      <c r="K9" s="113"/>
      <c r="L9" s="113"/>
      <c r="M9" s="113"/>
      <c r="N9" s="113">
        <v>0.2</v>
      </c>
      <c r="O9" s="114">
        <v>0.6</v>
      </c>
      <c r="P9" s="115">
        <v>0.6</v>
      </c>
      <c r="Q9" s="113"/>
      <c r="R9" s="113"/>
      <c r="S9" s="113"/>
      <c r="T9" s="113">
        <v>0.1</v>
      </c>
      <c r="U9" s="113"/>
      <c r="V9" s="114"/>
      <c r="W9" s="116">
        <f t="shared" ref="W9:W36" si="0">SUM(I9:O9)</f>
        <v>0.8</v>
      </c>
      <c r="X9" s="117">
        <f>SUM(P9:V9)</f>
        <v>0.7</v>
      </c>
      <c r="Y9" s="118">
        <f>W9+X9</f>
        <v>1.5</v>
      </c>
      <c r="Z9" s="71">
        <f>'[1]cálculos teóricos'!I34</f>
        <v>13.047655704771071</v>
      </c>
      <c r="AA9" s="72">
        <f t="shared" ref="AA9:AA36" si="1">100*Y9/Z9</f>
        <v>11.496318066175693</v>
      </c>
      <c r="AB9" s="3"/>
    </row>
    <row r="10" spans="1:28" ht="18" customHeight="1">
      <c r="A10" s="111">
        <v>2</v>
      </c>
      <c r="B10" s="57">
        <v>23.9</v>
      </c>
      <c r="C10" s="119">
        <f>'[1]cálculos teóricos'!K35</f>
        <v>1.03906069419472</v>
      </c>
      <c r="D10" s="59">
        <f>IF(B10&gt;0,B10*C10*14.25*1.022,-999)</f>
        <v>361.66341403572483</v>
      </c>
      <c r="E10" s="60">
        <f>IF(B10&gt;0,D10*4.1868/100,-999)</f>
        <v>15.142123818847727</v>
      </c>
      <c r="F10" s="61">
        <f>IF(B10&gt;0,(7.86+1.25*D10)*4.1868/100,-999)</f>
        <v>19.25673725355966</v>
      </c>
      <c r="G10" s="62">
        <f>'[1]cálculos teóricos'!T35</f>
        <v>41.386489411124131</v>
      </c>
      <c r="H10" s="75">
        <f>IF(B10&gt;0,100*F10/G10,-999)</f>
        <v>46.529042514980041</v>
      </c>
      <c r="I10" s="113"/>
      <c r="J10" s="113"/>
      <c r="K10" s="113"/>
      <c r="L10" s="113">
        <v>0.7</v>
      </c>
      <c r="M10" s="113"/>
      <c r="N10" s="113">
        <v>0.2</v>
      </c>
      <c r="O10" s="120"/>
      <c r="P10" s="115">
        <v>0.8</v>
      </c>
      <c r="Q10" s="113">
        <v>0.9</v>
      </c>
      <c r="R10" s="113">
        <v>0.3</v>
      </c>
      <c r="S10" s="113"/>
      <c r="T10" s="113"/>
      <c r="U10" s="113"/>
      <c r="V10" s="120"/>
      <c r="W10" s="116">
        <f t="shared" si="0"/>
        <v>0.89999999999999991</v>
      </c>
      <c r="X10" s="117">
        <f t="shared" ref="X10:X39" si="2">SUM(P10:V10)</f>
        <v>2</v>
      </c>
      <c r="Y10" s="70">
        <f t="shared" ref="Y10:Y39" si="3">W10+X10</f>
        <v>2.9</v>
      </c>
      <c r="Z10" s="71">
        <f>'[1]cálculos teóricos'!I35</f>
        <v>13.029362784335678</v>
      </c>
      <c r="AA10" s="72">
        <f t="shared" si="1"/>
        <v>22.257420013559482</v>
      </c>
      <c r="AB10" s="3"/>
    </row>
    <row r="11" spans="1:28" ht="18" customHeight="1">
      <c r="A11" s="73">
        <v>3</v>
      </c>
      <c r="B11" s="57">
        <v>17.899999999999999</v>
      </c>
      <c r="C11" s="119">
        <f>'[1]cálculos teóricos'!K36</f>
        <v>1.038796869665491</v>
      </c>
      <c r="D11" s="59">
        <f t="shared" ref="D11:D36" si="4">IF(B11&gt;0,B11*C11*14.25*1.022,-999)</f>
        <v>270.80047598358345</v>
      </c>
      <c r="E11" s="60">
        <f t="shared" ref="E11:E36" si="5">IF(B11&gt;0,D11*4.1868/100,-999)</f>
        <v>11.337874328480671</v>
      </c>
      <c r="F11" s="61">
        <f t="shared" ref="F11:F36" si="6">IF(B11&gt;0,(7.86+1.25*D11)*4.1868/100,-999)</f>
        <v>14.501425390600842</v>
      </c>
      <c r="G11" s="62">
        <f>'[1]cálculos teóricos'!T36</f>
        <v>41.297812625986587</v>
      </c>
      <c r="H11" s="75">
        <f t="shared" ref="H11:H36" si="7">IF(B11&gt;0,100*F11/G11,-999)</f>
        <v>35.114269905607159</v>
      </c>
      <c r="I11" s="113"/>
      <c r="J11" s="113"/>
      <c r="K11" s="113"/>
      <c r="L11" s="113"/>
      <c r="M11" s="113"/>
      <c r="N11" s="113"/>
      <c r="O11" s="120"/>
      <c r="P11" s="115">
        <v>0.2</v>
      </c>
      <c r="Q11" s="113">
        <v>1</v>
      </c>
      <c r="R11" s="113"/>
      <c r="S11" s="113"/>
      <c r="T11" s="113"/>
      <c r="U11" s="113"/>
      <c r="V11" s="120"/>
      <c r="W11" s="116">
        <f t="shared" si="0"/>
        <v>0</v>
      </c>
      <c r="X11" s="117">
        <f t="shared" si="2"/>
        <v>1.2</v>
      </c>
      <c r="Y11" s="70">
        <f t="shared" si="3"/>
        <v>1.2</v>
      </c>
      <c r="Z11" s="71">
        <f>'[1]cálculos teóricos'!I36</f>
        <v>13.010806371225611</v>
      </c>
      <c r="AA11" s="72">
        <f t="shared" si="1"/>
        <v>9.2231024408594031</v>
      </c>
      <c r="AB11" s="3"/>
    </row>
    <row r="12" spans="1:28" ht="18" customHeight="1">
      <c r="A12" s="73">
        <v>4</v>
      </c>
      <c r="B12" s="57">
        <v>22.4</v>
      </c>
      <c r="C12" s="119">
        <f>'[1]cálculos teóricos'!K37</f>
        <v>1.0385228969283236</v>
      </c>
      <c r="D12" s="59">
        <f t="shared" si="4"/>
        <v>338.78943189091035</v>
      </c>
      <c r="E12" s="60">
        <f t="shared" si="5"/>
        <v>14.184435934408635</v>
      </c>
      <c r="F12" s="61">
        <f t="shared" si="6"/>
        <v>18.05962739801079</v>
      </c>
      <c r="G12" s="62">
        <f>'[1]cálculos teóricos'!T37</f>
        <v>41.206642934398403</v>
      </c>
      <c r="H12" s="75">
        <f t="shared" si="7"/>
        <v>43.826980583596651</v>
      </c>
      <c r="I12" s="113"/>
      <c r="J12" s="113"/>
      <c r="K12" s="113">
        <v>1</v>
      </c>
      <c r="L12" s="113">
        <v>0.5</v>
      </c>
      <c r="M12" s="113"/>
      <c r="N12" s="113"/>
      <c r="O12" s="120"/>
      <c r="P12" s="115">
        <v>0.5</v>
      </c>
      <c r="Q12" s="113">
        <v>0.3</v>
      </c>
      <c r="R12" s="113"/>
      <c r="S12" s="113"/>
      <c r="T12" s="113"/>
      <c r="U12" s="113"/>
      <c r="V12" s="120"/>
      <c r="W12" s="116">
        <f t="shared" si="0"/>
        <v>1.5</v>
      </c>
      <c r="X12" s="117">
        <f t="shared" si="2"/>
        <v>0.8</v>
      </c>
      <c r="Y12" s="70">
        <f t="shared" si="3"/>
        <v>2.2999999999999998</v>
      </c>
      <c r="Z12" s="71">
        <f>'[1]cálculos teóricos'!I37</f>
        <v>12.991995728758745</v>
      </c>
      <c r="AA12" s="72">
        <f t="shared" si="1"/>
        <v>17.703207790538134</v>
      </c>
      <c r="AB12" s="3"/>
    </row>
    <row r="13" spans="1:28" ht="18" customHeight="1">
      <c r="A13" s="73">
        <v>5</v>
      </c>
      <c r="B13" s="57">
        <v>26.5</v>
      </c>
      <c r="C13" s="119">
        <f>'[1]cálculos teóricos'!K38</f>
        <v>1.0382386003559865</v>
      </c>
      <c r="D13" s="59">
        <f t="shared" si="4"/>
        <v>400.69027819153678</v>
      </c>
      <c r="E13" s="60">
        <f t="shared" si="5"/>
        <v>16.776100567323262</v>
      </c>
      <c r="F13" s="61">
        <f t="shared" si="6"/>
        <v>21.299208189154079</v>
      </c>
      <c r="G13" s="62">
        <f>'[1]cálculos teóricos'!T38</f>
        <v>41.112977138132415</v>
      </c>
      <c r="H13" s="75">
        <f t="shared" si="7"/>
        <v>51.806533293836793</v>
      </c>
      <c r="I13" s="113"/>
      <c r="J13" s="113">
        <v>0.5</v>
      </c>
      <c r="K13" s="113">
        <v>1</v>
      </c>
      <c r="L13" s="113">
        <v>1</v>
      </c>
      <c r="M13" s="113">
        <v>0.6</v>
      </c>
      <c r="N13" s="113">
        <v>1</v>
      </c>
      <c r="O13" s="120">
        <v>1</v>
      </c>
      <c r="P13" s="115">
        <v>1</v>
      </c>
      <c r="Q13" s="113">
        <v>0.3</v>
      </c>
      <c r="R13" s="113"/>
      <c r="S13" s="113"/>
      <c r="T13" s="113"/>
      <c r="U13" s="113"/>
      <c r="V13" s="120"/>
      <c r="W13" s="116">
        <f t="shared" si="0"/>
        <v>5.0999999999999996</v>
      </c>
      <c r="X13" s="117">
        <f t="shared" si="2"/>
        <v>1.3</v>
      </c>
      <c r="Y13" s="70">
        <f t="shared" si="3"/>
        <v>6.3999999999999995</v>
      </c>
      <c r="Z13" s="71">
        <f>'[1]cálculos teóricos'!I38</f>
        <v>12.972940009695547</v>
      </c>
      <c r="AA13" s="72">
        <f t="shared" si="1"/>
        <v>49.33345868567072</v>
      </c>
      <c r="AB13" s="3"/>
    </row>
    <row r="14" spans="1:28" ht="18" customHeight="1">
      <c r="A14" s="73">
        <v>6</v>
      </c>
      <c r="B14" s="57">
        <v>33.9</v>
      </c>
      <c r="C14" s="119">
        <f>'[1]cálculos teóricos'!K39</f>
        <v>1.0379438095365645</v>
      </c>
      <c r="D14" s="59">
        <f t="shared" si="4"/>
        <v>512.4356093192971</v>
      </c>
      <c r="E14" s="60">
        <f t="shared" si="5"/>
        <v>21.45465409098033</v>
      </c>
      <c r="F14" s="61">
        <f t="shared" si="6"/>
        <v>27.147400093725413</v>
      </c>
      <c r="G14" s="62">
        <f>'[1]cálculos teóricos'!T39</f>
        <v>41.016813317393655</v>
      </c>
      <c r="H14" s="75">
        <f t="shared" si="7"/>
        <v>66.186029333032664</v>
      </c>
      <c r="I14" s="113"/>
      <c r="J14" s="113">
        <v>0.7</v>
      </c>
      <c r="K14" s="113">
        <v>1</v>
      </c>
      <c r="L14" s="113">
        <v>1</v>
      </c>
      <c r="M14" s="113">
        <v>1</v>
      </c>
      <c r="N14" s="113">
        <v>1</v>
      </c>
      <c r="O14" s="120">
        <v>1</v>
      </c>
      <c r="P14" s="115">
        <v>1</v>
      </c>
      <c r="Q14" s="115">
        <v>1</v>
      </c>
      <c r="R14" s="113">
        <v>1</v>
      </c>
      <c r="S14" s="113">
        <v>1</v>
      </c>
      <c r="T14" s="113">
        <v>1</v>
      </c>
      <c r="U14" s="113"/>
      <c r="V14" s="120"/>
      <c r="W14" s="116">
        <f t="shared" si="0"/>
        <v>5.7</v>
      </c>
      <c r="X14" s="117">
        <f t="shared" si="2"/>
        <v>5</v>
      </c>
      <c r="Y14" s="70">
        <f t="shared" si="3"/>
        <v>10.7</v>
      </c>
      <c r="Z14" s="71">
        <f>'[1]cálculos teóricos'!I39</f>
        <v>12.953648247311923</v>
      </c>
      <c r="AA14" s="72">
        <f t="shared" si="1"/>
        <v>82.602212100520873</v>
      </c>
      <c r="AB14" s="3"/>
    </row>
    <row r="15" spans="1:28" ht="18" customHeight="1">
      <c r="A15" s="73">
        <v>7</v>
      </c>
      <c r="B15" s="76">
        <v>30.4</v>
      </c>
      <c r="C15" s="119">
        <f>'[1]cálculos teóricos'!K40</f>
        <v>1.037638359628839</v>
      </c>
      <c r="D15" s="59">
        <f t="shared" si="4"/>
        <v>459.39404601381966</v>
      </c>
      <c r="E15" s="60">
        <f t="shared" si="5"/>
        <v>19.233909918506601</v>
      </c>
      <c r="F15" s="61">
        <f t="shared" si="6"/>
        <v>24.371469878133254</v>
      </c>
      <c r="G15" s="62">
        <f>'[1]cálculos teóricos'!T40</f>
        <v>40.9181508749611</v>
      </c>
      <c r="H15" s="75">
        <f t="shared" si="7"/>
        <v>59.561513306425589</v>
      </c>
      <c r="I15" s="113"/>
      <c r="J15" s="113">
        <v>0.5</v>
      </c>
      <c r="K15" s="113">
        <v>1</v>
      </c>
      <c r="L15" s="113">
        <v>1</v>
      </c>
      <c r="M15" s="113">
        <v>1</v>
      </c>
      <c r="N15" s="113">
        <v>1</v>
      </c>
      <c r="O15" s="120">
        <v>1</v>
      </c>
      <c r="P15" s="115">
        <v>0.8</v>
      </c>
      <c r="Q15" s="115">
        <v>0.5</v>
      </c>
      <c r="R15" s="113">
        <v>0.6</v>
      </c>
      <c r="S15" s="113">
        <v>1</v>
      </c>
      <c r="T15" s="113">
        <v>0.8</v>
      </c>
      <c r="U15" s="113">
        <v>0.4</v>
      </c>
      <c r="V15" s="120"/>
      <c r="W15" s="116">
        <f t="shared" si="0"/>
        <v>5.5</v>
      </c>
      <c r="X15" s="117">
        <f t="shared" si="2"/>
        <v>4.1000000000000005</v>
      </c>
      <c r="Y15" s="70">
        <f t="shared" si="3"/>
        <v>9.6000000000000014</v>
      </c>
      <c r="Z15" s="71">
        <f>'[1]cálculos teóricos'!I40</f>
        <v>12.934129347226488</v>
      </c>
      <c r="AA15" s="72">
        <f t="shared" si="1"/>
        <v>74.222235933171362</v>
      </c>
      <c r="AB15" s="3"/>
    </row>
    <row r="16" spans="1:28" ht="18" customHeight="1">
      <c r="A16" s="80">
        <v>8</v>
      </c>
      <c r="B16" s="76">
        <v>32.5</v>
      </c>
      <c r="C16" s="119">
        <f>'[1]cálculos teóricos'!K41</f>
        <v>1.0373220917029544</v>
      </c>
      <c r="D16" s="59">
        <f t="shared" si="4"/>
        <v>490.97880918176929</v>
      </c>
      <c r="E16" s="60">
        <f t="shared" si="5"/>
        <v>20.556300782822319</v>
      </c>
      <c r="F16" s="61">
        <f t="shared" si="6"/>
        <v>26.024458458527892</v>
      </c>
      <c r="G16" s="62">
        <f>'[1]cálculos teóricos'!T41</f>
        <v>40.816990577542512</v>
      </c>
      <c r="H16" s="75">
        <f t="shared" si="7"/>
        <v>63.758885920527753</v>
      </c>
      <c r="I16" s="113"/>
      <c r="J16" s="113">
        <v>0.4</v>
      </c>
      <c r="K16" s="113">
        <v>1</v>
      </c>
      <c r="L16" s="113">
        <v>1</v>
      </c>
      <c r="M16" s="113">
        <v>1</v>
      </c>
      <c r="N16" s="113">
        <v>1</v>
      </c>
      <c r="O16" s="120">
        <v>0.9</v>
      </c>
      <c r="P16" s="115">
        <v>1</v>
      </c>
      <c r="Q16" s="113">
        <v>1</v>
      </c>
      <c r="R16" s="113">
        <v>1</v>
      </c>
      <c r="S16" s="113">
        <v>1</v>
      </c>
      <c r="T16" s="113">
        <v>0.8</v>
      </c>
      <c r="U16" s="113">
        <v>0.3</v>
      </c>
      <c r="V16" s="120"/>
      <c r="W16" s="116">
        <f t="shared" si="0"/>
        <v>5.3000000000000007</v>
      </c>
      <c r="X16" s="117">
        <f t="shared" si="2"/>
        <v>5.0999999999999996</v>
      </c>
      <c r="Y16" s="70">
        <f t="shared" si="3"/>
        <v>10.4</v>
      </c>
      <c r="Z16" s="71">
        <f>'[1]cálculos teóricos'!I41</f>
        <v>12.914392079974427</v>
      </c>
      <c r="AA16" s="72">
        <f t="shared" si="1"/>
        <v>80.530310181047213</v>
      </c>
      <c r="AB16" s="3"/>
    </row>
    <row r="17" spans="1:28" ht="18" customHeight="1">
      <c r="A17" s="80">
        <v>9</v>
      </c>
      <c r="B17" s="76">
        <v>34.799999999999997</v>
      </c>
      <c r="C17" s="119">
        <f>'[1]cálculos teóricos'!K42</f>
        <v>1.0369948530659916</v>
      </c>
      <c r="D17" s="59">
        <f t="shared" si="4"/>
        <v>525.55915408340456</v>
      </c>
      <c r="E17" s="60">
        <f t="shared" si="5"/>
        <v>22.004110663163985</v>
      </c>
      <c r="F17" s="61">
        <f t="shared" si="6"/>
        <v>27.834220808954978</v>
      </c>
      <c r="G17" s="62">
        <f>'[1]cálculos teóricos'!T42</f>
        <v>40.713334594263301</v>
      </c>
      <c r="H17" s="75">
        <f t="shared" si="7"/>
        <v>68.366349959644296</v>
      </c>
      <c r="I17" s="113"/>
      <c r="J17" s="113">
        <v>0.2</v>
      </c>
      <c r="K17" s="113">
        <v>1</v>
      </c>
      <c r="L17" s="113">
        <v>1</v>
      </c>
      <c r="M17" s="113">
        <v>1</v>
      </c>
      <c r="N17" s="113">
        <v>1</v>
      </c>
      <c r="O17" s="120">
        <v>1</v>
      </c>
      <c r="P17" s="115">
        <v>1</v>
      </c>
      <c r="Q17" s="113">
        <v>1</v>
      </c>
      <c r="R17" s="113">
        <v>1</v>
      </c>
      <c r="S17" s="113">
        <v>1</v>
      </c>
      <c r="T17" s="113">
        <v>1</v>
      </c>
      <c r="U17" s="113">
        <v>0.6</v>
      </c>
      <c r="V17" s="120"/>
      <c r="W17" s="116">
        <f t="shared" si="0"/>
        <v>5.2</v>
      </c>
      <c r="X17" s="117">
        <f t="shared" si="2"/>
        <v>5.6</v>
      </c>
      <c r="Y17" s="70">
        <f t="shared" si="3"/>
        <v>10.8</v>
      </c>
      <c r="Z17" s="71">
        <f>'[1]cálculos teóricos'!I42</f>
        <v>12.894445074317558</v>
      </c>
      <c r="AA17" s="72">
        <f t="shared" si="1"/>
        <v>83.756997201150156</v>
      </c>
      <c r="AB17" s="3"/>
    </row>
    <row r="18" spans="1:28" ht="18" customHeight="1">
      <c r="A18" s="80">
        <v>10</v>
      </c>
      <c r="B18" s="76">
        <v>24.9</v>
      </c>
      <c r="C18" s="119">
        <f>'[1]cálculos teóricos'!K43</f>
        <v>1.0366564975721508</v>
      </c>
      <c r="D18" s="59">
        <f t="shared" si="4"/>
        <v>375.92393786956126</v>
      </c>
      <c r="E18" s="60">
        <f t="shared" si="5"/>
        <v>15.73918343072279</v>
      </c>
      <c r="F18" s="61">
        <f t="shared" si="6"/>
        <v>20.003061768403487</v>
      </c>
      <c r="G18" s="62">
        <f>'[1]cálculos teóricos'!T43</f>
        <v>40.607186532222627</v>
      </c>
      <c r="H18" s="75">
        <f t="shared" si="7"/>
        <v>49.25990563894559</v>
      </c>
      <c r="I18" s="113"/>
      <c r="J18" s="113">
        <v>0.5</v>
      </c>
      <c r="K18" s="113">
        <v>1</v>
      </c>
      <c r="L18" s="113">
        <v>1</v>
      </c>
      <c r="M18" s="113">
        <v>1</v>
      </c>
      <c r="N18" s="113">
        <v>1</v>
      </c>
      <c r="O18" s="120">
        <v>1</v>
      </c>
      <c r="P18" s="115">
        <v>1</v>
      </c>
      <c r="Q18" s="113">
        <v>0.6</v>
      </c>
      <c r="R18" s="113">
        <v>0.4</v>
      </c>
      <c r="S18" s="113"/>
      <c r="T18" s="113"/>
      <c r="U18" s="113"/>
      <c r="V18" s="120"/>
      <c r="W18" s="116">
        <f t="shared" si="0"/>
        <v>5.5</v>
      </c>
      <c r="X18" s="117">
        <f t="shared" si="2"/>
        <v>2</v>
      </c>
      <c r="Y18" s="70">
        <f t="shared" si="3"/>
        <v>7.5</v>
      </c>
      <c r="Z18" s="71">
        <f>'[1]cálculos teóricos'!I43</f>
        <v>12.874296811277606</v>
      </c>
      <c r="AA18" s="72">
        <f t="shared" si="1"/>
        <v>58.255608907743699</v>
      </c>
      <c r="AB18" s="3"/>
    </row>
    <row r="19" spans="1:28" ht="18" customHeight="1">
      <c r="A19" s="80">
        <v>11</v>
      </c>
      <c r="B19" s="76">
        <v>33.700000000000003</v>
      </c>
      <c r="C19" s="119">
        <f>'[1]cálculos teóricos'!K44</f>
        <v>1.0363068859173084</v>
      </c>
      <c r="D19" s="59">
        <f t="shared" si="4"/>
        <v>508.60900472401147</v>
      </c>
      <c r="E19" s="60">
        <f t="shared" si="5"/>
        <v>21.294441809784914</v>
      </c>
      <c r="F19" s="61">
        <f t="shared" si="6"/>
        <v>26.947134742231139</v>
      </c>
      <c r="G19" s="62">
        <f>'[1]cálculos teóricos'!T44</f>
        <v>40.49855146906372</v>
      </c>
      <c r="H19" s="75">
        <f t="shared" si="7"/>
        <v>66.53851499556886</v>
      </c>
      <c r="I19" s="113"/>
      <c r="J19" s="113">
        <v>0.2</v>
      </c>
      <c r="K19" s="113">
        <v>1</v>
      </c>
      <c r="L19" s="113">
        <v>1</v>
      </c>
      <c r="M19" s="113">
        <v>1</v>
      </c>
      <c r="N19" s="113">
        <v>1</v>
      </c>
      <c r="O19" s="120">
        <v>1</v>
      </c>
      <c r="P19" s="115">
        <v>1</v>
      </c>
      <c r="Q19" s="113">
        <v>0.8</v>
      </c>
      <c r="R19" s="113">
        <v>1</v>
      </c>
      <c r="S19" s="113">
        <v>0.9</v>
      </c>
      <c r="T19" s="113">
        <v>1</v>
      </c>
      <c r="U19" s="113">
        <v>0.7</v>
      </c>
      <c r="V19" s="120"/>
      <c r="W19" s="116">
        <f t="shared" si="0"/>
        <v>5.2</v>
      </c>
      <c r="X19" s="117">
        <f t="shared" si="2"/>
        <v>5.3999999999999995</v>
      </c>
      <c r="Y19" s="70">
        <f t="shared" si="3"/>
        <v>10.6</v>
      </c>
      <c r="Z19" s="71">
        <f>'[1]cálculos teóricos'!I44</f>
        <v>12.853955618877693</v>
      </c>
      <c r="AA19" s="72">
        <f t="shared" si="1"/>
        <v>82.464887185642155</v>
      </c>
      <c r="AB19" s="3"/>
    </row>
    <row r="20" spans="1:28" ht="18" customHeight="1">
      <c r="A20" s="80">
        <v>12</v>
      </c>
      <c r="B20" s="76">
        <v>33.799999999999997</v>
      </c>
      <c r="C20" s="119">
        <f>'[1]cálculos teóricos'!K45</f>
        <v>1.0359458859177855</v>
      </c>
      <c r="D20" s="59">
        <f t="shared" si="4"/>
        <v>509.94052934325191</v>
      </c>
      <c r="E20" s="60">
        <f t="shared" si="5"/>
        <v>21.350190082543271</v>
      </c>
      <c r="F20" s="61">
        <f t="shared" si="6"/>
        <v>27.016820083179088</v>
      </c>
      <c r="G20" s="62">
        <f>'[1]cálculos teóricos'!T45</f>
        <v>40.387435982518646</v>
      </c>
      <c r="H20" s="75">
        <f t="shared" si="7"/>
        <v>66.894120475667449</v>
      </c>
      <c r="I20" s="113"/>
      <c r="J20" s="113">
        <v>0.7</v>
      </c>
      <c r="K20" s="113">
        <v>1</v>
      </c>
      <c r="L20" s="113">
        <v>1</v>
      </c>
      <c r="M20" s="113">
        <v>1</v>
      </c>
      <c r="N20" s="113">
        <v>1</v>
      </c>
      <c r="O20" s="120">
        <v>1</v>
      </c>
      <c r="P20" s="115">
        <v>1</v>
      </c>
      <c r="Q20" s="113">
        <v>1</v>
      </c>
      <c r="R20" s="113">
        <v>1</v>
      </c>
      <c r="S20" s="113">
        <v>1</v>
      </c>
      <c r="T20" s="113">
        <v>1</v>
      </c>
      <c r="U20" s="113">
        <v>0.4</v>
      </c>
      <c r="V20" s="120"/>
      <c r="W20" s="116">
        <f t="shared" si="0"/>
        <v>5.7</v>
      </c>
      <c r="X20" s="117">
        <f t="shared" si="2"/>
        <v>5.4</v>
      </c>
      <c r="Y20" s="70">
        <f t="shared" si="3"/>
        <v>11.100000000000001</v>
      </c>
      <c r="Z20" s="71">
        <f>'[1]cálculos teóricos'!I45</f>
        <v>12.833429667575025</v>
      </c>
      <c r="AA20" s="72">
        <f t="shared" si="1"/>
        <v>86.492857229313287</v>
      </c>
      <c r="AB20" s="3"/>
    </row>
    <row r="21" spans="1:28" ht="18" customHeight="1">
      <c r="A21" s="80">
        <v>13</v>
      </c>
      <c r="B21" s="76">
        <v>20.100000000000001</v>
      </c>
      <c r="C21" s="119">
        <f>'[1]cálculos teóricos'!K46</f>
        <v>1.0355733727732386</v>
      </c>
      <c r="D21" s="59">
        <f t="shared" si="4"/>
        <v>303.13961356909954</v>
      </c>
      <c r="E21" s="60">
        <f t="shared" si="5"/>
        <v>12.691849340911057</v>
      </c>
      <c r="F21" s="61">
        <f t="shared" si="6"/>
        <v>16.193894156138825</v>
      </c>
      <c r="G21" s="62">
        <f>'[1]cálculos teóricos'!T46</f>
        <v>40.273848176901005</v>
      </c>
      <c r="H21" s="75">
        <f t="shared" si="7"/>
        <v>40.209453253654573</v>
      </c>
      <c r="I21" s="113">
        <v>0.1</v>
      </c>
      <c r="J21" s="113">
        <v>0.8</v>
      </c>
      <c r="K21" s="113">
        <v>0.2</v>
      </c>
      <c r="L21" s="113">
        <v>1</v>
      </c>
      <c r="M21" s="113">
        <v>1</v>
      </c>
      <c r="N21" s="113">
        <v>1</v>
      </c>
      <c r="O21" s="120">
        <v>1</v>
      </c>
      <c r="P21" s="115">
        <v>0.6</v>
      </c>
      <c r="Q21" s="113"/>
      <c r="R21" s="113"/>
      <c r="S21" s="113"/>
      <c r="T21" s="113"/>
      <c r="U21" s="113"/>
      <c r="V21" s="120"/>
      <c r="W21" s="116">
        <f t="shared" si="0"/>
        <v>5.0999999999999996</v>
      </c>
      <c r="X21" s="117">
        <f t="shared" si="2"/>
        <v>0.6</v>
      </c>
      <c r="Y21" s="70">
        <f t="shared" si="3"/>
        <v>5.6999999999999993</v>
      </c>
      <c r="Z21" s="71">
        <f>'[1]cálculos teóricos'!I46</f>
        <v>12.812726966366139</v>
      </c>
      <c r="AA21" s="72">
        <f t="shared" si="1"/>
        <v>44.487016815098769</v>
      </c>
      <c r="AB21" s="3"/>
    </row>
    <row r="22" spans="1:28" ht="18" customHeight="1">
      <c r="A22" s="80">
        <v>14</v>
      </c>
      <c r="B22" s="76">
        <v>18.899999999999999</v>
      </c>
      <c r="C22" s="119">
        <f>'[1]cálculos teóricos'!K47</f>
        <v>1.0351892293136391</v>
      </c>
      <c r="D22" s="59">
        <f t="shared" si="4"/>
        <v>284.93599064696349</v>
      </c>
      <c r="E22" s="60">
        <f t="shared" si="5"/>
        <v>11.929700056407066</v>
      </c>
      <c r="F22" s="61">
        <f t="shared" si="6"/>
        <v>15.241207550508834</v>
      </c>
      <c r="G22" s="62">
        <f>'[1]cálculos teóricos'!T47</f>
        <v>40.157797706533401</v>
      </c>
      <c r="H22" s="75">
        <f t="shared" si="7"/>
        <v>37.95329530241942</v>
      </c>
      <c r="I22" s="113"/>
      <c r="J22" s="113"/>
      <c r="K22" s="113">
        <v>0.4</v>
      </c>
      <c r="L22" s="113">
        <v>0.7</v>
      </c>
      <c r="M22" s="113">
        <v>0.8</v>
      </c>
      <c r="N22" s="113">
        <v>1</v>
      </c>
      <c r="O22" s="120">
        <v>1</v>
      </c>
      <c r="P22" s="115">
        <v>0.2</v>
      </c>
      <c r="Q22" s="113"/>
      <c r="R22" s="113"/>
      <c r="S22" s="113"/>
      <c r="T22" s="113">
        <v>0.4</v>
      </c>
      <c r="U22" s="113"/>
      <c r="V22" s="120"/>
      <c r="W22" s="116">
        <f t="shared" si="0"/>
        <v>3.9000000000000004</v>
      </c>
      <c r="X22" s="117">
        <f t="shared" si="2"/>
        <v>0.60000000000000009</v>
      </c>
      <c r="Y22" s="70">
        <f t="shared" si="3"/>
        <v>4.5</v>
      </c>
      <c r="Z22" s="71">
        <f>'[1]cálculos teóricos'!I47</f>
        <v>12.791855359544524</v>
      </c>
      <c r="AA22" s="72">
        <f t="shared" si="1"/>
        <v>35.178634166171733</v>
      </c>
      <c r="AB22" s="3"/>
    </row>
    <row r="23" spans="1:28" ht="18" customHeight="1">
      <c r="A23" s="80">
        <v>15</v>
      </c>
      <c r="B23" s="76">
        <v>32.299999999999997</v>
      </c>
      <c r="C23" s="119">
        <f>'[1]cálculos teóricos'!K48</f>
        <v>1.0347933462303829</v>
      </c>
      <c r="D23" s="59">
        <f t="shared" si="4"/>
        <v>486.76787659978561</v>
      </c>
      <c r="E23" s="60">
        <f t="shared" si="5"/>
        <v>20.379997457479824</v>
      </c>
      <c r="F23" s="61">
        <f t="shared" si="6"/>
        <v>25.804079301849779</v>
      </c>
      <c r="G23" s="62">
        <f>'[1]cálculos teóricos'!T48</f>
        <v>40.03929579610913</v>
      </c>
      <c r="H23" s="75">
        <f t="shared" si="7"/>
        <v>64.446885962358323</v>
      </c>
      <c r="I23" s="113"/>
      <c r="J23" s="113"/>
      <c r="K23" s="113">
        <v>0.7</v>
      </c>
      <c r="L23" s="113">
        <v>1</v>
      </c>
      <c r="M23" s="113">
        <v>1</v>
      </c>
      <c r="N23" s="113">
        <v>1</v>
      </c>
      <c r="O23" s="120">
        <v>1</v>
      </c>
      <c r="P23" s="115">
        <v>1</v>
      </c>
      <c r="Q23" s="113">
        <v>1</v>
      </c>
      <c r="R23" s="113">
        <v>1</v>
      </c>
      <c r="S23" s="113">
        <v>1</v>
      </c>
      <c r="T23" s="113">
        <v>0.7</v>
      </c>
      <c r="U23" s="113"/>
      <c r="V23" s="120"/>
      <c r="W23" s="116">
        <f t="shared" si="0"/>
        <v>4.7</v>
      </c>
      <c r="X23" s="117">
        <f t="shared" si="2"/>
        <v>4.7</v>
      </c>
      <c r="Y23" s="70">
        <f t="shared" si="3"/>
        <v>9.4</v>
      </c>
      <c r="Z23" s="71">
        <f>'[1]cálculos teóricos'!I48</f>
        <v>12.770822524089397</v>
      </c>
      <c r="AA23" s="72">
        <f t="shared" si="1"/>
        <v>73.605282527957243</v>
      </c>
      <c r="AB23" s="3"/>
    </row>
    <row r="24" spans="1:28" ht="18" customHeight="1">
      <c r="A24" s="80">
        <v>16</v>
      </c>
      <c r="B24" s="76">
        <v>33.299999999999997</v>
      </c>
      <c r="C24" s="119">
        <f>'[1]cálculos teóricos'!K49</f>
        <v>1.0343856222916303</v>
      </c>
      <c r="D24" s="59">
        <f t="shared" si="4"/>
        <v>501.64035784113048</v>
      </c>
      <c r="E24" s="60">
        <f t="shared" si="5"/>
        <v>21.002678502092451</v>
      </c>
      <c r="F24" s="61">
        <f t="shared" si="6"/>
        <v>26.582430607615564</v>
      </c>
      <c r="G24" s="62">
        <f>'[1]cálculos teóricos'!T49</f>
        <v>39.918355258000474</v>
      </c>
      <c r="H24" s="75">
        <f t="shared" si="7"/>
        <v>66.591998682831232</v>
      </c>
      <c r="I24" s="113"/>
      <c r="J24" s="113">
        <v>0.9</v>
      </c>
      <c r="K24" s="113">
        <v>1</v>
      </c>
      <c r="L24" s="113">
        <v>1</v>
      </c>
      <c r="M24" s="113">
        <v>1</v>
      </c>
      <c r="N24" s="113">
        <v>1</v>
      </c>
      <c r="O24" s="120">
        <v>1</v>
      </c>
      <c r="P24" s="115">
        <v>1</v>
      </c>
      <c r="Q24" s="113">
        <v>1</v>
      </c>
      <c r="R24" s="113">
        <v>1</v>
      </c>
      <c r="S24" s="113">
        <v>1</v>
      </c>
      <c r="T24" s="113">
        <v>1</v>
      </c>
      <c r="U24" s="113">
        <v>1</v>
      </c>
      <c r="V24" s="120">
        <v>0.1</v>
      </c>
      <c r="W24" s="116">
        <f t="shared" si="0"/>
        <v>5.9</v>
      </c>
      <c r="X24" s="117">
        <f t="shared" si="2"/>
        <v>6.1</v>
      </c>
      <c r="Y24" s="70">
        <f t="shared" si="3"/>
        <v>12</v>
      </c>
      <c r="Z24" s="71">
        <f>'[1]cálculos teóricos'!I49</f>
        <v>12.749635967663192</v>
      </c>
      <c r="AA24" s="72">
        <f t="shared" si="1"/>
        <v>94.120334340804021</v>
      </c>
      <c r="AB24" s="3"/>
    </row>
    <row r="25" spans="1:28" ht="18" customHeight="1">
      <c r="A25" s="80">
        <v>17</v>
      </c>
      <c r="B25" s="76">
        <v>35.799999999999997</v>
      </c>
      <c r="C25" s="119">
        <f>'[1]cálculos teóricos'!K50</f>
        <v>1.0339659645420316</v>
      </c>
      <c r="D25" s="59">
        <f t="shared" si="4"/>
        <v>539.08224702096197</v>
      </c>
      <c r="E25" s="60">
        <f t="shared" si="5"/>
        <v>22.570295518273632</v>
      </c>
      <c r="F25" s="61">
        <f t="shared" si="6"/>
        <v>28.541951877842042</v>
      </c>
      <c r="G25" s="62">
        <f>'[1]cálculos teóricos'!T50</f>
        <v>39.794990506538213</v>
      </c>
      <c r="H25" s="75">
        <f t="shared" si="7"/>
        <v>71.722474398260445</v>
      </c>
      <c r="I25" s="113"/>
      <c r="J25" s="113">
        <v>0.7</v>
      </c>
      <c r="K25" s="113">
        <v>1</v>
      </c>
      <c r="L25" s="113">
        <v>1</v>
      </c>
      <c r="M25" s="113">
        <v>1</v>
      </c>
      <c r="N25" s="113">
        <v>1</v>
      </c>
      <c r="O25" s="120">
        <v>1</v>
      </c>
      <c r="P25" s="115">
        <v>1</v>
      </c>
      <c r="Q25" s="113">
        <v>1</v>
      </c>
      <c r="R25" s="113">
        <v>1</v>
      </c>
      <c r="S25" s="113">
        <v>1</v>
      </c>
      <c r="T25" s="113">
        <v>1</v>
      </c>
      <c r="U25" s="113">
        <v>0.9</v>
      </c>
      <c r="V25" s="120"/>
      <c r="W25" s="116">
        <f t="shared" si="0"/>
        <v>5.7</v>
      </c>
      <c r="X25" s="117">
        <f t="shared" si="2"/>
        <v>5.9</v>
      </c>
      <c r="Y25" s="70">
        <f t="shared" si="3"/>
        <v>11.600000000000001</v>
      </c>
      <c r="Z25" s="71">
        <f>'[1]cálculos teóricos'!I50</f>
        <v>12.728303027194645</v>
      </c>
      <c r="AA25" s="72">
        <f t="shared" si="1"/>
        <v>91.135479531057925</v>
      </c>
      <c r="AB25" s="3"/>
    </row>
    <row r="26" spans="1:28" ht="18" customHeight="1">
      <c r="A26" s="80">
        <v>18</v>
      </c>
      <c r="B26" s="76">
        <v>21.9</v>
      </c>
      <c r="C26" s="119">
        <f>'[1]cálculos teóricos'!K51</f>
        <v>1.0335342884870602</v>
      </c>
      <c r="D26" s="59">
        <f t="shared" si="4"/>
        <v>329.63609776735052</v>
      </c>
      <c r="E26" s="60">
        <f t="shared" si="5"/>
        <v>13.801204141323431</v>
      </c>
      <c r="F26" s="61">
        <f t="shared" si="6"/>
        <v>17.580587656654288</v>
      </c>
      <c r="G26" s="62">
        <f>'[1]cálculos teóricos'!T51</f>
        <v>39.669217569298148</v>
      </c>
      <c r="H26" s="75">
        <f t="shared" si="7"/>
        <v>44.317959198319862</v>
      </c>
      <c r="I26" s="113"/>
      <c r="J26" s="113">
        <v>0.9</v>
      </c>
      <c r="K26" s="113">
        <v>0.9</v>
      </c>
      <c r="L26" s="113">
        <v>1</v>
      </c>
      <c r="M26" s="113">
        <v>1</v>
      </c>
      <c r="N26" s="113">
        <v>1</v>
      </c>
      <c r="O26" s="120">
        <v>0.9</v>
      </c>
      <c r="P26" s="115">
        <v>1</v>
      </c>
      <c r="Q26" s="113">
        <v>0.1</v>
      </c>
      <c r="R26" s="113"/>
      <c r="S26" s="113"/>
      <c r="T26" s="113"/>
      <c r="U26" s="113"/>
      <c r="V26" s="120"/>
      <c r="W26" s="116">
        <f t="shared" si="0"/>
        <v>5.7</v>
      </c>
      <c r="X26" s="117">
        <f t="shared" si="2"/>
        <v>1.1000000000000001</v>
      </c>
      <c r="Y26" s="70">
        <f t="shared" si="3"/>
        <v>6.8000000000000007</v>
      </c>
      <c r="Z26" s="71">
        <f>'[1]cálculos teóricos'!I51</f>
        <v>12.706830868023706</v>
      </c>
      <c r="AA26" s="72">
        <f t="shared" si="1"/>
        <v>53.514523571034239</v>
      </c>
      <c r="AB26" s="3"/>
    </row>
    <row r="27" spans="1:28" ht="18" customHeight="1">
      <c r="A27" s="80">
        <v>19</v>
      </c>
      <c r="B27" s="76">
        <v>31</v>
      </c>
      <c r="C27" s="119">
        <f>'[1]cálculos teóricos'!K52</f>
        <v>1.033090518262219</v>
      </c>
      <c r="D27" s="59">
        <f t="shared" si="4"/>
        <v>466.40782664406663</v>
      </c>
      <c r="E27" s="60">
        <f t="shared" si="5"/>
        <v>19.527562885933779</v>
      </c>
      <c r="F27" s="61">
        <f t="shared" si="6"/>
        <v>24.738536087417224</v>
      </c>
      <c r="G27" s="62">
        <f>'[1]cálculos teóricos'!T52</f>
        <v>39.54105409544276</v>
      </c>
      <c r="H27" s="75">
        <f t="shared" si="7"/>
        <v>62.564179568162864</v>
      </c>
      <c r="I27" s="113"/>
      <c r="J27" s="113">
        <v>0.3</v>
      </c>
      <c r="K27" s="113">
        <v>0.7</v>
      </c>
      <c r="L27" s="113">
        <v>1</v>
      </c>
      <c r="M27" s="113">
        <v>1</v>
      </c>
      <c r="N27" s="113">
        <v>1</v>
      </c>
      <c r="O27" s="120">
        <v>1</v>
      </c>
      <c r="P27" s="115">
        <v>1</v>
      </c>
      <c r="Q27" s="113">
        <v>1</v>
      </c>
      <c r="R27" s="113">
        <v>0.8</v>
      </c>
      <c r="S27" s="113">
        <v>0.4</v>
      </c>
      <c r="T27" s="113">
        <v>1</v>
      </c>
      <c r="U27" s="113">
        <v>0.8</v>
      </c>
      <c r="V27" s="120"/>
      <c r="W27" s="116">
        <f t="shared" si="0"/>
        <v>5</v>
      </c>
      <c r="X27" s="117">
        <f t="shared" si="2"/>
        <v>4.9999999999999991</v>
      </c>
      <c r="Y27" s="70">
        <f t="shared" si="3"/>
        <v>10</v>
      </c>
      <c r="Z27" s="71">
        <f>'[1]cálculos teóricos'!I52</f>
        <v>12.685226483584112</v>
      </c>
      <c r="AA27" s="72">
        <f t="shared" si="1"/>
        <v>78.831860140147683</v>
      </c>
      <c r="AB27" s="3"/>
    </row>
    <row r="28" spans="1:28" ht="18" customHeight="1">
      <c r="A28" s="80">
        <v>20</v>
      </c>
      <c r="B28" s="76">
        <v>23.1</v>
      </c>
      <c r="C28" s="119">
        <f>'[1]cálculos teóricos'!K53</f>
        <v>1.0326345867874447</v>
      </c>
      <c r="D28" s="59">
        <f t="shared" si="4"/>
        <v>347.39567488808376</v>
      </c>
      <c r="E28" s="60">
        <f t="shared" si="5"/>
        <v>14.54476211621429</v>
      </c>
      <c r="F28" s="61">
        <f t="shared" si="6"/>
        <v>18.510035125267862</v>
      </c>
      <c r="G28" s="62">
        <f>'[1]cálculos teóricos'!T53</f>
        <v>39.410519361176185</v>
      </c>
      <c r="H28" s="75">
        <f t="shared" si="7"/>
        <v>46.967244850628227</v>
      </c>
      <c r="I28" s="113"/>
      <c r="J28" s="113">
        <v>0.3</v>
      </c>
      <c r="K28" s="113">
        <v>1</v>
      </c>
      <c r="L28" s="113">
        <v>1</v>
      </c>
      <c r="M28" s="113">
        <v>1</v>
      </c>
      <c r="N28" s="113">
        <v>1</v>
      </c>
      <c r="O28" s="120">
        <v>1</v>
      </c>
      <c r="P28" s="115">
        <v>0.6</v>
      </c>
      <c r="Q28" s="113"/>
      <c r="R28" s="113"/>
      <c r="S28" s="113"/>
      <c r="T28" s="113"/>
      <c r="U28" s="113"/>
      <c r="V28" s="120"/>
      <c r="W28" s="116">
        <f t="shared" si="0"/>
        <v>5.3</v>
      </c>
      <c r="X28" s="117">
        <f t="shared" si="2"/>
        <v>0.6</v>
      </c>
      <c r="Y28" s="70">
        <f t="shared" si="3"/>
        <v>5.8999999999999995</v>
      </c>
      <c r="Z28" s="71">
        <f>'[1]cálculos teóricos'!I53</f>
        <v>12.663496695599086</v>
      </c>
      <c r="AA28" s="72">
        <f t="shared" si="1"/>
        <v>46.590607174481377</v>
      </c>
      <c r="AB28" s="3"/>
    </row>
    <row r="29" spans="1:28" ht="18" customHeight="1">
      <c r="A29" s="80">
        <v>21</v>
      </c>
      <c r="B29" s="76">
        <v>24.7</v>
      </c>
      <c r="C29" s="119">
        <f>'[1]cálculos teóricos'!K54</f>
        <v>1.032166435907075</v>
      </c>
      <c r="D29" s="59">
        <f t="shared" si="4"/>
        <v>371.28931046651735</v>
      </c>
      <c r="E29" s="60">
        <f t="shared" si="5"/>
        <v>15.545140850612148</v>
      </c>
      <c r="F29" s="61">
        <f t="shared" si="6"/>
        <v>19.760508543265185</v>
      </c>
      <c r="G29" s="62">
        <f>'[1]cálculos teóricos'!T54</f>
        <v>39.277634272380226</v>
      </c>
      <c r="H29" s="75">
        <f t="shared" si="7"/>
        <v>50.30982366766586</v>
      </c>
      <c r="I29" s="113"/>
      <c r="J29" s="113"/>
      <c r="K29" s="113"/>
      <c r="L29" s="113">
        <v>0.2</v>
      </c>
      <c r="M29" s="113">
        <v>0.6</v>
      </c>
      <c r="N29" s="113">
        <v>0.7</v>
      </c>
      <c r="O29" s="120">
        <v>1</v>
      </c>
      <c r="P29" s="115">
        <v>1</v>
      </c>
      <c r="Q29" s="113">
        <v>0.8</v>
      </c>
      <c r="R29" s="113">
        <v>1</v>
      </c>
      <c r="S29" s="113">
        <v>0.8</v>
      </c>
      <c r="T29" s="113">
        <v>0.7</v>
      </c>
      <c r="U29" s="113"/>
      <c r="V29" s="120"/>
      <c r="W29" s="116">
        <f t="shared" si="0"/>
        <v>2.5</v>
      </c>
      <c r="X29" s="117">
        <f t="shared" si="2"/>
        <v>4.3</v>
      </c>
      <c r="Y29" s="70">
        <f t="shared" si="3"/>
        <v>6.8</v>
      </c>
      <c r="Z29" s="71">
        <f>'[1]cálculos teóricos'!I54</f>
        <v>12.641648154765646</v>
      </c>
      <c r="AA29" s="72">
        <f t="shared" si="1"/>
        <v>53.790454509972562</v>
      </c>
      <c r="AB29" s="3"/>
    </row>
    <row r="30" spans="1:28" ht="18" customHeight="1">
      <c r="A30" s="80">
        <v>22</v>
      </c>
      <c r="B30" s="76">
        <v>26.1</v>
      </c>
      <c r="C30" s="119">
        <f>'[1]cálculos teóricos'!K55</f>
        <v>1.0316860165157933</v>
      </c>
      <c r="D30" s="59">
        <f t="shared" si="4"/>
        <v>392.15143776987441</v>
      </c>
      <c r="E30" s="60">
        <f t="shared" si="5"/>
        <v>16.418596396549102</v>
      </c>
      <c r="F30" s="61">
        <f t="shared" si="6"/>
        <v>20.852327975686375</v>
      </c>
      <c r="G30" s="62">
        <f>'[1]cálculos teóricos'!T55</f>
        <v>39.142421364509971</v>
      </c>
      <c r="H30" s="75">
        <f t="shared" si="7"/>
        <v>53.272963829961135</v>
      </c>
      <c r="I30" s="113"/>
      <c r="J30" s="113">
        <v>0.2</v>
      </c>
      <c r="K30" s="113"/>
      <c r="L30" s="113">
        <v>1</v>
      </c>
      <c r="M30" s="113">
        <v>0.7</v>
      </c>
      <c r="N30" s="113">
        <v>1</v>
      </c>
      <c r="O30" s="120">
        <v>0.4</v>
      </c>
      <c r="P30" s="115">
        <v>0.8</v>
      </c>
      <c r="Q30" s="113">
        <v>0.8</v>
      </c>
      <c r="R30" s="113">
        <v>1</v>
      </c>
      <c r="S30" s="113">
        <v>1</v>
      </c>
      <c r="T30" s="113">
        <v>0.9</v>
      </c>
      <c r="U30" s="113">
        <v>0.3</v>
      </c>
      <c r="V30" s="120"/>
      <c r="W30" s="116">
        <f t="shared" si="0"/>
        <v>3.3</v>
      </c>
      <c r="X30" s="117">
        <f t="shared" si="2"/>
        <v>4.8</v>
      </c>
      <c r="Y30" s="70">
        <f t="shared" si="3"/>
        <v>8.1</v>
      </c>
      <c r="Z30" s="71">
        <f>'[1]cálculos teóricos'!I55</f>
        <v>12.619687341902916</v>
      </c>
      <c r="AA30" s="72">
        <f t="shared" si="1"/>
        <v>64.185425363942542</v>
      </c>
      <c r="AB30" s="3"/>
    </row>
    <row r="31" spans="1:28" ht="18" customHeight="1">
      <c r="A31" s="80">
        <v>23</v>
      </c>
      <c r="B31" s="76">
        <v>28.7</v>
      </c>
      <c r="C31" s="119">
        <f>'[1]cálculos teóricos'!K56</f>
        <v>1.0311932886709996</v>
      </c>
      <c r="D31" s="59">
        <f t="shared" si="4"/>
        <v>431.01038528937488</v>
      </c>
      <c r="E31" s="60">
        <f t="shared" si="5"/>
        <v>18.045542811295547</v>
      </c>
      <c r="F31" s="61">
        <f t="shared" si="6"/>
        <v>22.886010994119435</v>
      </c>
      <c r="G31" s="62">
        <f>'[1]cálculos teóricos'!T56</f>
        <v>39.004904799834748</v>
      </c>
      <c r="H31" s="75">
        <f t="shared" si="7"/>
        <v>58.674700301323114</v>
      </c>
      <c r="I31" s="113"/>
      <c r="J31" s="113">
        <v>0.2</v>
      </c>
      <c r="K31" s="113">
        <v>1</v>
      </c>
      <c r="L31" s="113">
        <v>0.7</v>
      </c>
      <c r="M31" s="113">
        <v>1</v>
      </c>
      <c r="N31" s="113">
        <v>1</v>
      </c>
      <c r="O31" s="120">
        <v>1</v>
      </c>
      <c r="P31" s="115">
        <v>1</v>
      </c>
      <c r="Q31" s="113">
        <v>0.5</v>
      </c>
      <c r="R31" s="113">
        <v>1</v>
      </c>
      <c r="S31" s="113">
        <v>1</v>
      </c>
      <c r="T31" s="113">
        <v>0.8</v>
      </c>
      <c r="U31" s="113"/>
      <c r="V31" s="120"/>
      <c r="W31" s="116">
        <f t="shared" si="0"/>
        <v>4.9000000000000004</v>
      </c>
      <c r="X31" s="117">
        <f t="shared" si="2"/>
        <v>4.3</v>
      </c>
      <c r="Y31" s="70">
        <f t="shared" si="3"/>
        <v>9.1999999999999993</v>
      </c>
      <c r="Z31" s="71">
        <f>'[1]cálculos teóricos'!I56</f>
        <v>12.597620569540034</v>
      </c>
      <c r="AA31" s="72">
        <f t="shared" si="1"/>
        <v>73.029664206944048</v>
      </c>
      <c r="AB31" s="3"/>
    </row>
    <row r="32" spans="1:28" ht="18" customHeight="1">
      <c r="A32" s="80">
        <v>24</v>
      </c>
      <c r="B32" s="76">
        <v>30</v>
      </c>
      <c r="C32" s="119">
        <f>'[1]cálculos teóricos'!K57</f>
        <v>1.0306882216920989</v>
      </c>
      <c r="D32" s="59">
        <f t="shared" si="4"/>
        <v>450.3128374983865</v>
      </c>
      <c r="E32" s="60">
        <f t="shared" si="5"/>
        <v>18.853697880382445</v>
      </c>
      <c r="F32" s="61">
        <f t="shared" si="6"/>
        <v>23.896204830478055</v>
      </c>
      <c r="G32" s="62">
        <f>'[1]cálculos teóricos'!T57</f>
        <v>38.865110362118791</v>
      </c>
      <c r="H32" s="75">
        <f t="shared" si="7"/>
        <v>61.484978706684203</v>
      </c>
      <c r="I32" s="113"/>
      <c r="J32" s="113">
        <v>0.8</v>
      </c>
      <c r="K32" s="113">
        <v>1</v>
      </c>
      <c r="L32" s="113">
        <v>1</v>
      </c>
      <c r="M32" s="113">
        <v>1</v>
      </c>
      <c r="N32" s="113">
        <v>1</v>
      </c>
      <c r="O32" s="120">
        <v>1</v>
      </c>
      <c r="P32" s="115">
        <v>1</v>
      </c>
      <c r="Q32" s="113">
        <v>1</v>
      </c>
      <c r="R32" s="113">
        <v>1</v>
      </c>
      <c r="S32" s="113">
        <v>0.5</v>
      </c>
      <c r="T32" s="113">
        <v>0.5</v>
      </c>
      <c r="U32" s="113"/>
      <c r="V32" s="120"/>
      <c r="W32" s="116">
        <f t="shared" si="0"/>
        <v>5.8</v>
      </c>
      <c r="X32" s="117">
        <f t="shared" si="2"/>
        <v>4</v>
      </c>
      <c r="Y32" s="70">
        <f t="shared" si="3"/>
        <v>9.8000000000000007</v>
      </c>
      <c r="Z32" s="71">
        <f>'[1]cálculos teóricos'!I57</f>
        <v>12.575453983919491</v>
      </c>
      <c r="AA32" s="72">
        <f t="shared" si="1"/>
        <v>77.929592144597535</v>
      </c>
      <c r="AB32" s="3"/>
    </row>
    <row r="33" spans="1:28" ht="18" customHeight="1">
      <c r="A33" s="80">
        <v>25</v>
      </c>
      <c r="B33" s="76">
        <v>31.2</v>
      </c>
      <c r="C33" s="119">
        <f>'[1]cálculos teóricos'!K58</f>
        <v>1.0301707942472205</v>
      </c>
      <c r="D33" s="59">
        <f t="shared" si="4"/>
        <v>468.09024169500509</v>
      </c>
      <c r="E33" s="60">
        <f t="shared" si="5"/>
        <v>19.598002239286473</v>
      </c>
      <c r="F33" s="61">
        <f t="shared" si="6"/>
        <v>24.826585279108091</v>
      </c>
      <c r="G33" s="62">
        <f>'[1]cálculos teóricos'!T58</f>
        <v>38.723065448843045</v>
      </c>
      <c r="H33" s="75">
        <f t="shared" si="7"/>
        <v>64.113171287811483</v>
      </c>
      <c r="I33" s="113"/>
      <c r="J33" s="113">
        <v>0.8</v>
      </c>
      <c r="K33" s="113">
        <v>1</v>
      </c>
      <c r="L33" s="113">
        <v>1</v>
      </c>
      <c r="M33" s="113">
        <v>1</v>
      </c>
      <c r="N33" s="113">
        <v>1</v>
      </c>
      <c r="O33" s="120">
        <v>1</v>
      </c>
      <c r="P33" s="115">
        <v>0.9</v>
      </c>
      <c r="Q33" s="113">
        <v>0.9</v>
      </c>
      <c r="R33" s="113">
        <v>0.9</v>
      </c>
      <c r="S33" s="113">
        <v>1</v>
      </c>
      <c r="T33" s="113">
        <v>1</v>
      </c>
      <c r="U33" s="113">
        <v>0.2</v>
      </c>
      <c r="V33" s="120"/>
      <c r="W33" s="116">
        <f t="shared" si="0"/>
        <v>5.8</v>
      </c>
      <c r="X33" s="117">
        <f t="shared" si="2"/>
        <v>4.9000000000000004</v>
      </c>
      <c r="Y33" s="70">
        <f t="shared" si="3"/>
        <v>10.7</v>
      </c>
      <c r="Z33" s="71">
        <f>'[1]cálculos teóricos'!I58</f>
        <v>12.553193567392162</v>
      </c>
      <c r="AA33" s="72">
        <f t="shared" si="1"/>
        <v>85.237274025583673</v>
      </c>
      <c r="AB33" s="3"/>
    </row>
    <row r="34" spans="1:28" ht="18" customHeight="1">
      <c r="A34" s="80">
        <v>26</v>
      </c>
      <c r="B34" s="76">
        <v>28.4</v>
      </c>
      <c r="C34" s="119">
        <f>'[1]cálculos teóricos'!K59</f>
        <v>1.0296409944279203</v>
      </c>
      <c r="D34" s="59">
        <f t="shared" si="4"/>
        <v>425.86301607476889</v>
      </c>
      <c r="E34" s="60">
        <f t="shared" si="5"/>
        <v>17.830032757018422</v>
      </c>
      <c r="F34" s="61">
        <f t="shared" si="6"/>
        <v>22.61662342627303</v>
      </c>
      <c r="G34" s="62">
        <f>'[1]cálculos teóricos'!T59</f>
        <v>38.578799061075529</v>
      </c>
      <c r="H34" s="75">
        <f t="shared" si="7"/>
        <v>58.624488000437275</v>
      </c>
      <c r="I34" s="113"/>
      <c r="J34" s="113">
        <v>0.9</v>
      </c>
      <c r="K34" s="113">
        <v>1</v>
      </c>
      <c r="L34" s="113">
        <v>1</v>
      </c>
      <c r="M34" s="113">
        <v>1</v>
      </c>
      <c r="N34" s="113">
        <v>1</v>
      </c>
      <c r="O34" s="120">
        <v>1</v>
      </c>
      <c r="P34" s="115">
        <v>1</v>
      </c>
      <c r="Q34" s="113">
        <v>1</v>
      </c>
      <c r="R34" s="113">
        <v>0.4</v>
      </c>
      <c r="S34" s="113">
        <v>0.2</v>
      </c>
      <c r="T34" s="113">
        <v>0.5</v>
      </c>
      <c r="U34" s="113"/>
      <c r="V34" s="120"/>
      <c r="W34" s="116">
        <f t="shared" si="0"/>
        <v>5.9</v>
      </c>
      <c r="X34" s="117">
        <f t="shared" si="2"/>
        <v>3.1</v>
      </c>
      <c r="Y34" s="70">
        <f t="shared" si="3"/>
        <v>9</v>
      </c>
      <c r="Z34" s="71">
        <f>'[1]cálculos teóricos'!I59</f>
        <v>12.530845141180563</v>
      </c>
      <c r="AA34" s="72">
        <f t="shared" si="1"/>
        <v>71.822769323219703</v>
      </c>
      <c r="AB34" s="3"/>
    </row>
    <row r="35" spans="1:28" ht="18" customHeight="1">
      <c r="A35" s="80">
        <v>27</v>
      </c>
      <c r="B35" s="76">
        <v>25.5</v>
      </c>
      <c r="C35" s="119">
        <f>'[1]cálculos teóricos'!K60</f>
        <v>1.0290988198124356</v>
      </c>
      <c r="D35" s="59">
        <f t="shared" si="4"/>
        <v>382.17565688962929</v>
      </c>
      <c r="E35" s="60">
        <f t="shared" si="5"/>
        <v>16.000930402654998</v>
      </c>
      <c r="F35" s="61">
        <f t="shared" si="6"/>
        <v>20.330245483318748</v>
      </c>
      <c r="G35" s="62">
        <f>'[1]cálculos teóricos'!T60</f>
        <v>38.432341791103383</v>
      </c>
      <c r="H35" s="75">
        <f t="shared" si="7"/>
        <v>52.898794441989878</v>
      </c>
      <c r="I35" s="113"/>
      <c r="J35" s="113">
        <v>0.5</v>
      </c>
      <c r="K35" s="113">
        <v>1</v>
      </c>
      <c r="L35" s="113">
        <v>1</v>
      </c>
      <c r="M35" s="113">
        <v>1</v>
      </c>
      <c r="N35" s="113">
        <v>1</v>
      </c>
      <c r="O35" s="120">
        <v>0.9</v>
      </c>
      <c r="P35" s="115">
        <v>0.4</v>
      </c>
      <c r="Q35" s="113">
        <v>1</v>
      </c>
      <c r="R35" s="113">
        <v>0.4</v>
      </c>
      <c r="S35" s="113"/>
      <c r="T35" s="113">
        <v>0.1</v>
      </c>
      <c r="U35" s="113"/>
      <c r="V35" s="120"/>
      <c r="W35" s="116">
        <f t="shared" si="0"/>
        <v>5.4</v>
      </c>
      <c r="X35" s="117">
        <f t="shared" si="2"/>
        <v>1.9</v>
      </c>
      <c r="Y35" s="70">
        <f t="shared" si="3"/>
        <v>7.3000000000000007</v>
      </c>
      <c r="Z35" s="71">
        <f>'[1]cálculos teóricos'!I60</f>
        <v>12.508414368487685</v>
      </c>
      <c r="AA35" s="72">
        <f t="shared" si="1"/>
        <v>58.360714515429017</v>
      </c>
      <c r="AB35" s="3"/>
    </row>
    <row r="36" spans="1:28" ht="18" customHeight="1">
      <c r="A36" s="80">
        <v>28</v>
      </c>
      <c r="B36" s="76">
        <v>32.4</v>
      </c>
      <c r="C36" s="119">
        <f>'[1]cálculos teóricos'!K61</f>
        <v>1.0285442775180771</v>
      </c>
      <c r="D36" s="59">
        <f t="shared" si="4"/>
        <v>485.32622857455829</v>
      </c>
      <c r="E36" s="60">
        <f t="shared" si="5"/>
        <v>20.319638537959605</v>
      </c>
      <c r="F36" s="61">
        <f t="shared" si="6"/>
        <v>25.728630652449507</v>
      </c>
      <c r="G36" s="62">
        <f>'[1]cálculos teóricos'!T61</f>
        <v>38.283725807943732</v>
      </c>
      <c r="H36" s="75">
        <f t="shared" si="7"/>
        <v>67.205137717058122</v>
      </c>
      <c r="I36" s="113"/>
      <c r="J36" s="113">
        <v>0.5</v>
      </c>
      <c r="K36" s="113">
        <v>1</v>
      </c>
      <c r="L36" s="113">
        <v>1</v>
      </c>
      <c r="M36" s="113">
        <v>1</v>
      </c>
      <c r="N36" s="113">
        <v>1</v>
      </c>
      <c r="O36" s="120">
        <v>1</v>
      </c>
      <c r="P36" s="115">
        <v>0.9</v>
      </c>
      <c r="Q36" s="113">
        <v>1</v>
      </c>
      <c r="R36" s="113">
        <v>1</v>
      </c>
      <c r="S36" s="113">
        <v>1</v>
      </c>
      <c r="T36" s="113">
        <v>0.4</v>
      </c>
      <c r="U36" s="113"/>
      <c r="V36" s="120"/>
      <c r="W36" s="116">
        <f t="shared" si="0"/>
        <v>5.5</v>
      </c>
      <c r="X36" s="117">
        <f t="shared" si="2"/>
        <v>4.3</v>
      </c>
      <c r="Y36" s="70">
        <f t="shared" si="3"/>
        <v>9.8000000000000007</v>
      </c>
      <c r="Z36" s="71">
        <f>'[1]cálculos teóricos'!I61</f>
        <v>12.485906757928969</v>
      </c>
      <c r="AA36" s="72">
        <f t="shared" si="1"/>
        <v>78.488492586064467</v>
      </c>
      <c r="AB36" s="3"/>
    </row>
    <row r="37" spans="1:28" ht="18" customHeight="1">
      <c r="A37" s="121"/>
      <c r="B37" s="76"/>
      <c r="C37" s="119"/>
      <c r="D37" s="59"/>
      <c r="E37" s="60"/>
      <c r="F37" s="61"/>
      <c r="G37" s="62"/>
      <c r="H37" s="75"/>
      <c r="I37" s="79"/>
      <c r="J37" s="81"/>
      <c r="K37" s="81"/>
      <c r="L37" s="81"/>
      <c r="M37" s="81"/>
      <c r="N37" s="81"/>
      <c r="O37" s="77"/>
      <c r="P37" s="82"/>
      <c r="Q37" s="81"/>
      <c r="R37" s="81"/>
      <c r="S37" s="81"/>
      <c r="T37" s="81"/>
      <c r="U37" s="81"/>
      <c r="V37" s="78"/>
      <c r="W37" s="116"/>
      <c r="X37" s="117"/>
      <c r="Y37" s="70"/>
      <c r="Z37" s="71"/>
      <c r="AA37" s="72"/>
      <c r="AB37" s="3"/>
    </row>
    <row r="38" spans="1:28" ht="18" customHeight="1" thickBot="1">
      <c r="A38" s="122"/>
      <c r="B38" s="87"/>
      <c r="C38" s="88"/>
      <c r="D38" s="89"/>
      <c r="E38" s="123"/>
      <c r="F38" s="91"/>
      <c r="G38" s="92"/>
      <c r="H38" s="93"/>
      <c r="I38" s="94"/>
      <c r="J38" s="87"/>
      <c r="K38" s="87"/>
      <c r="L38" s="87"/>
      <c r="M38" s="87"/>
      <c r="N38" s="87"/>
      <c r="O38" s="95"/>
      <c r="P38" s="94"/>
      <c r="Q38" s="87"/>
      <c r="R38" s="87"/>
      <c r="S38" s="87"/>
      <c r="T38" s="87"/>
      <c r="U38" s="87"/>
      <c r="V38" s="95"/>
      <c r="W38" s="124"/>
      <c r="X38" s="125"/>
      <c r="Y38" s="126"/>
      <c r="Z38" s="127"/>
      <c r="AA38" s="128"/>
      <c r="AB38" s="3"/>
    </row>
    <row r="39" spans="1:28" s="106" customFormat="1" ht="15.75" thickTop="1">
      <c r="A39" s="102"/>
      <c r="B39" s="102"/>
      <c r="C39" s="102"/>
      <c r="D39" s="102"/>
      <c r="E39" s="102"/>
      <c r="F39" s="102"/>
      <c r="G39" s="102"/>
      <c r="H39" s="102"/>
      <c r="I39" s="103">
        <f>SUM(I9:I38)</f>
        <v>0.1</v>
      </c>
      <c r="J39" s="103">
        <f t="shared" ref="J39:O39" si="8">SUM(J9:J38)</f>
        <v>11.500000000000002</v>
      </c>
      <c r="K39" s="103">
        <f t="shared" si="8"/>
        <v>20.9</v>
      </c>
      <c r="L39" s="103">
        <f t="shared" si="8"/>
        <v>23.799999999999997</v>
      </c>
      <c r="M39" s="103">
        <f t="shared" si="8"/>
        <v>22.7</v>
      </c>
      <c r="N39" s="103">
        <f t="shared" si="8"/>
        <v>24.099999999999998</v>
      </c>
      <c r="O39" s="103">
        <f t="shared" si="8"/>
        <v>23.699999999999996</v>
      </c>
      <c r="P39" s="103">
        <f>SUM(P9:P38)</f>
        <v>23.299999999999994</v>
      </c>
      <c r="Q39" s="103">
        <f t="shared" ref="Q39:V39" si="9">SUM(Q9:Q38)</f>
        <v>19.5</v>
      </c>
      <c r="R39" s="103">
        <f t="shared" si="9"/>
        <v>16.800000000000004</v>
      </c>
      <c r="S39" s="103">
        <f t="shared" si="9"/>
        <v>14.8</v>
      </c>
      <c r="T39" s="103">
        <f t="shared" si="9"/>
        <v>14.700000000000001</v>
      </c>
      <c r="U39" s="103">
        <f t="shared" si="9"/>
        <v>5.6</v>
      </c>
      <c r="V39" s="103">
        <f t="shared" si="9"/>
        <v>0.1</v>
      </c>
      <c r="W39" s="129">
        <f>SUM(I39:O39)</f>
        <v>126.79999999999998</v>
      </c>
      <c r="X39" s="130">
        <f t="shared" si="2"/>
        <v>94.8</v>
      </c>
      <c r="Y39" s="130">
        <f t="shared" si="3"/>
        <v>221.59999999999997</v>
      </c>
      <c r="Z39" s="130">
        <f>SUM(Z9:Z38)</f>
        <v>357.73272522252961</v>
      </c>
      <c r="AA39" s="130">
        <f>SUM(AA9:AA38)</f>
        <v>1738.6467406778986</v>
      </c>
      <c r="AB39" s="102"/>
    </row>
    <row r="40" spans="1:28" s="106" customFormat="1" ht="15">
      <c r="A40" s="102"/>
      <c r="B40" s="102" t="s">
        <v>51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</row>
    <row r="41" spans="1:28" s="106" customFormat="1" ht="1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 t="s">
        <v>52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 t="s">
        <v>53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 t="s">
        <v>54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 t="s">
        <v>55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>
      <c r="A50" s="3"/>
      <c r="B50" s="102" t="s">
        <v>56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2" t="s">
        <v>57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B54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08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1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34.799999999999997</v>
      </c>
      <c r="C9" s="74">
        <f>'[1]cálculos teóricos'!K63</f>
        <v>1.0279773842433713</v>
      </c>
      <c r="D9" s="59">
        <f>IF(B9&gt;0,B9*C9*14.25*1.022,-999)</f>
        <v>520.98901251290613</v>
      </c>
      <c r="E9" s="60">
        <f>IF(B9&gt;0,D9*4.1868/100,-999)</f>
        <v>21.812767975890353</v>
      </c>
      <c r="F9" s="61">
        <f>IF(B9&gt;0,(7.86+1.25*D9)*4.1868/100,-999)</f>
        <v>27.595042449862941</v>
      </c>
      <c r="G9" s="62">
        <f>'[1]cálculos teóricos'!T63</f>
        <v>38.132984840855237</v>
      </c>
      <c r="H9" s="63">
        <f>IF(B9&gt;0,100*F9/G9,-999)</f>
        <v>72.365283140117398</v>
      </c>
      <c r="I9" s="132"/>
      <c r="J9" s="132">
        <v>0.9</v>
      </c>
      <c r="K9" s="132">
        <v>1</v>
      </c>
      <c r="L9" s="132">
        <v>1</v>
      </c>
      <c r="M9" s="132">
        <v>1</v>
      </c>
      <c r="N9" s="132">
        <v>1</v>
      </c>
      <c r="O9" s="133">
        <v>1</v>
      </c>
      <c r="P9" s="134">
        <v>1</v>
      </c>
      <c r="Q9" s="132">
        <v>1</v>
      </c>
      <c r="R9" s="132">
        <v>1</v>
      </c>
      <c r="S9" s="132">
        <v>1</v>
      </c>
      <c r="T9" s="132">
        <v>1</v>
      </c>
      <c r="U9" s="132">
        <v>0.5</v>
      </c>
      <c r="V9" s="65"/>
      <c r="W9" s="116">
        <f t="shared" ref="W9:W40" si="0">SUM(I9:O9)</f>
        <v>5.9</v>
      </c>
      <c r="X9" s="117">
        <f>SUM(P9:V9)</f>
        <v>5.5</v>
      </c>
      <c r="Y9" s="118">
        <f>W9+X9</f>
        <v>11.4</v>
      </c>
      <c r="Z9" s="71">
        <f>'[1]cálculos teóricos'!I63</f>
        <v>12.463327667266025</v>
      </c>
      <c r="AA9" s="72">
        <f>100*Y9/Z9</f>
        <v>91.468348617209401</v>
      </c>
      <c r="AB9" s="3"/>
    </row>
    <row r="10" spans="1:28" ht="18" customHeight="1">
      <c r="A10" s="73">
        <v>2</v>
      </c>
      <c r="B10" s="57">
        <v>33</v>
      </c>
      <c r="C10" s="119">
        <f>'[1]cálculos teóricos'!K64</f>
        <v>1.027398166300562</v>
      </c>
      <c r="D10" s="59">
        <f>IF(B10&gt;0,B10*C10*14.25*1.022,-999)</f>
        <v>493.76293543230179</v>
      </c>
      <c r="E10" s="60">
        <f>IF(B10&gt;0,D10*4.1868/100,-999)</f>
        <v>20.67286658067961</v>
      </c>
      <c r="F10" s="61">
        <f>IF(B10&gt;0,(7.86+1.25*D10)*4.1868/100,-999)</f>
        <v>26.170165705849513</v>
      </c>
      <c r="G10" s="62">
        <f>'[1]cálculos teóricos'!T64</f>
        <v>37.980154160973754</v>
      </c>
      <c r="H10" s="75">
        <f>IF(B10&gt;0,100*F10/G10,-999)</f>
        <v>68.904843289816043</v>
      </c>
      <c r="I10" s="135"/>
      <c r="J10" s="134">
        <v>0.9</v>
      </c>
      <c r="K10" s="132">
        <v>1</v>
      </c>
      <c r="L10" s="132">
        <v>1</v>
      </c>
      <c r="M10" s="132">
        <v>1</v>
      </c>
      <c r="N10" s="132">
        <v>1</v>
      </c>
      <c r="O10" s="136">
        <v>1</v>
      </c>
      <c r="P10" s="134">
        <v>1</v>
      </c>
      <c r="Q10" s="132">
        <v>1</v>
      </c>
      <c r="R10" s="132">
        <v>1</v>
      </c>
      <c r="S10" s="132">
        <v>1</v>
      </c>
      <c r="T10" s="132">
        <v>1</v>
      </c>
      <c r="U10" s="132">
        <v>0.6</v>
      </c>
      <c r="V10" s="78"/>
      <c r="W10" s="116">
        <f t="shared" si="0"/>
        <v>5.9</v>
      </c>
      <c r="X10" s="117">
        <f t="shared" ref="X10:X39" si="1">SUM(P10:V10)</f>
        <v>5.6</v>
      </c>
      <c r="Y10" s="70">
        <f t="shared" ref="Y10:Y39" si="2">W10+X10</f>
        <v>11.5</v>
      </c>
      <c r="Z10" s="71">
        <f>'[1]cálculos teóricos'!I64</f>
        <v>12.440682307421085</v>
      </c>
      <c r="AA10" s="72">
        <f t="shared" ref="AA10:AA39" si="3">100*Y10/Z10</f>
        <v>92.438659840546279</v>
      </c>
      <c r="AB10" s="3"/>
    </row>
    <row r="11" spans="1:28" ht="18" customHeight="1">
      <c r="A11" s="73">
        <v>3</v>
      </c>
      <c r="B11" s="57">
        <v>32.299999999999997</v>
      </c>
      <c r="C11" s="119">
        <f>'[1]cálculos teóricos'!K65</f>
        <v>1.0268066596390977</v>
      </c>
      <c r="D11" s="59">
        <f t="shared" ref="D11:D39" si="4">IF(B11&gt;0,B11*C11*14.25*1.022,-999)</f>
        <v>483.01093084122414</v>
      </c>
      <c r="E11" s="60">
        <f t="shared" ref="E11:E39" si="5">IF(B11&gt;0,D11*4.1868/100,-999)</f>
        <v>20.222701652460373</v>
      </c>
      <c r="F11" s="61">
        <f t="shared" ref="F11:F39" si="6">IF(B11&gt;0,(7.86+1.25*D11)*4.1868/100,-999)</f>
        <v>25.607459545575466</v>
      </c>
      <c r="G11" s="62">
        <f>'[1]cálculos teóricos'!T65</f>
        <v>37.825270561198415</v>
      </c>
      <c r="H11" s="75">
        <f t="shared" ref="H11:H39" si="7">IF(B11&gt;0,100*F11/G11,-999)</f>
        <v>67.699342703033793</v>
      </c>
      <c r="I11" s="135"/>
      <c r="J11" s="134">
        <v>0.9</v>
      </c>
      <c r="K11" s="132">
        <v>1</v>
      </c>
      <c r="L11" s="132">
        <v>1</v>
      </c>
      <c r="M11" s="132">
        <v>1</v>
      </c>
      <c r="N11" s="134">
        <v>1</v>
      </c>
      <c r="O11" s="136">
        <v>1</v>
      </c>
      <c r="P11" s="134">
        <v>0.9</v>
      </c>
      <c r="Q11" s="132">
        <v>0.7</v>
      </c>
      <c r="R11" s="132">
        <v>1</v>
      </c>
      <c r="S11" s="132">
        <v>1</v>
      </c>
      <c r="T11" s="132">
        <v>1</v>
      </c>
      <c r="U11" s="132">
        <v>0.4</v>
      </c>
      <c r="V11" s="78"/>
      <c r="W11" s="116">
        <f t="shared" si="0"/>
        <v>5.9</v>
      </c>
      <c r="X11" s="117">
        <f t="shared" si="1"/>
        <v>5</v>
      </c>
      <c r="Y11" s="70">
        <f t="shared" si="2"/>
        <v>10.9</v>
      </c>
      <c r="Z11" s="71">
        <f>'[1]cálculos teóricos'!I65</f>
        <v>12.417975746751987</v>
      </c>
      <c r="AA11" s="72">
        <f t="shared" si="3"/>
        <v>87.775980741877163</v>
      </c>
      <c r="AB11" s="3"/>
    </row>
    <row r="12" spans="1:28" ht="18" customHeight="1">
      <c r="A12" s="73">
        <v>4</v>
      </c>
      <c r="B12" s="57">
        <v>36</v>
      </c>
      <c r="C12" s="119">
        <f>'[1]cálculos teóricos'!K66</f>
        <v>1.0262029098607273</v>
      </c>
      <c r="D12" s="59">
        <f t="shared" si="4"/>
        <v>538.02381879924121</v>
      </c>
      <c r="E12" s="60">
        <f t="shared" si="5"/>
        <v>22.525981245486633</v>
      </c>
      <c r="F12" s="61">
        <f t="shared" si="6"/>
        <v>28.486559036858289</v>
      </c>
      <c r="G12" s="62">
        <f>'[1]cálculos teóricos'!T66</f>
        <v>37.668372334455164</v>
      </c>
      <c r="H12" s="75">
        <f t="shared" si="7"/>
        <v>75.624608315771866</v>
      </c>
      <c r="I12" s="135"/>
      <c r="J12" s="134">
        <v>0.9</v>
      </c>
      <c r="K12" s="132">
        <v>1</v>
      </c>
      <c r="L12" s="132">
        <v>1</v>
      </c>
      <c r="M12" s="132">
        <v>1</v>
      </c>
      <c r="N12" s="134">
        <v>1</v>
      </c>
      <c r="O12" s="136">
        <v>1</v>
      </c>
      <c r="P12" s="134">
        <v>1</v>
      </c>
      <c r="Q12" s="132">
        <v>1</v>
      </c>
      <c r="R12" s="132">
        <v>1</v>
      </c>
      <c r="S12" s="132">
        <v>1</v>
      </c>
      <c r="T12" s="132">
        <v>1</v>
      </c>
      <c r="U12" s="132">
        <v>0.4</v>
      </c>
      <c r="V12" s="78"/>
      <c r="W12" s="116">
        <f t="shared" si="0"/>
        <v>5.9</v>
      </c>
      <c r="X12" s="117">
        <f t="shared" si="1"/>
        <v>5.4</v>
      </c>
      <c r="Y12" s="70">
        <f t="shared" si="2"/>
        <v>11.3</v>
      </c>
      <c r="Z12" s="71">
        <f>'[1]cálculos teóricos'!I66</f>
        <v>12.395212915568337</v>
      </c>
      <c r="AA12" s="72">
        <f t="shared" si="3"/>
        <v>91.164226681473508</v>
      </c>
      <c r="AB12" s="3"/>
    </row>
    <row r="13" spans="1:28" ht="18" customHeight="1">
      <c r="A13" s="73">
        <v>5</v>
      </c>
      <c r="B13" s="57">
        <v>32.700000000000003</v>
      </c>
      <c r="C13" s="119">
        <f>'[1]cálculos teóricos'!K67</f>
        <v>1.0255869722268318</v>
      </c>
      <c r="D13" s="59">
        <f t="shared" si="4"/>
        <v>488.41164294983275</v>
      </c>
      <c r="E13" s="60">
        <f t="shared" si="5"/>
        <v>20.448818667023598</v>
      </c>
      <c r="F13" s="61">
        <f t="shared" si="6"/>
        <v>25.890105813779495</v>
      </c>
      <c r="G13" s="62">
        <f>'[1]cálculos teóricos'!T67</f>
        <v>37.509499250465367</v>
      </c>
      <c r="H13" s="75">
        <f t="shared" si="7"/>
        <v>69.022797774241909</v>
      </c>
      <c r="I13" s="135"/>
      <c r="J13" s="134"/>
      <c r="K13" s="132">
        <v>0.9</v>
      </c>
      <c r="L13" s="132">
        <v>1</v>
      </c>
      <c r="M13" s="132">
        <v>1</v>
      </c>
      <c r="N13" s="134">
        <v>1</v>
      </c>
      <c r="O13" s="136">
        <v>1</v>
      </c>
      <c r="P13" s="134">
        <v>1</v>
      </c>
      <c r="Q13" s="132">
        <v>1</v>
      </c>
      <c r="R13" s="132">
        <v>1</v>
      </c>
      <c r="S13" s="132">
        <v>1</v>
      </c>
      <c r="T13" s="132">
        <v>1</v>
      </c>
      <c r="U13" s="132">
        <v>0.4</v>
      </c>
      <c r="V13" s="78"/>
      <c r="W13" s="116">
        <f t="shared" si="0"/>
        <v>4.9000000000000004</v>
      </c>
      <c r="X13" s="117">
        <f t="shared" si="1"/>
        <v>5.4</v>
      </c>
      <c r="Y13" s="70">
        <f t="shared" si="2"/>
        <v>10.3</v>
      </c>
      <c r="Z13" s="71">
        <f>'[1]cálculos teóricos'!I67</f>
        <v>12.372398610870075</v>
      </c>
      <c r="AA13" s="72">
        <f t="shared" si="3"/>
        <v>83.249823449356711</v>
      </c>
      <c r="AB13" s="3"/>
    </row>
    <row r="14" spans="1:28" ht="18" customHeight="1">
      <c r="A14" s="73">
        <v>6</v>
      </c>
      <c r="B14" s="57">
        <v>33</v>
      </c>
      <c r="C14" s="119">
        <f>'[1]cálculos teóricos'!K68</f>
        <v>1.0249589116586053</v>
      </c>
      <c r="D14" s="59">
        <f t="shared" si="4"/>
        <v>492.59064062802332</v>
      </c>
      <c r="E14" s="60">
        <f t="shared" si="5"/>
        <v>20.62378494181408</v>
      </c>
      <c r="F14" s="61">
        <f t="shared" si="6"/>
        <v>26.1088136572676</v>
      </c>
      <c r="G14" s="62">
        <f>'[1]cálculos teóricos'!T68</f>
        <v>37.348692531146071</v>
      </c>
      <c r="H14" s="75">
        <f t="shared" si="7"/>
        <v>69.905562652547388</v>
      </c>
      <c r="I14" s="135"/>
      <c r="J14" s="134">
        <v>0.8</v>
      </c>
      <c r="K14" s="132">
        <v>1</v>
      </c>
      <c r="L14" s="132">
        <v>1</v>
      </c>
      <c r="M14" s="132">
        <v>1</v>
      </c>
      <c r="N14" s="134">
        <v>1</v>
      </c>
      <c r="O14" s="136">
        <v>1</v>
      </c>
      <c r="P14" s="134">
        <v>1</v>
      </c>
      <c r="Q14" s="132">
        <v>1</v>
      </c>
      <c r="R14" s="132">
        <v>1</v>
      </c>
      <c r="S14" s="132">
        <v>1</v>
      </c>
      <c r="T14" s="132">
        <v>1</v>
      </c>
      <c r="U14" s="132">
        <v>0.7</v>
      </c>
      <c r="V14" s="78"/>
      <c r="W14" s="116">
        <f t="shared" si="0"/>
        <v>5.8</v>
      </c>
      <c r="X14" s="117">
        <f t="shared" si="1"/>
        <v>5.7</v>
      </c>
      <c r="Y14" s="70">
        <f t="shared" si="2"/>
        <v>11.5</v>
      </c>
      <c r="Z14" s="71">
        <f>'[1]cálculos teóricos'!I68</f>
        <v>12.349537501290623</v>
      </c>
      <c r="AA14" s="72">
        <f t="shared" si="3"/>
        <v>93.12089621816331</v>
      </c>
      <c r="AB14" s="3"/>
    </row>
    <row r="15" spans="1:28" ht="18" customHeight="1">
      <c r="A15" s="73">
        <v>7</v>
      </c>
      <c r="B15" s="76">
        <v>32.200000000000003</v>
      </c>
      <c r="C15" s="119">
        <f>'[1]cálculos teóricos'!K69</f>
        <v>1.0243188027306998</v>
      </c>
      <c r="D15" s="59">
        <f t="shared" si="4"/>
        <v>480.34887365090714</v>
      </c>
      <c r="E15" s="60">
        <f t="shared" si="5"/>
        <v>20.11124664201618</v>
      </c>
      <c r="F15" s="61">
        <f t="shared" si="6"/>
        <v>25.468140782520226</v>
      </c>
      <c r="G15" s="62">
        <f>'[1]cálculos teóricos'!T69</f>
        <v>37.185994824767818</v>
      </c>
      <c r="H15" s="75">
        <f t="shared" si="7"/>
        <v>68.488528819880088</v>
      </c>
      <c r="I15" s="135"/>
      <c r="J15" s="134">
        <v>0.9</v>
      </c>
      <c r="K15" s="132">
        <v>1</v>
      </c>
      <c r="L15" s="132">
        <v>1</v>
      </c>
      <c r="M15" s="132">
        <v>1</v>
      </c>
      <c r="N15" s="134">
        <v>1</v>
      </c>
      <c r="O15" s="136">
        <v>1</v>
      </c>
      <c r="P15" s="134">
        <v>1</v>
      </c>
      <c r="Q15" s="132">
        <v>0.9</v>
      </c>
      <c r="R15" s="132">
        <v>1</v>
      </c>
      <c r="S15" s="132">
        <v>1</v>
      </c>
      <c r="T15" s="132">
        <v>1</v>
      </c>
      <c r="U15" s="132">
        <v>0.5</v>
      </c>
      <c r="V15" s="78"/>
      <c r="W15" s="116">
        <f t="shared" si="0"/>
        <v>5.9</v>
      </c>
      <c r="X15" s="117">
        <f t="shared" si="1"/>
        <v>5.4</v>
      </c>
      <c r="Y15" s="70">
        <f t="shared" si="2"/>
        <v>11.3</v>
      </c>
      <c r="Z15" s="71">
        <f>'[1]cálculos teóricos'!I69</f>
        <v>12.326634132227381</v>
      </c>
      <c r="AA15" s="72">
        <f t="shared" si="3"/>
        <v>91.671415560689866</v>
      </c>
      <c r="AB15" s="3"/>
    </row>
    <row r="16" spans="1:28" ht="18" customHeight="1">
      <c r="A16" s="80">
        <v>8</v>
      </c>
      <c r="B16" s="76">
        <v>26.8</v>
      </c>
      <c r="C16" s="119">
        <f>'[1]cálculos teóricos'!K70</f>
        <v>1.023666729658925</v>
      </c>
      <c r="D16" s="59">
        <f t="shared" si="4"/>
        <v>399.53896718599185</v>
      </c>
      <c r="E16" s="60">
        <f t="shared" si="5"/>
        <v>16.727897478143106</v>
      </c>
      <c r="F16" s="61">
        <f t="shared" si="6"/>
        <v>21.238954327678883</v>
      </c>
      <c r="G16" s="62">
        <f>'[1]cálculos teóricos'!T70</f>
        <v>37.021450178993661</v>
      </c>
      <c r="H16" s="75">
        <f t="shared" si="7"/>
        <v>57.369320285919216</v>
      </c>
      <c r="I16" s="135"/>
      <c r="J16" s="134">
        <v>0.9</v>
      </c>
      <c r="K16" s="132">
        <v>1</v>
      </c>
      <c r="L16" s="132">
        <v>1</v>
      </c>
      <c r="M16" s="132">
        <v>1</v>
      </c>
      <c r="N16" s="134">
        <v>1</v>
      </c>
      <c r="O16" s="136">
        <v>0.9</v>
      </c>
      <c r="P16" s="134">
        <v>0.9</v>
      </c>
      <c r="Q16" s="132">
        <v>0.3</v>
      </c>
      <c r="R16" s="132">
        <v>1</v>
      </c>
      <c r="S16" s="132">
        <v>1</v>
      </c>
      <c r="T16" s="132">
        <v>1</v>
      </c>
      <c r="U16" s="132">
        <v>0.2</v>
      </c>
      <c r="V16" s="78"/>
      <c r="W16" s="116">
        <f t="shared" si="0"/>
        <v>5.8000000000000007</v>
      </c>
      <c r="X16" s="117">
        <f t="shared" si="1"/>
        <v>4.4000000000000004</v>
      </c>
      <c r="Y16" s="70">
        <f t="shared" si="2"/>
        <v>10.200000000000001</v>
      </c>
      <c r="Z16" s="71">
        <f>'[1]cálculos teóricos'!I70</f>
        <v>12.303692931143221</v>
      </c>
      <c r="AA16" s="72">
        <f t="shared" si="3"/>
        <v>82.901938930722721</v>
      </c>
      <c r="AB16" s="3"/>
    </row>
    <row r="17" spans="1:28" ht="18" customHeight="1">
      <c r="A17" s="80">
        <v>9</v>
      </c>
      <c r="B17" s="76">
        <v>29.9</v>
      </c>
      <c r="C17" s="119">
        <f>'[1]cálculos teóricos'!K71</f>
        <v>1.0230027862825883</v>
      </c>
      <c r="D17" s="59">
        <f t="shared" si="4"/>
        <v>445.46518223299159</v>
      </c>
      <c r="E17" s="60">
        <f t="shared" si="5"/>
        <v>18.65073624973089</v>
      </c>
      <c r="F17" s="61">
        <f t="shared" si="6"/>
        <v>23.642502792163619</v>
      </c>
      <c r="G17" s="62">
        <f>'[1]cálculos teóricos'!T71</f>
        <v>36.855104012919824</v>
      </c>
      <c r="H17" s="75">
        <f t="shared" si="7"/>
        <v>64.149874014398563</v>
      </c>
      <c r="I17" s="135"/>
      <c r="J17" s="134">
        <v>0.1</v>
      </c>
      <c r="K17" s="132">
        <v>1</v>
      </c>
      <c r="L17" s="132">
        <v>1</v>
      </c>
      <c r="M17" s="132">
        <v>1</v>
      </c>
      <c r="N17" s="134">
        <v>1</v>
      </c>
      <c r="O17" s="136">
        <v>1</v>
      </c>
      <c r="P17" s="134">
        <v>1</v>
      </c>
      <c r="Q17" s="132">
        <v>1</v>
      </c>
      <c r="R17" s="132">
        <v>0.8</v>
      </c>
      <c r="S17" s="132">
        <v>1</v>
      </c>
      <c r="T17" s="132">
        <v>1</v>
      </c>
      <c r="U17" s="132">
        <v>1</v>
      </c>
      <c r="V17" s="78"/>
      <c r="W17" s="116">
        <f t="shared" si="0"/>
        <v>5.0999999999999996</v>
      </c>
      <c r="X17" s="117">
        <f t="shared" si="1"/>
        <v>5.8</v>
      </c>
      <c r="Y17" s="70">
        <f t="shared" si="2"/>
        <v>10.899999999999999</v>
      </c>
      <c r="Z17" s="71">
        <f>'[1]cálculos teóricos'!I71</f>
        <v>12.280718213023388</v>
      </c>
      <c r="AA17" s="72">
        <f t="shared" si="3"/>
        <v>88.757023904683578</v>
      </c>
      <c r="AB17" s="3"/>
    </row>
    <row r="18" spans="1:28" ht="18" customHeight="1">
      <c r="A18" s="80">
        <v>10</v>
      </c>
      <c r="B18" s="76">
        <v>27.5</v>
      </c>
      <c r="C18" s="119">
        <f>'[1]cálculos teóricos'!K72</f>
        <v>1.0223270760420269</v>
      </c>
      <c r="D18" s="59">
        <f t="shared" si="4"/>
        <v>409.43816022829657</v>
      </c>
      <c r="E18" s="60">
        <f t="shared" si="5"/>
        <v>17.142356892438318</v>
      </c>
      <c r="F18" s="61">
        <f t="shared" si="6"/>
        <v>21.757028595547901</v>
      </c>
      <c r="G18" s="62">
        <f>'[1]cálculos teóricos'!T72</f>
        <v>36.687003088236096</v>
      </c>
      <c r="H18" s="75">
        <f t="shared" si="7"/>
        <v>59.304458702227492</v>
      </c>
      <c r="I18" s="135"/>
      <c r="J18" s="134"/>
      <c r="K18" s="132">
        <v>0.1</v>
      </c>
      <c r="L18" s="132">
        <v>1</v>
      </c>
      <c r="M18" s="132">
        <v>1</v>
      </c>
      <c r="N18" s="132">
        <v>1</v>
      </c>
      <c r="O18" s="136">
        <v>1</v>
      </c>
      <c r="P18" s="134">
        <v>1</v>
      </c>
      <c r="Q18" s="132">
        <v>1</v>
      </c>
      <c r="R18" s="132">
        <v>1</v>
      </c>
      <c r="S18" s="132">
        <v>0.7</v>
      </c>
      <c r="T18" s="132"/>
      <c r="U18" s="132"/>
      <c r="V18" s="78"/>
      <c r="W18" s="116">
        <f t="shared" si="0"/>
        <v>4.0999999999999996</v>
      </c>
      <c r="X18" s="117">
        <f t="shared" si="1"/>
        <v>3.7</v>
      </c>
      <c r="Y18" s="70">
        <f t="shared" si="2"/>
        <v>7.8</v>
      </c>
      <c r="Z18" s="71">
        <f>'[1]cálculos teóricos'!I72</f>
        <v>12.25771418597288</v>
      </c>
      <c r="AA18" s="72">
        <f t="shared" si="3"/>
        <v>63.633397562213787</v>
      </c>
      <c r="AB18" s="3"/>
    </row>
    <row r="19" spans="1:28" ht="18" customHeight="1">
      <c r="A19" s="80">
        <v>11</v>
      </c>
      <c r="B19" s="76">
        <v>22.5</v>
      </c>
      <c r="C19" s="119">
        <f>'[1]cálculos teóricos'!K73</f>
        <v>1.0216397119518779</v>
      </c>
      <c r="D19" s="59">
        <f t="shared" si="4"/>
        <v>334.76962376275145</v>
      </c>
      <c r="E19" s="60">
        <f t="shared" si="5"/>
        <v>14.016134607698877</v>
      </c>
      <c r="F19" s="61">
        <f t="shared" si="6"/>
        <v>17.849250739623599</v>
      </c>
      <c r="G19" s="62">
        <f>'[1]cálculos teóricos'!T73</f>
        <v>36.517195479618834</v>
      </c>
      <c r="H19" s="75">
        <f t="shared" si="7"/>
        <v>48.879029468694313</v>
      </c>
      <c r="I19" s="135"/>
      <c r="J19" s="134">
        <v>0.3</v>
      </c>
      <c r="K19" s="132">
        <v>0.8</v>
      </c>
      <c r="L19" s="132">
        <v>0.5</v>
      </c>
      <c r="M19" s="132">
        <v>1</v>
      </c>
      <c r="N19" s="132"/>
      <c r="O19" s="136">
        <v>0.7</v>
      </c>
      <c r="P19" s="134">
        <v>0.9</v>
      </c>
      <c r="Q19" s="132">
        <v>0.3</v>
      </c>
      <c r="R19" s="132">
        <v>0.8</v>
      </c>
      <c r="S19" s="132"/>
      <c r="T19" s="132"/>
      <c r="U19" s="132"/>
      <c r="V19" s="78"/>
      <c r="W19" s="116">
        <f t="shared" si="0"/>
        <v>3.3</v>
      </c>
      <c r="X19" s="117">
        <f t="shared" si="1"/>
        <v>2</v>
      </c>
      <c r="Y19" s="70">
        <f t="shared" si="2"/>
        <v>5.3</v>
      </c>
      <c r="Z19" s="71">
        <f>'[1]cálculos teóricos'!I73</f>
        <v>12.234684956940034</v>
      </c>
      <c r="AA19" s="72">
        <f t="shared" si="3"/>
        <v>43.319464445985709</v>
      </c>
      <c r="AB19" s="3"/>
    </row>
    <row r="20" spans="1:28" ht="18" customHeight="1">
      <c r="A20" s="80">
        <v>12</v>
      </c>
      <c r="B20" s="76">
        <v>25</v>
      </c>
      <c r="C20" s="119">
        <f>'[1]cálculos teóricos'!K74</f>
        <v>1.0209408165705878</v>
      </c>
      <c r="D20" s="59">
        <f t="shared" si="4"/>
        <v>371.71178955314389</v>
      </c>
      <c r="E20" s="60">
        <f t="shared" si="5"/>
        <v>15.562829205011028</v>
      </c>
      <c r="F20" s="61">
        <f t="shared" si="6"/>
        <v>19.782618986263785</v>
      </c>
      <c r="G20" s="62">
        <f>'[1]cálculos teóricos'!T74</f>
        <v>36.345730544465582</v>
      </c>
      <c r="H20" s="75">
        <f t="shared" si="7"/>
        <v>54.429003599368052</v>
      </c>
      <c r="I20" s="135"/>
      <c r="J20" s="134"/>
      <c r="K20" s="132">
        <v>0.9</v>
      </c>
      <c r="L20" s="132">
        <v>1</v>
      </c>
      <c r="M20" s="132">
        <v>0.7</v>
      </c>
      <c r="N20" s="132">
        <v>1</v>
      </c>
      <c r="O20" s="136">
        <v>1</v>
      </c>
      <c r="P20" s="134">
        <v>1</v>
      </c>
      <c r="Q20" s="132">
        <v>0.9</v>
      </c>
      <c r="R20" s="132">
        <v>1</v>
      </c>
      <c r="S20" s="132">
        <v>0.5</v>
      </c>
      <c r="T20" s="132"/>
      <c r="U20" s="132"/>
      <c r="V20" s="78"/>
      <c r="W20" s="116">
        <f t="shared" si="0"/>
        <v>4.5999999999999996</v>
      </c>
      <c r="X20" s="117">
        <f t="shared" si="1"/>
        <v>3.4</v>
      </c>
      <c r="Y20" s="70">
        <f t="shared" si="2"/>
        <v>8</v>
      </c>
      <c r="Z20" s="71">
        <f>'[1]cálculos teóricos'!I74</f>
        <v>12.211634537553067</v>
      </c>
      <c r="AA20" s="72">
        <f t="shared" si="3"/>
        <v>65.511295604192043</v>
      </c>
      <c r="AB20" s="3"/>
    </row>
    <row r="21" spans="1:28" ht="18" customHeight="1">
      <c r="A21" s="80">
        <v>13</v>
      </c>
      <c r="B21" s="76">
        <v>26.9</v>
      </c>
      <c r="C21" s="119">
        <f>'[1]cálculos teóricos'!K75</f>
        <v>1.0202305219666468</v>
      </c>
      <c r="D21" s="59">
        <f t="shared" si="4"/>
        <v>399.68362185918789</v>
      </c>
      <c r="E21" s="60">
        <f t="shared" si="5"/>
        <v>16.733953880000477</v>
      </c>
      <c r="F21" s="61">
        <f t="shared" si="6"/>
        <v>21.246524830000599</v>
      </c>
      <c r="G21" s="62">
        <f>'[1]cálculos teóricos'!T75</f>
        <v>36.172658892075304</v>
      </c>
      <c r="H21" s="75">
        <f t="shared" si="7"/>
        <v>58.736419939136077</v>
      </c>
      <c r="I21" s="135"/>
      <c r="J21" s="134"/>
      <c r="K21" s="132">
        <v>0.2</v>
      </c>
      <c r="L21" s="132">
        <v>0.8</v>
      </c>
      <c r="M21" s="132">
        <v>0.9</v>
      </c>
      <c r="N21" s="132">
        <v>0.9</v>
      </c>
      <c r="O21" s="136">
        <v>1</v>
      </c>
      <c r="P21" s="134">
        <v>1</v>
      </c>
      <c r="Q21" s="132">
        <v>1</v>
      </c>
      <c r="R21" s="132">
        <v>1</v>
      </c>
      <c r="S21" s="132">
        <v>0.2</v>
      </c>
      <c r="T21" s="132">
        <v>0.4</v>
      </c>
      <c r="U21" s="132">
        <v>0.3</v>
      </c>
      <c r="V21" s="78"/>
      <c r="W21" s="116">
        <f t="shared" si="0"/>
        <v>3.8</v>
      </c>
      <c r="X21" s="117">
        <f t="shared" si="1"/>
        <v>3.9</v>
      </c>
      <c r="Y21" s="70">
        <f t="shared" si="2"/>
        <v>7.6999999999999993</v>
      </c>
      <c r="Z21" s="71">
        <f>'[1]cálculos teóricos'!I75</f>
        <v>12.1885668500564</v>
      </c>
      <c r="AA21" s="72">
        <f t="shared" si="3"/>
        <v>63.173957157763539</v>
      </c>
      <c r="AB21" s="3"/>
    </row>
    <row r="22" spans="1:28" ht="18" customHeight="1">
      <c r="A22" s="80">
        <v>14</v>
      </c>
      <c r="B22" s="76">
        <v>21.3</v>
      </c>
      <c r="C22" s="119">
        <f>'[1]cálculos teóricos'!K76</f>
        <v>1.0195089696819948</v>
      </c>
      <c r="D22" s="59">
        <f t="shared" si="4"/>
        <v>316.2542821432275</v>
      </c>
      <c r="E22" s="60">
        <f t="shared" si="5"/>
        <v>13.240934284772647</v>
      </c>
      <c r="F22" s="61">
        <f t="shared" si="6"/>
        <v>16.880250335965812</v>
      </c>
      <c r="G22" s="62">
        <f>'[1]cálculos teóricos'!T76</f>
        <v>35.998032352371688</v>
      </c>
      <c r="H22" s="75">
        <f t="shared" si="7"/>
        <v>46.89214724496928</v>
      </c>
      <c r="I22" s="135"/>
      <c r="J22" s="134"/>
      <c r="K22" s="132">
        <v>0.1</v>
      </c>
      <c r="L22" s="132">
        <v>0.5</v>
      </c>
      <c r="M22" s="132">
        <v>0.4</v>
      </c>
      <c r="N22" s="132">
        <v>0.2</v>
      </c>
      <c r="O22" s="136">
        <v>0.7</v>
      </c>
      <c r="P22" s="134">
        <v>0.7</v>
      </c>
      <c r="Q22" s="132">
        <v>1</v>
      </c>
      <c r="R22" s="132">
        <v>1</v>
      </c>
      <c r="S22" s="132">
        <v>0.5</v>
      </c>
      <c r="T22" s="132"/>
      <c r="U22" s="132"/>
      <c r="V22" s="78"/>
      <c r="W22" s="116">
        <f t="shared" si="0"/>
        <v>1.9</v>
      </c>
      <c r="X22" s="117">
        <f t="shared" si="1"/>
        <v>3.2</v>
      </c>
      <c r="Y22" s="70">
        <f t="shared" si="2"/>
        <v>5.0999999999999996</v>
      </c>
      <c r="Z22" s="71">
        <f>'[1]cálculos teóricos'!I76</f>
        <v>12.165485733334812</v>
      </c>
      <c r="AA22" s="72">
        <f t="shared" si="3"/>
        <v>41.921877282921969</v>
      </c>
      <c r="AB22" s="3"/>
    </row>
    <row r="23" spans="1:28" ht="18" customHeight="1">
      <c r="A23" s="137">
        <v>15</v>
      </c>
      <c r="B23" s="76">
        <v>21.2</v>
      </c>
      <c r="C23" s="119">
        <f>'[1]cálculos teóricos'!K77</f>
        <v>1.0187763106930137</v>
      </c>
      <c r="D23" s="59">
        <f t="shared" si="4"/>
        <v>314.54331457648732</v>
      </c>
      <c r="E23" s="60">
        <f t="shared" si="5"/>
        <v>13.169299494688371</v>
      </c>
      <c r="F23" s="61">
        <f t="shared" si="6"/>
        <v>16.790706848360465</v>
      </c>
      <c r="G23" s="62">
        <f>'[1]cálculos teóricos'!T77</f>
        <v>35.82190394426226</v>
      </c>
      <c r="H23" s="75">
        <f t="shared" si="7"/>
        <v>46.872737067483257</v>
      </c>
      <c r="I23" s="135"/>
      <c r="J23" s="134"/>
      <c r="K23" s="132"/>
      <c r="L23" s="132"/>
      <c r="M23" s="132"/>
      <c r="N23" s="132">
        <v>0.7</v>
      </c>
      <c r="O23" s="136">
        <v>0.7</v>
      </c>
      <c r="P23" s="134">
        <v>0.8</v>
      </c>
      <c r="Q23" s="132">
        <v>0.5</v>
      </c>
      <c r="R23" s="132">
        <v>0.8</v>
      </c>
      <c r="S23" s="132">
        <v>1</v>
      </c>
      <c r="T23" s="132">
        <v>0.7</v>
      </c>
      <c r="U23" s="132"/>
      <c r="V23" s="78"/>
      <c r="W23" s="116">
        <f t="shared" si="0"/>
        <v>1.4</v>
      </c>
      <c r="X23" s="117">
        <f t="shared" si="1"/>
        <v>3.8</v>
      </c>
      <c r="Y23" s="70">
        <f t="shared" si="2"/>
        <v>5.1999999999999993</v>
      </c>
      <c r="Z23" s="71">
        <f>'[1]cálculos teóricos'!I77</f>
        <v>12.142394949013712</v>
      </c>
      <c r="AA23" s="72">
        <f t="shared" si="3"/>
        <v>42.825159466768774</v>
      </c>
      <c r="AB23" s="3"/>
    </row>
    <row r="24" spans="1:28" ht="18" customHeight="1">
      <c r="A24" s="80">
        <v>16</v>
      </c>
      <c r="B24" s="76">
        <v>7.1</v>
      </c>
      <c r="C24" s="119">
        <f>'[1]cálculos teóricos'!K78</f>
        <v>1.018032705369482</v>
      </c>
      <c r="D24" s="59">
        <f t="shared" si="4"/>
        <v>105.265447063004</v>
      </c>
      <c r="E24" s="60">
        <f t="shared" si="5"/>
        <v>4.4072537376338516</v>
      </c>
      <c r="F24" s="61">
        <f t="shared" si="6"/>
        <v>5.8381496520423148</v>
      </c>
      <c r="G24" s="62">
        <f>'[1]cálculos teóricos'!T78</f>
        <v>35.644327843718507</v>
      </c>
      <c r="H24" s="75">
        <f t="shared" si="7"/>
        <v>16.378902353382866</v>
      </c>
      <c r="I24" s="135"/>
      <c r="J24" s="138"/>
      <c r="K24" s="139"/>
      <c r="L24" s="139"/>
      <c r="M24" s="139"/>
      <c r="N24" s="139"/>
      <c r="O24" s="140"/>
      <c r="P24" s="138"/>
      <c r="Q24" s="139"/>
      <c r="R24" s="139"/>
      <c r="S24" s="139"/>
      <c r="T24" s="139"/>
      <c r="U24" s="132"/>
      <c r="V24" s="78"/>
      <c r="W24" s="116">
        <f t="shared" si="0"/>
        <v>0</v>
      </c>
      <c r="X24" s="117">
        <f t="shared" si="1"/>
        <v>0</v>
      </c>
      <c r="Y24" s="70">
        <f t="shared" si="2"/>
        <v>0</v>
      </c>
      <c r="Z24" s="71">
        <f>'[1]cálculos teóricos'!I78</f>
        <v>12.119298187624363</v>
      </c>
      <c r="AA24" s="72">
        <f t="shared" si="3"/>
        <v>0</v>
      </c>
      <c r="AB24" s="3"/>
    </row>
    <row r="25" spans="1:28" ht="18" customHeight="1">
      <c r="A25" s="80">
        <v>17</v>
      </c>
      <c r="B25" s="76">
        <v>16.3</v>
      </c>
      <c r="C25" s="119">
        <f>'[1]cálculos teóricos'!K79</f>
        <v>1.0172783234318352</v>
      </c>
      <c r="D25" s="59">
        <f t="shared" si="4"/>
        <v>241.48666567178242</v>
      </c>
      <c r="E25" s="60">
        <f t="shared" si="5"/>
        <v>10.110563718346187</v>
      </c>
      <c r="F25" s="61">
        <f t="shared" si="6"/>
        <v>12.967287127932734</v>
      </c>
      <c r="G25" s="62">
        <f>'[1]cálculos teóricos'!T79</f>
        <v>35.465359351656311</v>
      </c>
      <c r="H25" s="75">
        <f t="shared" si="7"/>
        <v>36.563247532206759</v>
      </c>
      <c r="I25" s="135"/>
      <c r="J25" s="134"/>
      <c r="K25" s="132"/>
      <c r="L25" s="132"/>
      <c r="M25" s="132"/>
      <c r="N25" s="132"/>
      <c r="O25" s="136">
        <v>0.1</v>
      </c>
      <c r="P25" s="134">
        <v>0.3</v>
      </c>
      <c r="Q25" s="132">
        <v>0.2</v>
      </c>
      <c r="R25" s="132">
        <v>0.3</v>
      </c>
      <c r="S25" s="132">
        <v>0.9</v>
      </c>
      <c r="T25" s="132"/>
      <c r="U25" s="132"/>
      <c r="V25" s="78"/>
      <c r="W25" s="116">
        <f t="shared" si="0"/>
        <v>0.1</v>
      </c>
      <c r="X25" s="117">
        <f t="shared" si="1"/>
        <v>1.7000000000000002</v>
      </c>
      <c r="Y25" s="70">
        <f t="shared" si="2"/>
        <v>1.8000000000000003</v>
      </c>
      <c r="Z25" s="71">
        <f>'[1]cálculos teóricos'!I79</f>
        <v>12.096199074823641</v>
      </c>
      <c r="AA25" s="72">
        <f t="shared" si="3"/>
        <v>14.880707475676559</v>
      </c>
      <c r="AB25" s="3"/>
    </row>
    <row r="26" spans="1:28" ht="18" customHeight="1">
      <c r="A26" s="80">
        <v>18</v>
      </c>
      <c r="B26" s="76">
        <v>22</v>
      </c>
      <c r="C26" s="119">
        <f>'[1]cálculos teóricos'!K80</f>
        <v>1.016513343907022</v>
      </c>
      <c r="D26" s="59">
        <f t="shared" si="4"/>
        <v>325.68782584777813</v>
      </c>
      <c r="E26" s="60">
        <f t="shared" si="5"/>
        <v>13.635897892594773</v>
      </c>
      <c r="F26" s="61">
        <f t="shared" si="6"/>
        <v>17.373954845743469</v>
      </c>
      <c r="G26" s="62">
        <f>'[1]cálculos teóricos'!T80</f>
        <v>35.285054861688451</v>
      </c>
      <c r="H26" s="75">
        <f t="shared" si="7"/>
        <v>49.238848894656627</v>
      </c>
      <c r="I26" s="135"/>
      <c r="J26" s="134"/>
      <c r="K26" s="132">
        <v>0.2</v>
      </c>
      <c r="L26" s="132">
        <v>0.9</v>
      </c>
      <c r="M26" s="132">
        <v>1</v>
      </c>
      <c r="N26" s="132">
        <v>1</v>
      </c>
      <c r="O26" s="136">
        <v>1</v>
      </c>
      <c r="P26" s="134">
        <v>0.6</v>
      </c>
      <c r="Q26" s="132">
        <v>0.4</v>
      </c>
      <c r="R26" s="132"/>
      <c r="S26" s="132"/>
      <c r="T26" s="132"/>
      <c r="U26" s="132"/>
      <c r="V26" s="78"/>
      <c r="W26" s="116">
        <f t="shared" si="0"/>
        <v>4.0999999999999996</v>
      </c>
      <c r="X26" s="117">
        <f t="shared" si="1"/>
        <v>1</v>
      </c>
      <c r="Y26" s="70">
        <f t="shared" si="2"/>
        <v>5.0999999999999996</v>
      </c>
      <c r="Z26" s="71">
        <f>'[1]cálculos teóricos'!I80</f>
        <v>12.073101177658092</v>
      </c>
      <c r="AA26" s="72">
        <f t="shared" si="3"/>
        <v>42.242667604225971</v>
      </c>
      <c r="AB26" s="3"/>
    </row>
    <row r="27" spans="1:28" ht="18" customHeight="1">
      <c r="A27" s="80">
        <v>19</v>
      </c>
      <c r="B27" s="76">
        <v>17.7</v>
      </c>
      <c r="C27" s="119">
        <f>'[1]cálculos teóricos'!K81</f>
        <v>1.0157379550832217</v>
      </c>
      <c r="D27" s="59">
        <f t="shared" si="4"/>
        <v>261.83078484672461</v>
      </c>
      <c r="E27" s="60">
        <f t="shared" si="5"/>
        <v>10.962331299962665</v>
      </c>
      <c r="F27" s="61">
        <f t="shared" si="6"/>
        <v>14.031996604953331</v>
      </c>
      <c r="G27" s="62">
        <f>'[1]cálculos teóricos'!T81</f>
        <v>35.103471827814516</v>
      </c>
      <c r="H27" s="75">
        <f t="shared" si="7"/>
        <v>39.973244452233828</v>
      </c>
      <c r="I27" s="135"/>
      <c r="J27" s="134"/>
      <c r="K27" s="132"/>
      <c r="L27" s="132"/>
      <c r="M27" s="132"/>
      <c r="N27" s="141">
        <v>0.2</v>
      </c>
      <c r="O27" s="136">
        <v>0.4</v>
      </c>
      <c r="P27" s="134">
        <v>0.3</v>
      </c>
      <c r="Q27" s="132">
        <v>0.8</v>
      </c>
      <c r="R27" s="132">
        <v>0.3</v>
      </c>
      <c r="S27" s="132">
        <v>0.6</v>
      </c>
      <c r="T27" s="132">
        <v>0.1</v>
      </c>
      <c r="U27" s="132"/>
      <c r="V27" s="78"/>
      <c r="W27" s="116">
        <f t="shared" si="0"/>
        <v>0.60000000000000009</v>
      </c>
      <c r="X27" s="117">
        <f t="shared" si="1"/>
        <v>2.1</v>
      </c>
      <c r="Y27" s="70">
        <f t="shared" si="2"/>
        <v>2.7</v>
      </c>
      <c r="Z27" s="71">
        <f>'[1]cálculos teóricos'!I81</f>
        <v>12.050008010862662</v>
      </c>
      <c r="AA27" s="72">
        <f t="shared" si="3"/>
        <v>22.406624108183532</v>
      </c>
      <c r="AB27" s="3"/>
    </row>
    <row r="28" spans="1:28" ht="18" customHeight="1">
      <c r="A28" s="80">
        <v>20</v>
      </c>
      <c r="B28" s="76">
        <v>26.6</v>
      </c>
      <c r="C28" s="119">
        <f>'[1]cálculos teóricos'!K82</f>
        <v>1.0149523544636272</v>
      </c>
      <c r="D28" s="59">
        <f t="shared" si="4"/>
        <v>393.18147913854557</v>
      </c>
      <c r="E28" s="60">
        <f t="shared" si="5"/>
        <v>16.461722168572624</v>
      </c>
      <c r="F28" s="61">
        <f t="shared" si="6"/>
        <v>20.90623519071578</v>
      </c>
      <c r="G28" s="62">
        <f>'[1]cálculos teóricos'!T82</f>
        <v>34.920668732105412</v>
      </c>
      <c r="H28" s="75">
        <f t="shared" si="7"/>
        <v>59.867797352617636</v>
      </c>
      <c r="I28" s="135"/>
      <c r="J28" s="134">
        <v>0.1</v>
      </c>
      <c r="K28" s="132">
        <v>0.8</v>
      </c>
      <c r="L28" s="132">
        <v>0.5</v>
      </c>
      <c r="M28" s="132">
        <v>0.6</v>
      </c>
      <c r="N28" s="132">
        <v>0.9</v>
      </c>
      <c r="O28" s="136">
        <v>1</v>
      </c>
      <c r="P28" s="134">
        <v>0.8</v>
      </c>
      <c r="Q28" s="132">
        <v>1</v>
      </c>
      <c r="R28" s="132">
        <v>1</v>
      </c>
      <c r="S28" s="132">
        <v>1</v>
      </c>
      <c r="T28" s="132">
        <v>1</v>
      </c>
      <c r="U28" s="132">
        <v>0.4</v>
      </c>
      <c r="V28" s="78"/>
      <c r="W28" s="116">
        <f t="shared" si="0"/>
        <v>3.9</v>
      </c>
      <c r="X28" s="117">
        <f t="shared" si="1"/>
        <v>5.2</v>
      </c>
      <c r="Y28" s="70">
        <f t="shared" si="2"/>
        <v>9.1</v>
      </c>
      <c r="Z28" s="71">
        <f>'[1]cálculos teóricos'!I82</f>
        <v>12.026923043184821</v>
      </c>
      <c r="AA28" s="72">
        <f t="shared" si="3"/>
        <v>75.663575524053996</v>
      </c>
      <c r="AB28" s="3"/>
    </row>
    <row r="29" spans="1:28" ht="18" customHeight="1">
      <c r="A29" s="80">
        <v>21</v>
      </c>
      <c r="B29" s="76">
        <v>25.2</v>
      </c>
      <c r="C29" s="119">
        <f>'[1]cálculos teóricos'!K83</f>
        <v>1.0141567487194687</v>
      </c>
      <c r="D29" s="59">
        <f t="shared" si="4"/>
        <v>372.19572961139477</v>
      </c>
      <c r="E29" s="60">
        <f t="shared" si="5"/>
        <v>15.583090807369876</v>
      </c>
      <c r="F29" s="61">
        <f t="shared" si="6"/>
        <v>19.807945989212342</v>
      </c>
      <c r="G29" s="62">
        <f>'[1]cálculos teóricos'!T83</f>
        <v>34.736705052432924</v>
      </c>
      <c r="H29" s="75">
        <f t="shared" si="7"/>
        <v>57.023099799803873</v>
      </c>
      <c r="I29" s="135"/>
      <c r="J29" s="134">
        <v>0.4</v>
      </c>
      <c r="K29" s="132">
        <v>1</v>
      </c>
      <c r="L29" s="132">
        <v>0.6</v>
      </c>
      <c r="M29" s="132">
        <v>0.7</v>
      </c>
      <c r="N29" s="132">
        <v>0.6</v>
      </c>
      <c r="O29" s="136">
        <v>0.9</v>
      </c>
      <c r="P29" s="134">
        <v>0.6</v>
      </c>
      <c r="Q29" s="132">
        <v>0.7</v>
      </c>
      <c r="R29" s="132">
        <v>0.9</v>
      </c>
      <c r="S29" s="132">
        <v>1</v>
      </c>
      <c r="T29" s="132">
        <v>0.3</v>
      </c>
      <c r="U29" s="132"/>
      <c r="V29" s="78"/>
      <c r="W29" s="116">
        <f t="shared" si="0"/>
        <v>4.2</v>
      </c>
      <c r="X29" s="117">
        <f t="shared" si="1"/>
        <v>3.4999999999999996</v>
      </c>
      <c r="Y29" s="70">
        <f t="shared" si="2"/>
        <v>7.6999999999999993</v>
      </c>
      <c r="Z29" s="71">
        <f>'[1]cálculos teóricos'!I83</f>
        <v>12.003849703725068</v>
      </c>
      <c r="AA29" s="72">
        <f t="shared" si="3"/>
        <v>64.146088047158017</v>
      </c>
      <c r="AB29" s="3"/>
    </row>
    <row r="30" spans="1:28" ht="18" customHeight="1">
      <c r="A30" s="85">
        <v>22</v>
      </c>
      <c r="B30" s="76">
        <v>28.8</v>
      </c>
      <c r="C30" s="119">
        <f>'[1]cálculos teóricos'!K84</f>
        <v>1.0133513536423984</v>
      </c>
      <c r="D30" s="59">
        <f t="shared" si="4"/>
        <v>425.02874223660683</v>
      </c>
      <c r="E30" s="60">
        <f t="shared" si="5"/>
        <v>17.795103379962253</v>
      </c>
      <c r="F30" s="61">
        <f t="shared" si="6"/>
        <v>22.572961704952817</v>
      </c>
      <c r="G30" s="62">
        <f>'[1]cálculos teóricos'!T84</f>
        <v>34.551641230287451</v>
      </c>
      <c r="H30" s="75">
        <f t="shared" si="7"/>
        <v>65.331083853596212</v>
      </c>
      <c r="I30" s="135"/>
      <c r="J30" s="134">
        <v>0.6</v>
      </c>
      <c r="K30" s="132">
        <v>1</v>
      </c>
      <c r="L30" s="132">
        <v>1</v>
      </c>
      <c r="M30" s="132">
        <v>0.9</v>
      </c>
      <c r="N30" s="132">
        <v>1</v>
      </c>
      <c r="O30" s="136">
        <v>1</v>
      </c>
      <c r="P30" s="134">
        <v>0.8</v>
      </c>
      <c r="Q30" s="132">
        <v>1</v>
      </c>
      <c r="R30" s="132">
        <v>1</v>
      </c>
      <c r="S30" s="132">
        <v>1</v>
      </c>
      <c r="T30" s="132">
        <v>0.9</v>
      </c>
      <c r="U30" s="132"/>
      <c r="V30" s="78"/>
      <c r="W30" s="116">
        <f t="shared" si="0"/>
        <v>5.5</v>
      </c>
      <c r="X30" s="117">
        <f t="shared" si="1"/>
        <v>4.7</v>
      </c>
      <c r="Y30" s="70">
        <f t="shared" si="2"/>
        <v>10.199999999999999</v>
      </c>
      <c r="Z30" s="71">
        <f>'[1]cálculos teóricos'!I84</f>
        <v>11.980791388285134</v>
      </c>
      <c r="AA30" s="72">
        <f t="shared" si="3"/>
        <v>85.13627914407725</v>
      </c>
      <c r="AB30" s="3"/>
    </row>
    <row r="31" spans="1:28" ht="18" customHeight="1">
      <c r="A31" s="85">
        <v>23</v>
      </c>
      <c r="B31" s="76">
        <v>15.5</v>
      </c>
      <c r="C31" s="119">
        <f>'[1]cálculos teóricos'!K85</f>
        <v>1.0125363940963121</v>
      </c>
      <c r="D31" s="59">
        <f t="shared" si="4"/>
        <v>228.56414351903544</v>
      </c>
      <c r="E31" s="60">
        <f t="shared" si="5"/>
        <v>9.5695235608549751</v>
      </c>
      <c r="F31" s="61">
        <f t="shared" si="6"/>
        <v>12.290986931068721</v>
      </c>
      <c r="G31" s="62">
        <f>'[1]cálculos teóricos'!T85</f>
        <v>34.36553863871918</v>
      </c>
      <c r="H31" s="75">
        <f t="shared" si="7"/>
        <v>35.765442411022292</v>
      </c>
      <c r="I31" s="135"/>
      <c r="J31" s="134"/>
      <c r="K31" s="132">
        <v>0.1</v>
      </c>
      <c r="L31" s="132">
        <v>0.7</v>
      </c>
      <c r="M31" s="132">
        <v>0.7</v>
      </c>
      <c r="N31" s="132">
        <v>0.2</v>
      </c>
      <c r="O31" s="136"/>
      <c r="P31" s="134">
        <v>0.3</v>
      </c>
      <c r="Q31" s="132">
        <v>0.6</v>
      </c>
      <c r="R31" s="132"/>
      <c r="S31" s="132"/>
      <c r="T31" s="132"/>
      <c r="U31" s="142"/>
      <c r="V31" s="78"/>
      <c r="W31" s="116">
        <f t="shared" si="0"/>
        <v>1.7</v>
      </c>
      <c r="X31" s="117">
        <f t="shared" si="1"/>
        <v>0.89999999999999991</v>
      </c>
      <c r="Y31" s="70">
        <f t="shared" si="2"/>
        <v>2.5999999999999996</v>
      </c>
      <c r="Z31" s="71">
        <f>'[1]cálculos teóricos'!I85</f>
        <v>11.957751465715512</v>
      </c>
      <c r="AA31" s="72">
        <f t="shared" si="3"/>
        <v>21.743218258504122</v>
      </c>
      <c r="AB31" s="3"/>
    </row>
    <row r="32" spans="1:28" ht="18" customHeight="1">
      <c r="A32" s="85">
        <v>24</v>
      </c>
      <c r="B32" s="76">
        <v>25.1</v>
      </c>
      <c r="C32" s="119">
        <f>'[1]cálculos teóricos'!K86</f>
        <v>1.011712103968645</v>
      </c>
      <c r="D32" s="59">
        <f t="shared" si="4"/>
        <v>369.8251375762988</v>
      </c>
      <c r="E32" s="60">
        <f t="shared" si="5"/>
        <v>15.483838860044477</v>
      </c>
      <c r="F32" s="61">
        <f t="shared" si="6"/>
        <v>19.6838810550556</v>
      </c>
      <c r="G32" s="62">
        <f>'[1]cálculos teóricos'!T86</f>
        <v>34.1784595504311</v>
      </c>
      <c r="H32" s="75">
        <f t="shared" si="7"/>
        <v>57.591481049669845</v>
      </c>
      <c r="I32" s="135"/>
      <c r="J32" s="134"/>
      <c r="K32" s="132">
        <v>0.7</v>
      </c>
      <c r="L32" s="132">
        <v>1</v>
      </c>
      <c r="M32" s="132">
        <v>1</v>
      </c>
      <c r="N32" s="132">
        <v>1</v>
      </c>
      <c r="O32" s="136">
        <v>0.9</v>
      </c>
      <c r="P32" s="134">
        <v>1</v>
      </c>
      <c r="Q32" s="132">
        <v>1</v>
      </c>
      <c r="R32" s="132">
        <v>0.9</v>
      </c>
      <c r="S32" s="132">
        <v>0.4</v>
      </c>
      <c r="T32" s="132">
        <v>0.2</v>
      </c>
      <c r="U32" s="132"/>
      <c r="V32" s="78"/>
      <c r="W32" s="116">
        <f t="shared" si="0"/>
        <v>4.6000000000000005</v>
      </c>
      <c r="X32" s="117">
        <f t="shared" si="1"/>
        <v>3.5</v>
      </c>
      <c r="Y32" s="70">
        <f t="shared" si="2"/>
        <v>8.1000000000000014</v>
      </c>
      <c r="Z32" s="71">
        <f>'[1]cálculos teóricos'!I86</f>
        <v>11.934733284254012</v>
      </c>
      <c r="AA32" s="72">
        <f t="shared" si="3"/>
        <v>67.869132950684929</v>
      </c>
      <c r="AB32" s="3"/>
    </row>
    <row r="33" spans="1:28" ht="18" customHeight="1">
      <c r="A33" s="85">
        <v>25</v>
      </c>
      <c r="B33" s="76">
        <v>24</v>
      </c>
      <c r="C33" s="119">
        <f>'[1]cálculos teóricos'!K87</f>
        <v>1.0108787261211196</v>
      </c>
      <c r="D33" s="59">
        <f t="shared" si="4"/>
        <v>353.32637586875825</v>
      </c>
      <c r="E33" s="60">
        <f t="shared" si="5"/>
        <v>14.793068704873169</v>
      </c>
      <c r="F33" s="61">
        <f t="shared" si="6"/>
        <v>18.820418361091463</v>
      </c>
      <c r="G33" s="62">
        <f>'[1]cálculos teóricos'!T87</f>
        <v>33.990467106044939</v>
      </c>
      <c r="H33" s="75">
        <f t="shared" si="7"/>
        <v>55.36969616326455</v>
      </c>
      <c r="I33" s="135"/>
      <c r="J33" s="134"/>
      <c r="K33" s="132">
        <v>0.9</v>
      </c>
      <c r="L33" s="132">
        <v>0.7</v>
      </c>
      <c r="M33" s="132">
        <v>1</v>
      </c>
      <c r="N33" s="132">
        <v>0.8</v>
      </c>
      <c r="O33" s="136">
        <v>0.8</v>
      </c>
      <c r="P33" s="134">
        <v>0.9</v>
      </c>
      <c r="Q33" s="132">
        <v>0.8</v>
      </c>
      <c r="R33" s="132">
        <v>0.6</v>
      </c>
      <c r="S33" s="132">
        <v>1</v>
      </c>
      <c r="T33" s="132">
        <v>0.9</v>
      </c>
      <c r="U33" s="132"/>
      <c r="V33" s="78"/>
      <c r="W33" s="116">
        <f t="shared" si="0"/>
        <v>4.2</v>
      </c>
      <c r="X33" s="117">
        <f t="shared" si="1"/>
        <v>4.2</v>
      </c>
      <c r="Y33" s="70">
        <f t="shared" si="2"/>
        <v>8.4</v>
      </c>
      <c r="Z33" s="71">
        <f>'[1]cálculos teóricos'!I87</f>
        <v>11.911740177847248</v>
      </c>
      <c r="AA33" s="72">
        <f t="shared" si="3"/>
        <v>70.518663726579803</v>
      </c>
      <c r="AB33" s="3"/>
    </row>
    <row r="34" spans="1:28" ht="18" customHeight="1">
      <c r="A34" s="85">
        <v>26</v>
      </c>
      <c r="B34" s="76">
        <v>16.899999999999999</v>
      </c>
      <c r="C34" s="119">
        <f>'[1]cálculos teóricos'!K88</f>
        <v>1.010036512339894</v>
      </c>
      <c r="D34" s="59">
        <f t="shared" si="4"/>
        <v>248.59336803210857</v>
      </c>
      <c r="E34" s="60">
        <f t="shared" si="5"/>
        <v>10.40810713276832</v>
      </c>
      <c r="F34" s="61">
        <f t="shared" si="6"/>
        <v>13.339216395960403</v>
      </c>
      <c r="G34" s="62">
        <f>'[1]cálculos teóricos'!T88</f>
        <v>33.801625282554461</v>
      </c>
      <c r="H34" s="75">
        <f t="shared" si="7"/>
        <v>39.463239665120412</v>
      </c>
      <c r="I34" s="135"/>
      <c r="J34" s="134">
        <v>0.2</v>
      </c>
      <c r="K34" s="132"/>
      <c r="L34" s="132">
        <v>0.6</v>
      </c>
      <c r="M34" s="132">
        <v>0.5</v>
      </c>
      <c r="N34" s="132"/>
      <c r="O34" s="136"/>
      <c r="P34" s="134"/>
      <c r="Q34" s="132"/>
      <c r="R34" s="132"/>
      <c r="S34" s="132"/>
      <c r="T34" s="132"/>
      <c r="U34" s="132"/>
      <c r="V34" s="78"/>
      <c r="W34" s="116">
        <f t="shared" si="0"/>
        <v>1.3</v>
      </c>
      <c r="X34" s="117">
        <f t="shared" si="1"/>
        <v>0</v>
      </c>
      <c r="Y34" s="70">
        <f t="shared" si="2"/>
        <v>1.3</v>
      </c>
      <c r="Z34" s="71">
        <f>'[1]cálculos teóricos'!I88</f>
        <v>11.888775472447131</v>
      </c>
      <c r="AA34" s="72">
        <f t="shared" si="3"/>
        <v>10.934683752862682</v>
      </c>
      <c r="AB34" s="3"/>
    </row>
    <row r="35" spans="1:28" ht="18" customHeight="1">
      <c r="A35" s="85">
        <v>27</v>
      </c>
      <c r="B35" s="76">
        <v>26.9</v>
      </c>
      <c r="C35" s="119">
        <f>'[1]cálculos teóricos'!K89</f>
        <v>1.0091857232849979</v>
      </c>
      <c r="D35" s="59">
        <f t="shared" si="4"/>
        <v>395.35673196054267</v>
      </c>
      <c r="E35" s="60">
        <f t="shared" si="5"/>
        <v>16.552795653724001</v>
      </c>
      <c r="F35" s="61">
        <f t="shared" si="6"/>
        <v>21.020077047154999</v>
      </c>
      <c r="G35" s="62">
        <f>'[1]cálculos teóricos'!T89</f>
        <v>33.61199886197312</v>
      </c>
      <c r="H35" s="75">
        <f t="shared" si="7"/>
        <v>62.537420441650767</v>
      </c>
      <c r="I35" s="135"/>
      <c r="J35" s="134"/>
      <c r="K35" s="132">
        <v>0.9</v>
      </c>
      <c r="L35" s="132">
        <v>1</v>
      </c>
      <c r="M35" s="132">
        <v>0.8</v>
      </c>
      <c r="N35" s="132">
        <v>1</v>
      </c>
      <c r="O35" s="136">
        <v>1</v>
      </c>
      <c r="P35" s="134">
        <v>0.9</v>
      </c>
      <c r="Q35" s="132">
        <v>0.9</v>
      </c>
      <c r="R35" s="132">
        <v>0.8</v>
      </c>
      <c r="S35" s="132">
        <v>1</v>
      </c>
      <c r="T35" s="132">
        <v>0.6</v>
      </c>
      <c r="U35" s="132"/>
      <c r="V35" s="78"/>
      <c r="W35" s="116">
        <f t="shared" si="0"/>
        <v>4.7</v>
      </c>
      <c r="X35" s="117">
        <f t="shared" si="1"/>
        <v>4.2</v>
      </c>
      <c r="Y35" s="70">
        <f t="shared" si="2"/>
        <v>8.9</v>
      </c>
      <c r="Z35" s="71">
        <f>'[1]cálculos teóricos'!I89</f>
        <v>11.865842492274421</v>
      </c>
      <c r="AA35" s="72">
        <f t="shared" si="3"/>
        <v>75.00520932916973</v>
      </c>
      <c r="AB35" s="3"/>
    </row>
    <row r="36" spans="1:28" ht="18" customHeight="1">
      <c r="A36" s="85">
        <v>28</v>
      </c>
      <c r="B36" s="76">
        <v>20.5</v>
      </c>
      <c r="C36" s="119">
        <f>'[1]cálculos teóricos'!K90</f>
        <v>1.0083266284389116</v>
      </c>
      <c r="D36" s="59">
        <f t="shared" si="4"/>
        <v>301.03767949203683</v>
      </c>
      <c r="E36" s="60">
        <f t="shared" si="5"/>
        <v>12.603845564972598</v>
      </c>
      <c r="F36" s="61">
        <f t="shared" si="6"/>
        <v>16.083889436215749</v>
      </c>
      <c r="G36" s="62">
        <f>'[1]cálculos teóricos'!T90</f>
        <v>33.421653400177576</v>
      </c>
      <c r="H36" s="75">
        <f t="shared" si="7"/>
        <v>48.12415844193481</v>
      </c>
      <c r="I36" s="135"/>
      <c r="J36" s="134">
        <v>0.3</v>
      </c>
      <c r="K36" s="132">
        <v>1</v>
      </c>
      <c r="L36" s="132">
        <v>1</v>
      </c>
      <c r="M36" s="132">
        <v>1</v>
      </c>
      <c r="N36" s="132">
        <v>1</v>
      </c>
      <c r="O36" s="136">
        <v>0.9</v>
      </c>
      <c r="P36" s="134">
        <v>1</v>
      </c>
      <c r="Q36" s="132">
        <v>0.5</v>
      </c>
      <c r="R36" s="132"/>
      <c r="S36" s="132"/>
      <c r="T36" s="132"/>
      <c r="U36" s="132"/>
      <c r="V36" s="78"/>
      <c r="W36" s="116">
        <f t="shared" si="0"/>
        <v>5.2</v>
      </c>
      <c r="X36" s="117">
        <f t="shared" si="1"/>
        <v>1.5</v>
      </c>
      <c r="Y36" s="70">
        <f t="shared" si="2"/>
        <v>6.7</v>
      </c>
      <c r="Z36" s="71">
        <f>'[1]cálculos teóricos'!I90</f>
        <v>11.842944566041432</v>
      </c>
      <c r="AA36" s="72">
        <f t="shared" si="3"/>
        <v>56.573768142186886</v>
      </c>
      <c r="AB36" s="3"/>
    </row>
    <row r="37" spans="1:28" ht="18" customHeight="1">
      <c r="A37" s="85">
        <v>29</v>
      </c>
      <c r="B37" s="76">
        <v>25.2</v>
      </c>
      <c r="C37" s="119">
        <f>'[1]cálculos teóricos'!K91</f>
        <v>1.0074595060540923</v>
      </c>
      <c r="D37" s="59">
        <f t="shared" si="4"/>
        <v>369.73784021375303</v>
      </c>
      <c r="E37" s="60">
        <f t="shared" si="5"/>
        <v>15.480183894069413</v>
      </c>
      <c r="F37" s="61">
        <f t="shared" si="6"/>
        <v>19.679312347586766</v>
      </c>
      <c r="G37" s="62">
        <f>'[1]cálculos teóricos'!T91</f>
        <v>33.230655195941289</v>
      </c>
      <c r="H37" s="75">
        <f t="shared" si="7"/>
        <v>59.220356118618895</v>
      </c>
      <c r="I37" s="135"/>
      <c r="J37" s="134"/>
      <c r="K37" s="132"/>
      <c r="L37" s="132">
        <v>0.1</v>
      </c>
      <c r="M37" s="132">
        <v>0.9</v>
      </c>
      <c r="N37" s="132">
        <v>1</v>
      </c>
      <c r="O37" s="136">
        <v>1</v>
      </c>
      <c r="P37" s="134">
        <v>1</v>
      </c>
      <c r="Q37" s="132">
        <v>0.7</v>
      </c>
      <c r="R37" s="132">
        <v>0.9</v>
      </c>
      <c r="S37" s="132">
        <v>1</v>
      </c>
      <c r="T37" s="132">
        <v>0.1</v>
      </c>
      <c r="U37" s="132"/>
      <c r="V37" s="78"/>
      <c r="W37" s="116">
        <f t="shared" si="0"/>
        <v>3</v>
      </c>
      <c r="X37" s="117">
        <f t="shared" si="1"/>
        <v>3.7</v>
      </c>
      <c r="Y37" s="70">
        <f t="shared" si="2"/>
        <v>6.7</v>
      </c>
      <c r="Z37" s="71">
        <f>'[1]cálculos teóricos'!I91</f>
        <v>11.820085033125993</v>
      </c>
      <c r="AA37" s="72">
        <f t="shared" si="3"/>
        <v>56.683179361427044</v>
      </c>
      <c r="AB37" s="3"/>
    </row>
    <row r="38" spans="1:28" ht="18" customHeight="1">
      <c r="A38" s="80">
        <v>30</v>
      </c>
      <c r="B38" s="76">
        <v>24.8</v>
      </c>
      <c r="C38" s="119">
        <f>'[1]cálculos teóricos'!K92</f>
        <v>1.0065846430992109</v>
      </c>
      <c r="D38" s="59">
        <f t="shared" si="4"/>
        <v>363.55300715442888</v>
      </c>
      <c r="E38" s="60">
        <f t="shared" si="5"/>
        <v>15.221237303541628</v>
      </c>
      <c r="F38" s="61">
        <f t="shared" si="6"/>
        <v>19.355629109427035</v>
      </c>
      <c r="G38" s="62">
        <f>'[1]cálculos teóricos'!T92</f>
        <v>33.03907126014785</v>
      </c>
      <c r="H38" s="75">
        <f t="shared" si="7"/>
        <v>58.58405933091116</v>
      </c>
      <c r="I38" s="135"/>
      <c r="J38" s="143">
        <v>0.2</v>
      </c>
      <c r="K38" s="144">
        <v>0.3</v>
      </c>
      <c r="L38" s="144">
        <v>0.6</v>
      </c>
      <c r="M38" s="144">
        <v>0.5</v>
      </c>
      <c r="N38" s="144">
        <v>0.8</v>
      </c>
      <c r="O38" s="145">
        <v>0.9</v>
      </c>
      <c r="P38" s="143">
        <v>0.9</v>
      </c>
      <c r="Q38" s="144">
        <v>0.4</v>
      </c>
      <c r="R38" s="144">
        <v>1</v>
      </c>
      <c r="S38" s="144">
        <v>0.7</v>
      </c>
      <c r="T38" s="144"/>
      <c r="U38" s="144"/>
      <c r="V38" s="78"/>
      <c r="W38" s="116">
        <f t="shared" si="0"/>
        <v>3.3000000000000003</v>
      </c>
      <c r="X38" s="117">
        <f t="shared" si="1"/>
        <v>3</v>
      </c>
      <c r="Y38" s="126">
        <f t="shared" si="2"/>
        <v>6.3000000000000007</v>
      </c>
      <c r="Z38" s="71">
        <f>'[1]cálculos teóricos'!I92</f>
        <v>11.797267249688634</v>
      </c>
      <c r="AA38" s="72">
        <f t="shared" si="3"/>
        <v>53.402197870581233</v>
      </c>
      <c r="AB38" s="3"/>
    </row>
    <row r="39" spans="1:28" ht="18" customHeight="1" thickBot="1">
      <c r="A39" s="86">
        <v>31</v>
      </c>
      <c r="B39" s="87">
        <v>19.600000000000001</v>
      </c>
      <c r="C39" s="88">
        <f>'[1]cálculos teóricos'!K93</f>
        <v>1.0057023352038255</v>
      </c>
      <c r="D39" s="89">
        <f t="shared" si="4"/>
        <v>287.07230079132188</v>
      </c>
      <c r="E39" s="90">
        <f t="shared" si="5"/>
        <v>12.019143089531065</v>
      </c>
      <c r="F39" s="91">
        <f t="shared" si="6"/>
        <v>15.353011341913829</v>
      </c>
      <c r="G39" s="92">
        <f>'[1]cálculos teóricos'!T93</f>
        <v>32.846969285166935</v>
      </c>
      <c r="H39" s="93">
        <f t="shared" si="7"/>
        <v>46.741028703816994</v>
      </c>
      <c r="I39" s="146"/>
      <c r="J39" s="147"/>
      <c r="K39" s="148"/>
      <c r="L39" s="148">
        <v>0.5</v>
      </c>
      <c r="M39" s="148">
        <v>0.9</v>
      </c>
      <c r="N39" s="148">
        <v>1</v>
      </c>
      <c r="O39" s="149">
        <v>1</v>
      </c>
      <c r="P39" s="147">
        <v>0.7</v>
      </c>
      <c r="Q39" s="148">
        <v>1</v>
      </c>
      <c r="R39" s="148">
        <v>0.2</v>
      </c>
      <c r="S39" s="148"/>
      <c r="T39" s="148"/>
      <c r="U39" s="148"/>
      <c r="V39" s="95"/>
      <c r="W39" s="116">
        <f t="shared" si="0"/>
        <v>3.4</v>
      </c>
      <c r="X39" s="117">
        <f t="shared" si="1"/>
        <v>1.9</v>
      </c>
      <c r="Y39" s="99">
        <f t="shared" si="2"/>
        <v>5.3</v>
      </c>
      <c r="Z39" s="100">
        <f>'[1]cálculos teóricos'!I93</f>
        <v>11.774494594725017</v>
      </c>
      <c r="AA39" s="101">
        <f t="shared" si="3"/>
        <v>45.012547734952499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3">
        <f t="shared" ref="J40:V40" si="8">SUM(J9:J39)</f>
        <v>8.4</v>
      </c>
      <c r="K40" s="103">
        <f t="shared" si="8"/>
        <v>17.899999999999999</v>
      </c>
      <c r="L40" s="103">
        <f t="shared" si="8"/>
        <v>22.000000000000004</v>
      </c>
      <c r="M40" s="103">
        <f t="shared" si="8"/>
        <v>23.499999999999996</v>
      </c>
      <c r="N40" s="103">
        <f t="shared" si="8"/>
        <v>23.3</v>
      </c>
      <c r="O40" s="103">
        <f t="shared" si="8"/>
        <v>24.899999999999995</v>
      </c>
      <c r="P40" s="103">
        <f t="shared" si="8"/>
        <v>24.3</v>
      </c>
      <c r="Q40" s="103">
        <f t="shared" si="8"/>
        <v>22.6</v>
      </c>
      <c r="R40" s="103">
        <f t="shared" si="8"/>
        <v>22.3</v>
      </c>
      <c r="S40" s="103">
        <f t="shared" si="8"/>
        <v>20.499999999999996</v>
      </c>
      <c r="T40" s="103">
        <f t="shared" si="8"/>
        <v>14.2</v>
      </c>
      <c r="U40" s="103">
        <f t="shared" si="8"/>
        <v>5.4</v>
      </c>
      <c r="V40" s="103">
        <f t="shared" si="8"/>
        <v>0</v>
      </c>
      <c r="W40" s="104">
        <f t="shared" si="0"/>
        <v>119.99999999999999</v>
      </c>
      <c r="X40" s="104">
        <f>SUM(P40:V40)</f>
        <v>109.30000000000001</v>
      </c>
      <c r="Y40" s="104">
        <f>W40+X40</f>
        <v>229.3</v>
      </c>
      <c r="Z40" s="104">
        <f>SUM(Z9:Z39)</f>
        <v>375.69446616071616</v>
      </c>
      <c r="AA40" s="104">
        <f>SUM(AA9:AA39)</f>
        <v>1885.1520084948925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 t="s">
        <v>64</v>
      </c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6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65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50"/>
      <c r="E3" s="151"/>
      <c r="F3" s="150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152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0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23.9</v>
      </c>
      <c r="C9" s="74">
        <f>'[1]cálculos teóricos'!K94</f>
        <v>1.0048128866011701</v>
      </c>
      <c r="D9" s="59">
        <f>IF(B9&gt;0,B9*C9*14.25*1.022,-999)</f>
        <v>349.74286012898574</v>
      </c>
      <c r="E9" s="60">
        <f>IF(B9&gt;0,D9*4.1868/100,-999)</f>
        <v>14.643034067880373</v>
      </c>
      <c r="F9" s="61">
        <f>IF(B9&gt;0,(7.86+1.25*D9)*4.1868/100,-999)</f>
        <v>18.632875064850467</v>
      </c>
      <c r="G9" s="62">
        <f>'[1]cálculos teóricos'!T94</f>
        <v>32.65441761437198</v>
      </c>
      <c r="H9" s="63">
        <f>IF(B9&gt;0,100*F9/G9,-999)</f>
        <v>57.060809612019227</v>
      </c>
      <c r="I9" s="64"/>
      <c r="J9" s="64"/>
      <c r="K9" s="64"/>
      <c r="L9" s="64">
        <v>0.7</v>
      </c>
      <c r="M9" s="64">
        <v>1</v>
      </c>
      <c r="N9" s="153">
        <v>1</v>
      </c>
      <c r="O9" s="65">
        <v>1</v>
      </c>
      <c r="P9" s="64">
        <v>0.9</v>
      </c>
      <c r="Q9" s="64">
        <v>0.6</v>
      </c>
      <c r="R9" s="64">
        <v>1</v>
      </c>
      <c r="S9" s="64">
        <v>0.3</v>
      </c>
      <c r="T9" s="64">
        <v>0.5</v>
      </c>
      <c r="U9" s="64"/>
      <c r="V9" s="65"/>
      <c r="W9" s="116">
        <f t="shared" ref="W9:W38" si="0">SUM(I9:O9)</f>
        <v>3.7</v>
      </c>
      <c r="X9" s="117">
        <f>SUM(P9:V9)</f>
        <v>3.3</v>
      </c>
      <c r="Y9" s="118">
        <f>W9+X9</f>
        <v>7</v>
      </c>
      <c r="Z9" s="71">
        <f>'[1]cálculos teóricos'!I94</f>
        <v>11.751770476045246</v>
      </c>
      <c r="AA9" s="72">
        <f>100*Y9/Z9</f>
        <v>59.565492827389434</v>
      </c>
      <c r="AB9" s="3"/>
    </row>
    <row r="10" spans="1:28" ht="18" customHeight="1">
      <c r="A10" s="111">
        <v>2</v>
      </c>
      <c r="B10" s="57">
        <v>25.6</v>
      </c>
      <c r="C10" s="74">
        <f>'[1]cálculos teóricos'!K95</f>
        <v>1.0039166100687127</v>
      </c>
      <c r="D10" s="59">
        <f>IF(B10&gt;0,B10*C10*14.25*1.022,-999)</f>
        <v>374.28581249883388</v>
      </c>
      <c r="E10" s="60">
        <f>IF(B10&gt;0,D10*4.1868/100,-999)</f>
        <v>15.670598397701177</v>
      </c>
      <c r="F10" s="61">
        <f>IF(B10&gt;0,(7.86+1.25*D10)*4.1868/100,-999)</f>
        <v>19.91733047712647</v>
      </c>
      <c r="G10" s="62">
        <f>'[1]cálculos teóricos'!T95</f>
        <v>32.461485211773081</v>
      </c>
      <c r="H10" s="75">
        <f>IF(B10&gt;0,100*F10/G10,-999)</f>
        <v>61.356805910725505</v>
      </c>
      <c r="I10" s="57"/>
      <c r="J10" s="82"/>
      <c r="K10" s="82">
        <v>0.7</v>
      </c>
      <c r="L10" s="82">
        <v>1</v>
      </c>
      <c r="M10" s="82">
        <v>1</v>
      </c>
      <c r="N10" s="82">
        <v>1</v>
      </c>
      <c r="O10" s="77">
        <v>1</v>
      </c>
      <c r="P10" s="79">
        <v>1</v>
      </c>
      <c r="Q10" s="79">
        <v>0.8</v>
      </c>
      <c r="R10" s="76">
        <v>1</v>
      </c>
      <c r="S10" s="76">
        <v>0.9</v>
      </c>
      <c r="T10" s="76">
        <v>0.9</v>
      </c>
      <c r="U10" s="76">
        <v>0.1</v>
      </c>
      <c r="V10" s="78"/>
      <c r="W10" s="116">
        <f t="shared" si="0"/>
        <v>4.7</v>
      </c>
      <c r="X10" s="117">
        <f t="shared" ref="X10:X38" si="1">SUM(P10:V10)</f>
        <v>4.6999999999999993</v>
      </c>
      <c r="Y10" s="70">
        <f t="shared" ref="Y10:Y38" si="2">W10+X10</f>
        <v>9.3999999999999986</v>
      </c>
      <c r="Z10" s="71">
        <f>'[1]cálculos teóricos'!I95</f>
        <v>11.729098336171763</v>
      </c>
      <c r="AA10" s="72">
        <f t="shared" ref="AA10:AA38" si="3">100*Y10/Z10</f>
        <v>80.142562800509751</v>
      </c>
      <c r="AB10" s="3"/>
    </row>
    <row r="11" spans="1:28" ht="18" customHeight="1">
      <c r="A11" s="111">
        <v>3</v>
      </c>
      <c r="B11" s="57">
        <v>19</v>
      </c>
      <c r="C11" s="74">
        <f>'[1]cálculos teóricos'!K96</f>
        <v>1.003013826866084</v>
      </c>
      <c r="D11" s="59">
        <f t="shared" ref="D11:D38" si="4">IF(B11&gt;0,B11*C11*14.25*1.022,-999)</f>
        <v>277.54044548372008</v>
      </c>
      <c r="E11" s="60">
        <f t="shared" ref="E11:E38" si="5">IF(B11&gt;0,D11*4.1868/100,-999)</f>
        <v>11.620063371512392</v>
      </c>
      <c r="F11" s="61">
        <f t="shared" ref="F11:F38" si="6">IF(B11&gt;0,(7.86+1.25*D11)*4.1868/100,-999)</f>
        <v>14.854161694390491</v>
      </c>
      <c r="G11" s="62">
        <f>'[1]cálculos teóricos'!T96</f>
        <v>32.268241631734995</v>
      </c>
      <c r="H11" s="75">
        <f t="shared" ref="H11:H38" si="7">IF(B11&gt;0,100*F11/G11,-999)</f>
        <v>46.033378155262731</v>
      </c>
      <c r="I11" s="57"/>
      <c r="J11" s="82"/>
      <c r="K11" s="82">
        <v>0.1</v>
      </c>
      <c r="L11" s="82">
        <v>0.5</v>
      </c>
      <c r="M11" s="82">
        <v>0.8</v>
      </c>
      <c r="N11" s="82">
        <v>0.6</v>
      </c>
      <c r="O11" s="77"/>
      <c r="P11" s="79">
        <v>0.8</v>
      </c>
      <c r="Q11" s="79">
        <v>0.9</v>
      </c>
      <c r="R11" s="76">
        <v>0.6</v>
      </c>
      <c r="S11" s="76"/>
      <c r="T11" s="76"/>
      <c r="U11" s="76"/>
      <c r="V11" s="78"/>
      <c r="W11" s="116">
        <f t="shared" si="0"/>
        <v>2</v>
      </c>
      <c r="X11" s="117">
        <f t="shared" si="1"/>
        <v>2.3000000000000003</v>
      </c>
      <c r="Y11" s="70">
        <f t="shared" si="2"/>
        <v>4.3000000000000007</v>
      </c>
      <c r="Z11" s="71">
        <f>'[1]cálculos teóricos'!I96</f>
        <v>11.706481658147139</v>
      </c>
      <c r="AA11" s="72">
        <f t="shared" si="3"/>
        <v>36.731787787045398</v>
      </c>
      <c r="AB11" s="3"/>
    </row>
    <row r="12" spans="1:28" ht="18" customHeight="1">
      <c r="A12" s="111">
        <v>4</v>
      </c>
      <c r="B12" s="57">
        <v>14.5</v>
      </c>
      <c r="C12" s="74">
        <f>'[1]cálculos teóricos'!K97</f>
        <v>1.0021048666699626</v>
      </c>
      <c r="D12" s="59">
        <f t="shared" si="4"/>
        <v>211.615236273346</v>
      </c>
      <c r="E12" s="60">
        <f t="shared" si="5"/>
        <v>8.8599067122924495</v>
      </c>
      <c r="F12" s="61">
        <f t="shared" si="6"/>
        <v>11.403965870365564</v>
      </c>
      <c r="G12" s="62">
        <f>'[1]cálculos teóricos'!T97</f>
        <v>32.074756988746543</v>
      </c>
      <c r="H12" s="75">
        <f t="shared" si="7"/>
        <v>35.554332880422621</v>
      </c>
      <c r="I12" s="57"/>
      <c r="J12" s="82"/>
      <c r="K12" s="82"/>
      <c r="L12" s="82"/>
      <c r="M12" s="82">
        <v>0.7</v>
      </c>
      <c r="N12" s="82">
        <v>0.7</v>
      </c>
      <c r="O12" s="77">
        <v>0.8</v>
      </c>
      <c r="P12" s="79"/>
      <c r="Q12" s="79">
        <v>0.4</v>
      </c>
      <c r="R12" s="76"/>
      <c r="S12" s="76">
        <v>0.1</v>
      </c>
      <c r="T12" s="76">
        <v>0.3</v>
      </c>
      <c r="U12" s="76"/>
      <c r="V12" s="78"/>
      <c r="W12" s="116">
        <f t="shared" si="0"/>
        <v>2.2000000000000002</v>
      </c>
      <c r="X12" s="117">
        <f t="shared" si="1"/>
        <v>0.8</v>
      </c>
      <c r="Y12" s="70">
        <f t="shared" si="2"/>
        <v>3</v>
      </c>
      <c r="Z12" s="71">
        <f>'[1]cálculos teóricos'!I97</f>
        <v>11.683923971242983</v>
      </c>
      <c r="AA12" s="72">
        <f t="shared" si="3"/>
        <v>25.67630538664698</v>
      </c>
      <c r="AB12" s="3"/>
    </row>
    <row r="13" spans="1:28" ht="18" customHeight="1">
      <c r="A13" s="73">
        <v>5</v>
      </c>
      <c r="B13" s="57">
        <v>10.4</v>
      </c>
      <c r="C13" s="74">
        <f>'[1]cálculos teóricos'!K98</f>
        <v>1.0011900675054584</v>
      </c>
      <c r="D13" s="59">
        <f t="shared" si="4"/>
        <v>151.64064810040372</v>
      </c>
      <c r="E13" s="60">
        <f t="shared" si="5"/>
        <v>6.3488906546677022</v>
      </c>
      <c r="F13" s="61">
        <f t="shared" si="6"/>
        <v>8.2651957983346289</v>
      </c>
      <c r="G13" s="62">
        <f>'[1]cálculos teóricos'!T98</f>
        <v>31.881101927204124</v>
      </c>
      <c r="H13" s="75">
        <f t="shared" si="7"/>
        <v>25.925063121114839</v>
      </c>
      <c r="I13" s="57"/>
      <c r="J13" s="82"/>
      <c r="K13" s="82"/>
      <c r="L13" s="82"/>
      <c r="M13" s="82">
        <v>0.3</v>
      </c>
      <c r="N13" s="82">
        <v>0.3</v>
      </c>
      <c r="O13" s="77"/>
      <c r="P13" s="79">
        <v>0.1</v>
      </c>
      <c r="Q13" s="79"/>
      <c r="R13" s="76"/>
      <c r="S13" s="76"/>
      <c r="T13" s="76"/>
      <c r="U13" s="76"/>
      <c r="V13" s="78"/>
      <c r="W13" s="116">
        <f t="shared" si="0"/>
        <v>0.6</v>
      </c>
      <c r="X13" s="117">
        <f t="shared" si="1"/>
        <v>0.1</v>
      </c>
      <c r="Y13" s="70">
        <f t="shared" si="2"/>
        <v>0.7</v>
      </c>
      <c r="Z13" s="71">
        <f>'[1]cálculos teóricos'!I98</f>
        <v>11.661428856560702</v>
      </c>
      <c r="AA13" s="72">
        <f t="shared" si="3"/>
        <v>6.0026949408192039</v>
      </c>
      <c r="AB13" s="3"/>
    </row>
    <row r="14" spans="1:28" ht="18" customHeight="1">
      <c r="A14" s="73">
        <v>6</v>
      </c>
      <c r="B14" s="57">
        <v>17.5</v>
      </c>
      <c r="C14" s="74">
        <f>'[1]cálculos teóricos'!K99</f>
        <v>1.0002697756735133</v>
      </c>
      <c r="D14" s="59">
        <f t="shared" si="4"/>
        <v>254.93000536537119</v>
      </c>
      <c r="E14" s="60">
        <f t="shared" si="5"/>
        <v>10.673409464637361</v>
      </c>
      <c r="F14" s="61">
        <f t="shared" si="6"/>
        <v>13.670844310796701</v>
      </c>
      <c r="G14" s="62">
        <f>'[1]cálculos teóricos'!T99</f>
        <v>31.687347591169619</v>
      </c>
      <c r="H14" s="75">
        <f t="shared" si="7"/>
        <v>43.14291144584908</v>
      </c>
      <c r="I14" s="57"/>
      <c r="J14" s="82"/>
      <c r="K14" s="82">
        <v>0.7</v>
      </c>
      <c r="L14" s="82">
        <v>0.7</v>
      </c>
      <c r="M14" s="82">
        <v>0.4</v>
      </c>
      <c r="N14" s="82">
        <v>0.6</v>
      </c>
      <c r="O14" s="77">
        <v>0.1</v>
      </c>
      <c r="P14" s="79"/>
      <c r="Q14" s="79"/>
      <c r="R14" s="76">
        <v>0.5</v>
      </c>
      <c r="S14" s="76">
        <v>0.3</v>
      </c>
      <c r="T14" s="76"/>
      <c r="U14" s="76"/>
      <c r="V14" s="78"/>
      <c r="W14" s="116">
        <f t="shared" si="0"/>
        <v>2.5</v>
      </c>
      <c r="X14" s="117">
        <f t="shared" si="1"/>
        <v>0.8</v>
      </c>
      <c r="Y14" s="70">
        <f t="shared" si="2"/>
        <v>3.3</v>
      </c>
      <c r="Z14" s="71">
        <f>'[1]cálculos teóricos'!I99</f>
        <v>11.638999952514853</v>
      </c>
      <c r="AA14" s="72">
        <f t="shared" si="3"/>
        <v>28.352951400149848</v>
      </c>
      <c r="AB14" s="3"/>
    </row>
    <row r="15" spans="1:28" ht="18" customHeight="1">
      <c r="A15" s="73">
        <v>7</v>
      </c>
      <c r="B15" s="57">
        <v>18.5</v>
      </c>
      <c r="C15" s="74">
        <f>'[1]cálculos teóricos'!K100</f>
        <v>0.99934434567381758</v>
      </c>
      <c r="D15" s="59">
        <f t="shared" si="4"/>
        <v>269.24810049708191</v>
      </c>
      <c r="E15" s="60">
        <f t="shared" si="5"/>
        <v>11.272879471611825</v>
      </c>
      <c r="F15" s="61">
        <f t="shared" si="6"/>
        <v>14.420181819514781</v>
      </c>
      <c r="G15" s="62">
        <f>'[1]cálculos teóricos'!T100</f>
        <v>31.493565594061103</v>
      </c>
      <c r="H15" s="75">
        <f t="shared" si="7"/>
        <v>45.787707893685003</v>
      </c>
      <c r="I15" s="57"/>
      <c r="J15" s="82"/>
      <c r="K15" s="82">
        <v>0.3</v>
      </c>
      <c r="L15" s="82">
        <v>1</v>
      </c>
      <c r="M15" s="82">
        <v>0.9</v>
      </c>
      <c r="N15" s="82">
        <v>0.5</v>
      </c>
      <c r="O15" s="77"/>
      <c r="P15" s="79">
        <v>0.2</v>
      </c>
      <c r="Q15" s="79">
        <v>0.1</v>
      </c>
      <c r="R15" s="76">
        <v>0.1</v>
      </c>
      <c r="S15" s="76">
        <v>0.3</v>
      </c>
      <c r="T15" s="76">
        <v>1</v>
      </c>
      <c r="U15" s="76">
        <v>0.2</v>
      </c>
      <c r="V15" s="78"/>
      <c r="W15" s="116">
        <f t="shared" si="0"/>
        <v>2.7</v>
      </c>
      <c r="X15" s="117">
        <f t="shared" si="1"/>
        <v>1.9</v>
      </c>
      <c r="Y15" s="70">
        <f t="shared" si="2"/>
        <v>4.5999999999999996</v>
      </c>
      <c r="Z15" s="71">
        <f>'[1]cálculos teóricos'!I100</f>
        <v>11.616640960189132</v>
      </c>
      <c r="AA15" s="72">
        <f t="shared" si="3"/>
        <v>39.598365962798134</v>
      </c>
      <c r="AB15" s="3"/>
    </row>
    <row r="16" spans="1:28" ht="18" customHeight="1">
      <c r="A16" s="80">
        <v>8</v>
      </c>
      <c r="B16" s="76">
        <v>25.1</v>
      </c>
      <c r="C16" s="74">
        <f>'[1]cálculos teóricos'!K101</f>
        <v>0.99841414012270413</v>
      </c>
      <c r="D16" s="59">
        <f t="shared" si="4"/>
        <v>364.96414867489278</v>
      </c>
      <c r="E16" s="60">
        <f t="shared" si="5"/>
        <v>15.280318976720409</v>
      </c>
      <c r="F16" s="61">
        <f t="shared" si="6"/>
        <v>19.429481200900515</v>
      </c>
      <c r="G16" s="62">
        <f>'[1]cálculos teóricos'!T101</f>
        <v>31.299827988232465</v>
      </c>
      <c r="H16" s="75">
        <f t="shared" si="7"/>
        <v>62.075360951521063</v>
      </c>
      <c r="I16" s="79"/>
      <c r="J16" s="81">
        <v>0.3</v>
      </c>
      <c r="K16" s="81">
        <v>1</v>
      </c>
      <c r="L16" s="81">
        <v>1</v>
      </c>
      <c r="M16" s="81">
        <v>1</v>
      </c>
      <c r="N16" s="82">
        <v>1</v>
      </c>
      <c r="O16" s="78">
        <v>1</v>
      </c>
      <c r="P16" s="82">
        <v>1</v>
      </c>
      <c r="Q16" s="82">
        <v>0.8</v>
      </c>
      <c r="R16" s="81">
        <v>0.5</v>
      </c>
      <c r="S16" s="81">
        <v>0.8</v>
      </c>
      <c r="T16" s="81">
        <v>1</v>
      </c>
      <c r="U16" s="81">
        <v>0.1</v>
      </c>
      <c r="V16" s="78"/>
      <c r="W16" s="116">
        <f t="shared" si="0"/>
        <v>5.3</v>
      </c>
      <c r="X16" s="117">
        <f t="shared" si="1"/>
        <v>4.1999999999999993</v>
      </c>
      <c r="Y16" s="70">
        <f t="shared" si="2"/>
        <v>9.5</v>
      </c>
      <c r="Z16" s="71">
        <f>'[1]cálculos teóricos'!I101</f>
        <v>11.594355648555021</v>
      </c>
      <c r="AA16" s="72">
        <f t="shared" si="3"/>
        <v>81.936420513234509</v>
      </c>
      <c r="AB16" s="3"/>
    </row>
    <row r="17" spans="1:28" ht="18" customHeight="1">
      <c r="A17" s="80">
        <v>9</v>
      </c>
      <c r="B17" s="76">
        <v>24.6</v>
      </c>
      <c r="C17" s="74">
        <f>'[1]cálculos teóricos'!K102</f>
        <v>0.99747952966548015</v>
      </c>
      <c r="D17" s="59">
        <f t="shared" si="4"/>
        <v>357.35911100496725</v>
      </c>
      <c r="E17" s="60">
        <f t="shared" si="5"/>
        <v>14.961911259555968</v>
      </c>
      <c r="F17" s="61">
        <f t="shared" si="6"/>
        <v>19.031471554444963</v>
      </c>
      <c r="G17" s="62">
        <f>'[1]cálculos teóricos'!T102</f>
        <v>31.106207234397623</v>
      </c>
      <c r="H17" s="75">
        <f t="shared" si="7"/>
        <v>61.182230964499361</v>
      </c>
      <c r="I17" s="79"/>
      <c r="J17" s="81"/>
      <c r="K17" s="81">
        <v>0.1</v>
      </c>
      <c r="L17" s="81">
        <v>0.3</v>
      </c>
      <c r="M17" s="81">
        <v>1</v>
      </c>
      <c r="N17" s="82">
        <v>1</v>
      </c>
      <c r="O17" s="78">
        <v>1</v>
      </c>
      <c r="P17" s="82">
        <v>1</v>
      </c>
      <c r="Q17" s="82">
        <v>1</v>
      </c>
      <c r="R17" s="81">
        <v>1</v>
      </c>
      <c r="S17" s="81">
        <v>0.9</v>
      </c>
      <c r="T17" s="81"/>
      <c r="U17" s="81"/>
      <c r="V17" s="78"/>
      <c r="W17" s="116">
        <f t="shared" si="0"/>
        <v>3.4</v>
      </c>
      <c r="X17" s="117">
        <f t="shared" si="1"/>
        <v>3.9</v>
      </c>
      <c r="Y17" s="70">
        <f t="shared" si="2"/>
        <v>7.3</v>
      </c>
      <c r="Z17" s="71">
        <f>'[1]cálculos teóricos'!I102</f>
        <v>11.5721478595426</v>
      </c>
      <c r="AA17" s="72">
        <f t="shared" si="3"/>
        <v>63.082498500745388</v>
      </c>
      <c r="AB17" s="3"/>
    </row>
    <row r="18" spans="1:28" ht="18" customHeight="1">
      <c r="A18" s="80">
        <v>10</v>
      </c>
      <c r="B18" s="76">
        <v>11.5</v>
      </c>
      <c r="C18" s="74">
        <f>'[1]cálculos teóricos'!K103</f>
        <v>0.99654089288262615</v>
      </c>
      <c r="D18" s="59">
        <f t="shared" si="4"/>
        <v>166.90091787520544</v>
      </c>
      <c r="E18" s="60">
        <f t="shared" si="5"/>
        <v>6.987807629599101</v>
      </c>
      <c r="F18" s="61">
        <f t="shared" si="6"/>
        <v>9.0638420169988763</v>
      </c>
      <c r="G18" s="62">
        <f>'[1]cálculos teóricos'!T103</f>
        <v>30.912776170854091</v>
      </c>
      <c r="H18" s="75">
        <f t="shared" si="7"/>
        <v>29.320698881599188</v>
      </c>
      <c r="I18" s="79"/>
      <c r="J18" s="81"/>
      <c r="K18" s="81">
        <v>0.2</v>
      </c>
      <c r="L18" s="81">
        <v>0.3</v>
      </c>
      <c r="M18" s="81">
        <v>1</v>
      </c>
      <c r="N18" s="82">
        <v>1</v>
      </c>
      <c r="O18" s="77">
        <v>0.3</v>
      </c>
      <c r="P18" s="82"/>
      <c r="Q18" s="82"/>
      <c r="R18" s="81"/>
      <c r="S18" s="81"/>
      <c r="T18" s="81"/>
      <c r="U18" s="81"/>
      <c r="V18" s="78"/>
      <c r="W18" s="116">
        <f t="shared" si="0"/>
        <v>2.8</v>
      </c>
      <c r="X18" s="117">
        <f t="shared" si="1"/>
        <v>0</v>
      </c>
      <c r="Y18" s="70">
        <f t="shared" si="2"/>
        <v>2.8</v>
      </c>
      <c r="Z18" s="71">
        <f>'[1]cálculos teóricos'!I103</f>
        <v>11.55002151295256</v>
      </c>
      <c r="AA18" s="72">
        <f t="shared" si="3"/>
        <v>24.242379088731493</v>
      </c>
      <c r="AB18" s="3"/>
    </row>
    <row r="19" spans="1:28" ht="18" customHeight="1">
      <c r="A19" s="80">
        <v>11</v>
      </c>
      <c r="B19" s="76">
        <v>21.5</v>
      </c>
      <c r="C19" s="74">
        <f>'[1]cálculos teóricos'!K104</f>
        <v>0.99559861618928736</v>
      </c>
      <c r="D19" s="59">
        <f t="shared" si="4"/>
        <v>311.73710960776276</v>
      </c>
      <c r="E19" s="60">
        <f t="shared" si="5"/>
        <v>13.051809305057811</v>
      </c>
      <c r="F19" s="61">
        <f t="shared" si="6"/>
        <v>16.643844111322263</v>
      </c>
      <c r="G19" s="62">
        <f>'[1]cálculos teóricos'!T104</f>
        <v>30.719607982460538</v>
      </c>
      <c r="H19" s="75">
        <f t="shared" si="7"/>
        <v>54.17987143854544</v>
      </c>
      <c r="I19" s="79"/>
      <c r="J19" s="81"/>
      <c r="K19" s="81">
        <v>0.2</v>
      </c>
      <c r="L19" s="81">
        <v>1</v>
      </c>
      <c r="M19" s="81">
        <v>0.6</v>
      </c>
      <c r="N19" s="81">
        <v>0.7</v>
      </c>
      <c r="O19" s="78">
        <v>0.7</v>
      </c>
      <c r="P19" s="82">
        <v>0.9</v>
      </c>
      <c r="Q19" s="82">
        <v>1</v>
      </c>
      <c r="R19" s="81">
        <v>1</v>
      </c>
      <c r="S19" s="81">
        <v>0.8</v>
      </c>
      <c r="T19" s="81">
        <v>0.9</v>
      </c>
      <c r="U19" s="81"/>
      <c r="V19" s="78"/>
      <c r="W19" s="116">
        <f t="shared" si="0"/>
        <v>3.2</v>
      </c>
      <c r="X19" s="117">
        <f t="shared" si="1"/>
        <v>4.6000000000000005</v>
      </c>
      <c r="Y19" s="70">
        <f t="shared" si="2"/>
        <v>7.8000000000000007</v>
      </c>
      <c r="Z19" s="71">
        <f>'[1]cálculos teóricos'!I104</f>
        <v>11.527980611198263</v>
      </c>
      <c r="AA19" s="72">
        <f t="shared" si="3"/>
        <v>67.661460086279931</v>
      </c>
      <c r="AB19" s="3"/>
    </row>
    <row r="20" spans="1:28" ht="18" customHeight="1">
      <c r="A20" s="80">
        <v>12</v>
      </c>
      <c r="B20" s="76">
        <v>25.9</v>
      </c>
      <c r="C20" s="74">
        <f>'[1]cálculos teóricos'!K105</f>
        <v>0.99465309372746913</v>
      </c>
      <c r="D20" s="59">
        <f t="shared" si="4"/>
        <v>375.17782555994995</v>
      </c>
      <c r="E20" s="60">
        <f t="shared" si="5"/>
        <v>15.707945200543984</v>
      </c>
      <c r="F20" s="61">
        <f t="shared" si="6"/>
        <v>19.964013980679979</v>
      </c>
      <c r="G20" s="62">
        <f>'[1]cálculos teóricos'!T105</f>
        <v>30.526776169323703</v>
      </c>
      <c r="H20" s="75">
        <f t="shared" si="7"/>
        <v>65.398369844051132</v>
      </c>
      <c r="I20" s="79"/>
      <c r="J20" s="81"/>
      <c r="K20" s="81">
        <v>1</v>
      </c>
      <c r="L20" s="81">
        <v>0.3</v>
      </c>
      <c r="M20" s="81">
        <v>0.4</v>
      </c>
      <c r="N20" s="81">
        <v>1</v>
      </c>
      <c r="O20" s="78">
        <v>1</v>
      </c>
      <c r="P20" s="82">
        <v>1</v>
      </c>
      <c r="Q20" s="82">
        <v>1</v>
      </c>
      <c r="R20" s="81">
        <v>1</v>
      </c>
      <c r="S20" s="81">
        <v>1</v>
      </c>
      <c r="T20" s="81">
        <v>0.8</v>
      </c>
      <c r="U20" s="81"/>
      <c r="V20" s="78"/>
      <c r="W20" s="116">
        <f t="shared" si="0"/>
        <v>3.7</v>
      </c>
      <c r="X20" s="117">
        <f t="shared" si="1"/>
        <v>4.8</v>
      </c>
      <c r="Y20" s="70">
        <f t="shared" si="2"/>
        <v>8.5</v>
      </c>
      <c r="Z20" s="71">
        <f>'[1]cálculos teóricos'!I105</f>
        <v>11.506029243866161</v>
      </c>
      <c r="AA20" s="72">
        <f t="shared" si="3"/>
        <v>73.874312500390445</v>
      </c>
      <c r="AB20" s="3"/>
    </row>
    <row r="21" spans="1:28" ht="18" customHeight="1">
      <c r="A21" s="80">
        <v>13</v>
      </c>
      <c r="B21" s="76">
        <v>22.6</v>
      </c>
      <c r="C21" s="74">
        <f>'[1]cálculos teóricos'!K106</f>
        <v>0.9937047272503452</v>
      </c>
      <c r="D21" s="59">
        <f t="shared" si="4"/>
        <v>327.06310477401507</v>
      </c>
      <c r="E21" s="60">
        <f t="shared" si="5"/>
        <v>13.693478070678463</v>
      </c>
      <c r="F21" s="61">
        <f t="shared" si="6"/>
        <v>17.44593006834808</v>
      </c>
      <c r="G21" s="62">
        <f>'[1]cálculos teóricos'!T106</f>
        <v>30.334354515150523</v>
      </c>
      <c r="H21" s="75">
        <f t="shared" si="7"/>
        <v>57.512119005646532</v>
      </c>
      <c r="I21" s="79"/>
      <c r="J21" s="81"/>
      <c r="K21" s="81">
        <v>0.7</v>
      </c>
      <c r="L21" s="81">
        <v>1</v>
      </c>
      <c r="M21" s="81">
        <v>1</v>
      </c>
      <c r="N21" s="81">
        <v>1</v>
      </c>
      <c r="O21" s="78">
        <v>1</v>
      </c>
      <c r="P21" s="82">
        <v>1</v>
      </c>
      <c r="Q21" s="82">
        <v>0.5</v>
      </c>
      <c r="R21" s="81">
        <v>0.1</v>
      </c>
      <c r="S21" s="81"/>
      <c r="T21" s="81"/>
      <c r="U21" s="81"/>
      <c r="V21" s="78"/>
      <c r="W21" s="116">
        <f t="shared" si="0"/>
        <v>4.7</v>
      </c>
      <c r="X21" s="117">
        <f t="shared" si="1"/>
        <v>1.6</v>
      </c>
      <c r="Y21" s="70">
        <f t="shared" si="2"/>
        <v>6.3000000000000007</v>
      </c>
      <c r="Z21" s="71">
        <f>'[1]cálculos teóricos'!I106</f>
        <v>11.484171592082447</v>
      </c>
      <c r="AA21" s="72">
        <f t="shared" si="3"/>
        <v>54.858114488148381</v>
      </c>
      <c r="AB21" s="3"/>
    </row>
    <row r="22" spans="1:28" ht="18" customHeight="1">
      <c r="A22" s="80">
        <v>14</v>
      </c>
      <c r="B22" s="76">
        <v>14.2</v>
      </c>
      <c r="C22" s="74">
        <f>'[1]cálculos teóricos'!K107</f>
        <v>0.99275392599807921</v>
      </c>
      <c r="D22" s="59">
        <f t="shared" si="4"/>
        <v>205.303199578077</v>
      </c>
      <c r="E22" s="60">
        <f t="shared" si="5"/>
        <v>8.5956343599349267</v>
      </c>
      <c r="F22" s="61">
        <f t="shared" si="6"/>
        <v>11.073625429918661</v>
      </c>
      <c r="G22" s="62">
        <f>'[1]cálculos teóricos'!T107</f>
        <v>30.142417055223362</v>
      </c>
      <c r="H22" s="75">
        <f t="shared" si="7"/>
        <v>36.737682348535216</v>
      </c>
      <c r="I22" s="79"/>
      <c r="J22" s="81"/>
      <c r="K22" s="81"/>
      <c r="L22" s="81"/>
      <c r="M22" s="81">
        <v>0.1</v>
      </c>
      <c r="N22" s="81">
        <v>0.1</v>
      </c>
      <c r="O22" s="78">
        <v>0.1</v>
      </c>
      <c r="P22" s="82"/>
      <c r="Q22" s="82">
        <v>0.3</v>
      </c>
      <c r="R22" s="81">
        <v>0.6</v>
      </c>
      <c r="S22" s="81">
        <v>0.3</v>
      </c>
      <c r="T22" s="81"/>
      <c r="U22" s="81"/>
      <c r="V22" s="78"/>
      <c r="W22" s="116">
        <f t="shared" si="0"/>
        <v>0.30000000000000004</v>
      </c>
      <c r="X22" s="117">
        <f t="shared" si="1"/>
        <v>1.2</v>
      </c>
      <c r="Y22" s="70">
        <f t="shared" si="2"/>
        <v>1.5</v>
      </c>
      <c r="Z22" s="71">
        <f>'[1]cálculos teóricos'!I107</f>
        <v>11.462411932673533</v>
      </c>
      <c r="AA22" s="72">
        <f t="shared" si="3"/>
        <v>13.086251033469313</v>
      </c>
      <c r="AB22" s="3"/>
    </row>
    <row r="23" spans="1:28" ht="18" customHeight="1">
      <c r="A23" s="80">
        <v>15</v>
      </c>
      <c r="B23" s="76">
        <v>22.3</v>
      </c>
      <c r="C23" s="74">
        <f>'[1]cálculos teóricos'!K108</f>
        <v>0.99180110656457066</v>
      </c>
      <c r="D23" s="59">
        <f t="shared" si="4"/>
        <v>322.10332776460473</v>
      </c>
      <c r="E23" s="60">
        <f t="shared" si="5"/>
        <v>13.48582212684847</v>
      </c>
      <c r="F23" s="61">
        <f t="shared" si="6"/>
        <v>17.186360138560588</v>
      </c>
      <c r="G23" s="62">
        <f>'[1]cálculos teóricos'!T108</f>
        <v>29.951038043957332</v>
      </c>
      <c r="H23" s="75">
        <f t="shared" si="7"/>
        <v>57.381517506462387</v>
      </c>
      <c r="I23" s="79"/>
      <c r="J23" s="81"/>
      <c r="K23" s="81"/>
      <c r="L23" s="81">
        <v>0.5</v>
      </c>
      <c r="M23" s="81">
        <v>0.9</v>
      </c>
      <c r="N23" s="81">
        <v>1</v>
      </c>
      <c r="O23" s="78">
        <v>1</v>
      </c>
      <c r="P23" s="82">
        <v>1</v>
      </c>
      <c r="Q23" s="82">
        <v>0.7</v>
      </c>
      <c r="R23" s="81">
        <v>0.5</v>
      </c>
      <c r="S23" s="81"/>
      <c r="T23" s="81"/>
      <c r="U23" s="81"/>
      <c r="V23" s="78"/>
      <c r="W23" s="116">
        <f t="shared" si="0"/>
        <v>3.4</v>
      </c>
      <c r="X23" s="117">
        <f t="shared" si="1"/>
        <v>2.2000000000000002</v>
      </c>
      <c r="Y23" s="70">
        <f t="shared" si="2"/>
        <v>5.6</v>
      </c>
      <c r="Z23" s="71">
        <f>'[1]cálculos teóricos'!I108</f>
        <v>11.440754642107416</v>
      </c>
      <c r="AA23" s="72">
        <f t="shared" si="3"/>
        <v>48.94782009736786</v>
      </c>
      <c r="AB23" s="3"/>
    </row>
    <row r="24" spans="1:28" ht="18" customHeight="1">
      <c r="A24" s="80">
        <v>16</v>
      </c>
      <c r="B24" s="76">
        <v>16.2</v>
      </c>
      <c r="C24" s="74">
        <f>'[1]cálculos teóricos'!K109</f>
        <v>0.99084669275453241</v>
      </c>
      <c r="D24" s="59">
        <f t="shared" si="4"/>
        <v>233.76917212087625</v>
      </c>
      <c r="E24" s="60">
        <f t="shared" si="5"/>
        <v>9.7874476983568464</v>
      </c>
      <c r="F24" s="61">
        <f t="shared" si="6"/>
        <v>12.563392102946059</v>
      </c>
      <c r="G24" s="62">
        <f>'[1]cálculos teóricos'!T109</f>
        <v>29.760291922001649</v>
      </c>
      <c r="H24" s="75">
        <f t="shared" si="7"/>
        <v>42.215285172179378</v>
      </c>
      <c r="I24" s="154"/>
      <c r="J24" s="155"/>
      <c r="K24" s="155"/>
      <c r="L24" s="81"/>
      <c r="M24" s="81"/>
      <c r="N24" s="81">
        <v>0.1</v>
      </c>
      <c r="O24" s="78">
        <v>0.4</v>
      </c>
      <c r="P24" s="82">
        <v>0.9</v>
      </c>
      <c r="Q24" s="82">
        <v>0.3</v>
      </c>
      <c r="R24" s="81">
        <v>0.7</v>
      </c>
      <c r="S24" s="81"/>
      <c r="T24" s="155"/>
      <c r="U24" s="155"/>
      <c r="V24" s="156"/>
      <c r="W24" s="116">
        <f t="shared" si="0"/>
        <v>0.5</v>
      </c>
      <c r="X24" s="117">
        <f t="shared" si="1"/>
        <v>1.9</v>
      </c>
      <c r="Y24" s="70">
        <f t="shared" si="2"/>
        <v>2.4</v>
      </c>
      <c r="Z24" s="71">
        <f>'[1]cálculos teóricos'!I109</f>
        <v>11.419204200202659</v>
      </c>
      <c r="AA24" s="72">
        <f t="shared" si="3"/>
        <v>21.017226401445793</v>
      </c>
      <c r="AB24" s="3"/>
    </row>
    <row r="25" spans="1:28" ht="18" customHeight="1">
      <c r="A25" s="85">
        <v>17</v>
      </c>
      <c r="B25" s="76">
        <v>20</v>
      </c>
      <c r="C25" s="74">
        <f>'[1]cálculos teóricos'!K110</f>
        <v>0.9898911154303186</v>
      </c>
      <c r="D25" s="59">
        <f t="shared" si="4"/>
        <v>288.32558519138888</v>
      </c>
      <c r="E25" s="60">
        <f t="shared" si="5"/>
        <v>12.07161560079307</v>
      </c>
      <c r="F25" s="61">
        <f t="shared" si="6"/>
        <v>15.418601980991337</v>
      </c>
      <c r="G25" s="62">
        <f>'[1]cálculos teóricos'!T110</f>
        <v>29.570253282849443</v>
      </c>
      <c r="H25" s="75">
        <f t="shared" si="7"/>
        <v>52.14227228122536</v>
      </c>
      <c r="I25" s="79"/>
      <c r="J25" s="81">
        <v>0.2</v>
      </c>
      <c r="K25" s="81">
        <v>0.3</v>
      </c>
      <c r="L25" s="81">
        <v>1</v>
      </c>
      <c r="M25" s="81">
        <v>0.9</v>
      </c>
      <c r="N25" s="81">
        <v>1</v>
      </c>
      <c r="O25" s="78">
        <v>1</v>
      </c>
      <c r="P25" s="82">
        <v>0.5</v>
      </c>
      <c r="Q25" s="82">
        <v>0.3</v>
      </c>
      <c r="R25" s="81">
        <v>0.7</v>
      </c>
      <c r="S25" s="81">
        <v>0.8</v>
      </c>
      <c r="T25" s="81"/>
      <c r="U25" s="81"/>
      <c r="V25" s="78"/>
      <c r="W25" s="116">
        <f t="shared" si="0"/>
        <v>4.4000000000000004</v>
      </c>
      <c r="X25" s="117">
        <f t="shared" si="1"/>
        <v>2.2999999999999998</v>
      </c>
      <c r="Y25" s="70">
        <f t="shared" si="2"/>
        <v>6.7</v>
      </c>
      <c r="Z25" s="71">
        <f>'[1]cálculos teóricos'!I110</f>
        <v>11.397765193591368</v>
      </c>
      <c r="AA25" s="72">
        <f t="shared" si="3"/>
        <v>58.783453477065969</v>
      </c>
      <c r="AB25" s="3"/>
    </row>
    <row r="26" spans="1:28" ht="18" customHeight="1">
      <c r="A26" s="85">
        <v>18</v>
      </c>
      <c r="B26" s="76">
        <v>17.100000000000001</v>
      </c>
      <c r="C26" s="74">
        <f>'[1]cálculos teóricos'!K111</f>
        <v>0.98893481234793812</v>
      </c>
      <c r="D26" s="59">
        <f t="shared" si="4"/>
        <v>246.28022158765927</v>
      </c>
      <c r="E26" s="60">
        <f t="shared" si="5"/>
        <v>10.311260317432119</v>
      </c>
      <c r="F26" s="61">
        <f t="shared" si="6"/>
        <v>13.218157876790146</v>
      </c>
      <c r="G26" s="62">
        <f>'[1]cálculos teóricos'!T111</f>
        <v>29.380996838923444</v>
      </c>
      <c r="H26" s="75">
        <f t="shared" si="7"/>
        <v>44.988799901026354</v>
      </c>
      <c r="I26" s="79"/>
      <c r="J26" s="81"/>
      <c r="K26" s="81"/>
      <c r="L26" s="81">
        <v>0.7</v>
      </c>
      <c r="M26" s="81">
        <v>1</v>
      </c>
      <c r="N26" s="81">
        <v>1</v>
      </c>
      <c r="O26" s="78">
        <v>1</v>
      </c>
      <c r="P26" s="82">
        <v>1</v>
      </c>
      <c r="Q26" s="82">
        <v>0.9</v>
      </c>
      <c r="R26" s="81"/>
      <c r="S26" s="81"/>
      <c r="T26" s="81"/>
      <c r="U26" s="81"/>
      <c r="V26" s="78"/>
      <c r="W26" s="116">
        <f t="shared" si="0"/>
        <v>3.7</v>
      </c>
      <c r="X26" s="117">
        <f t="shared" si="1"/>
        <v>1.9</v>
      </c>
      <c r="Y26" s="70">
        <f t="shared" si="2"/>
        <v>5.6</v>
      </c>
      <c r="Z26" s="71">
        <f>'[1]cálculos teóricos'!I111</f>
        <v>11.376442318922143</v>
      </c>
      <c r="AA26" s="72">
        <f t="shared" si="3"/>
        <v>49.224527695144772</v>
      </c>
      <c r="AB26" s="3"/>
    </row>
    <row r="27" spans="1:28" ht="18" customHeight="1">
      <c r="A27" s="85">
        <v>19</v>
      </c>
      <c r="B27" s="76">
        <v>17.899999999999999</v>
      </c>
      <c r="C27" s="74">
        <f>'[1]cálculos teóricos'!K112</f>
        <v>0.9879782279816971</v>
      </c>
      <c r="D27" s="59">
        <f t="shared" si="4"/>
        <v>257.55273452548488</v>
      </c>
      <c r="E27" s="60">
        <f t="shared" si="5"/>
        <v>10.783217889113001</v>
      </c>
      <c r="F27" s="61">
        <f t="shared" si="6"/>
        <v>13.808104841391252</v>
      </c>
      <c r="G27" s="62">
        <f>'[1]cálculos teóricos'!T112</f>
        <v>29.192597387108517</v>
      </c>
      <c r="H27" s="75">
        <f t="shared" si="7"/>
        <v>47.300021503016126</v>
      </c>
      <c r="I27" s="79"/>
      <c r="J27" s="81"/>
      <c r="K27" s="81">
        <v>0.2</v>
      </c>
      <c r="L27" s="81">
        <v>1</v>
      </c>
      <c r="M27" s="81">
        <v>1</v>
      </c>
      <c r="N27" s="81">
        <v>1</v>
      </c>
      <c r="O27" s="78">
        <v>0.9</v>
      </c>
      <c r="P27" s="82">
        <v>0.9</v>
      </c>
      <c r="Q27" s="82">
        <v>1</v>
      </c>
      <c r="R27" s="81">
        <v>0.9</v>
      </c>
      <c r="S27" s="81"/>
      <c r="T27" s="81"/>
      <c r="U27" s="81"/>
      <c r="V27" s="78"/>
      <c r="W27" s="116">
        <f t="shared" si="0"/>
        <v>4.1000000000000005</v>
      </c>
      <c r="X27" s="117">
        <f t="shared" si="1"/>
        <v>2.8</v>
      </c>
      <c r="Y27" s="70">
        <f t="shared" si="2"/>
        <v>6.9</v>
      </c>
      <c r="Z27" s="71">
        <f>'[1]cálculos teóricos'!I112</f>
        <v>11.355240385788584</v>
      </c>
      <c r="AA27" s="72">
        <f t="shared" si="3"/>
        <v>60.764895903353597</v>
      </c>
      <c r="AB27" s="3"/>
    </row>
    <row r="28" spans="1:28" ht="18" customHeight="1">
      <c r="A28" s="85">
        <v>20</v>
      </c>
      <c r="B28" s="76">
        <v>12.4</v>
      </c>
      <c r="C28" s="74">
        <f>'[1]cálculos teóricos'!K113</f>
        <v>0.98702181333694017</v>
      </c>
      <c r="D28" s="59">
        <f t="shared" si="4"/>
        <v>178.24370301380333</v>
      </c>
      <c r="E28" s="60">
        <f t="shared" si="5"/>
        <v>7.462707357781917</v>
      </c>
      <c r="F28" s="61">
        <f t="shared" si="6"/>
        <v>9.6574666772273972</v>
      </c>
      <c r="G28" s="62">
        <f>'[1]cálculos teóricos'!T113</f>
        <v>29.005129773706106</v>
      </c>
      <c r="H28" s="75">
        <f t="shared" si="7"/>
        <v>33.295719593649736</v>
      </c>
      <c r="I28" s="79"/>
      <c r="J28" s="81">
        <v>0.2</v>
      </c>
      <c r="K28" s="81">
        <v>0.9</v>
      </c>
      <c r="L28" s="81">
        <v>0.8</v>
      </c>
      <c r="M28" s="81">
        <v>0.7</v>
      </c>
      <c r="N28" s="81"/>
      <c r="O28" s="78">
        <v>0.1</v>
      </c>
      <c r="P28" s="82"/>
      <c r="Q28" s="82">
        <v>0.1</v>
      </c>
      <c r="R28" s="81">
        <v>0.1</v>
      </c>
      <c r="S28" s="81">
        <v>0.1</v>
      </c>
      <c r="T28" s="81">
        <v>0.2</v>
      </c>
      <c r="U28" s="81"/>
      <c r="V28" s="78"/>
      <c r="W28" s="116">
        <f t="shared" si="0"/>
        <v>2.7</v>
      </c>
      <c r="X28" s="117">
        <f t="shared" si="1"/>
        <v>0.5</v>
      </c>
      <c r="Y28" s="70">
        <f t="shared" si="2"/>
        <v>3.2</v>
      </c>
      <c r="Z28" s="71">
        <f>'[1]cálculos teóricos'!I113</f>
        <v>11.334164319368824</v>
      </c>
      <c r="AA28" s="72">
        <f t="shared" si="3"/>
        <v>28.233223992805154</v>
      </c>
      <c r="AB28" s="3"/>
    </row>
    <row r="29" spans="1:28" ht="18" customHeight="1">
      <c r="A29" s="85">
        <v>21</v>
      </c>
      <c r="B29" s="76">
        <v>12</v>
      </c>
      <c r="C29" s="74">
        <f>'[1]cálculos teóricos'!K114</f>
        <v>0.98606602575038249</v>
      </c>
      <c r="D29" s="59">
        <f t="shared" si="4"/>
        <v>172.32687079218837</v>
      </c>
      <c r="E29" s="60">
        <f t="shared" si="5"/>
        <v>7.2149814263273422</v>
      </c>
      <c r="F29" s="61">
        <f t="shared" si="6"/>
        <v>9.3478092629091787</v>
      </c>
      <c r="G29" s="62">
        <f>'[1]cálculos teóricos'!T114</f>
        <v>28.818668858789103</v>
      </c>
      <c r="H29" s="75">
        <f t="shared" si="7"/>
        <v>32.436644831561289</v>
      </c>
      <c r="I29" s="79"/>
      <c r="J29" s="81"/>
      <c r="K29" s="81"/>
      <c r="L29" s="81"/>
      <c r="M29" s="81"/>
      <c r="N29" s="81"/>
      <c r="O29" s="78">
        <v>0.2</v>
      </c>
      <c r="P29" s="82">
        <v>0.2</v>
      </c>
      <c r="Q29" s="82">
        <v>0.3</v>
      </c>
      <c r="R29" s="81">
        <v>0.2</v>
      </c>
      <c r="S29" s="81">
        <v>0.2</v>
      </c>
      <c r="T29" s="81"/>
      <c r="U29" s="81"/>
      <c r="V29" s="78"/>
      <c r="W29" s="116">
        <f t="shared" si="0"/>
        <v>0.2</v>
      </c>
      <c r="X29" s="117">
        <f t="shared" si="1"/>
        <v>0.89999999999999991</v>
      </c>
      <c r="Y29" s="70">
        <f t="shared" si="2"/>
        <v>1.0999999999999999</v>
      </c>
      <c r="Z29" s="71">
        <f>'[1]cálculos teóricos'!I114</f>
        <v>11.313219162761063</v>
      </c>
      <c r="AA29" s="72">
        <f t="shared" si="3"/>
        <v>9.7231387828213691</v>
      </c>
      <c r="AB29" s="3"/>
    </row>
    <row r="30" spans="1:28" ht="18" customHeight="1">
      <c r="A30" s="85">
        <v>22</v>
      </c>
      <c r="B30" s="76">
        <v>15.4</v>
      </c>
      <c r="C30" s="74">
        <f>'[1]cálculos teóricos'!K115</f>
        <v>0.98511132867754536</v>
      </c>
      <c r="D30" s="59">
        <f t="shared" si="4"/>
        <v>220.93870006200967</v>
      </c>
      <c r="E30" s="60">
        <f t="shared" si="5"/>
        <v>9.25026149419622</v>
      </c>
      <c r="F30" s="61">
        <f t="shared" si="6"/>
        <v>11.891909347745276</v>
      </c>
      <c r="G30" s="62">
        <f>'[1]cálculos teóricos'!T115</f>
        <v>28.633289479940686</v>
      </c>
      <c r="H30" s="75">
        <f t="shared" si="7"/>
        <v>41.531760980785194</v>
      </c>
      <c r="I30" s="79"/>
      <c r="J30" s="81"/>
      <c r="K30" s="81"/>
      <c r="L30" s="81">
        <v>0.1</v>
      </c>
      <c r="M30" s="81">
        <v>0.4</v>
      </c>
      <c r="N30" s="81">
        <v>0.5</v>
      </c>
      <c r="O30" s="78"/>
      <c r="P30" s="82"/>
      <c r="Q30" s="82">
        <v>0.3</v>
      </c>
      <c r="R30" s="81">
        <v>0.5</v>
      </c>
      <c r="S30" s="81">
        <v>1</v>
      </c>
      <c r="T30" s="81">
        <v>0.2</v>
      </c>
      <c r="U30" s="157"/>
      <c r="V30" s="78"/>
      <c r="W30" s="116">
        <f t="shared" si="0"/>
        <v>1</v>
      </c>
      <c r="X30" s="117">
        <f t="shared" si="1"/>
        <v>2</v>
      </c>
      <c r="Y30" s="70">
        <f t="shared" si="2"/>
        <v>3</v>
      </c>
      <c r="Z30" s="71">
        <f>'[1]cálculos teóricos'!I115</f>
        <v>11.292410079000071</v>
      </c>
      <c r="AA30" s="72">
        <f t="shared" si="3"/>
        <v>26.566516616138035</v>
      </c>
      <c r="AB30" s="3"/>
    </row>
    <row r="31" spans="1:28" ht="18" customHeight="1">
      <c r="A31" s="85">
        <v>23</v>
      </c>
      <c r="B31" s="76">
        <v>21.5</v>
      </c>
      <c r="C31" s="74">
        <f>'[1]cálculos teóricos'!K116</f>
        <v>0.98415819146685024</v>
      </c>
      <c r="D31" s="59">
        <f t="shared" si="4"/>
        <v>308.15493816069073</v>
      </c>
      <c r="E31" s="60">
        <f t="shared" si="5"/>
        <v>12.901830950911799</v>
      </c>
      <c r="F31" s="61">
        <f t="shared" si="6"/>
        <v>16.456371168639752</v>
      </c>
      <c r="G31" s="62">
        <f>'[1]cálculos teóricos'!T116</f>
        <v>28.449066415364875</v>
      </c>
      <c r="H31" s="75">
        <f t="shared" si="7"/>
        <v>57.845030583330271</v>
      </c>
      <c r="I31" s="79"/>
      <c r="J31" s="81"/>
      <c r="K31" s="81">
        <v>0.4</v>
      </c>
      <c r="L31" s="81">
        <v>1</v>
      </c>
      <c r="M31" s="81">
        <v>1</v>
      </c>
      <c r="N31" s="81">
        <v>1</v>
      </c>
      <c r="O31" s="78">
        <v>0.5</v>
      </c>
      <c r="P31" s="82">
        <v>0.9</v>
      </c>
      <c r="Q31" s="82">
        <v>0.8</v>
      </c>
      <c r="R31" s="81">
        <v>1</v>
      </c>
      <c r="S31" s="81">
        <v>0.2</v>
      </c>
      <c r="T31" s="81"/>
      <c r="U31" s="81"/>
      <c r="V31" s="78"/>
      <c r="W31" s="116">
        <f t="shared" si="0"/>
        <v>3.9</v>
      </c>
      <c r="X31" s="117">
        <f t="shared" si="1"/>
        <v>2.9000000000000004</v>
      </c>
      <c r="Y31" s="70">
        <f t="shared" si="2"/>
        <v>6.8000000000000007</v>
      </c>
      <c r="Z31" s="71">
        <f>'[1]cálculos teóricos'!I116</f>
        <v>11.27174235273929</v>
      </c>
      <c r="AA31" s="72">
        <f t="shared" si="3"/>
        <v>60.327851606255408</v>
      </c>
      <c r="AB31" s="3"/>
    </row>
    <row r="32" spans="1:28" ht="18" customHeight="1">
      <c r="A32" s="85">
        <v>24</v>
      </c>
      <c r="B32" s="76">
        <v>17</v>
      </c>
      <c r="C32" s="74">
        <f>'[1]cálculos teóricos'!K117</f>
        <v>0.98320708911994803</v>
      </c>
      <c r="D32" s="59">
        <f t="shared" si="4"/>
        <v>243.42191952077218</v>
      </c>
      <c r="E32" s="60">
        <f t="shared" si="5"/>
        <v>10.191588926495688</v>
      </c>
      <c r="F32" s="61">
        <f t="shared" si="6"/>
        <v>13.068568638119613</v>
      </c>
      <c r="G32" s="62">
        <f>'[1]cálculos teóricos'!T117</f>
        <v>28.266074346361314</v>
      </c>
      <c r="H32" s="75">
        <f t="shared" si="7"/>
        <v>46.234112590176245</v>
      </c>
      <c r="I32" s="79"/>
      <c r="J32" s="81"/>
      <c r="K32" s="81"/>
      <c r="L32" s="81"/>
      <c r="M32" s="81">
        <v>0.9</v>
      </c>
      <c r="N32" s="81">
        <v>1</v>
      </c>
      <c r="O32" s="78">
        <v>0.9</v>
      </c>
      <c r="P32" s="82">
        <v>0.8</v>
      </c>
      <c r="Q32" s="82">
        <v>0.7</v>
      </c>
      <c r="R32" s="81"/>
      <c r="S32" s="81"/>
      <c r="T32" s="81"/>
      <c r="U32" s="81"/>
      <c r="V32" s="78"/>
      <c r="W32" s="116">
        <f t="shared" si="0"/>
        <v>2.8</v>
      </c>
      <c r="X32" s="117">
        <f t="shared" si="1"/>
        <v>1.5</v>
      </c>
      <c r="Y32" s="70">
        <f t="shared" si="2"/>
        <v>4.3</v>
      </c>
      <c r="Z32" s="71">
        <f>'[1]cálculos teóricos'!I117</f>
        <v>11.251221391583176</v>
      </c>
      <c r="AA32" s="72">
        <f t="shared" si="3"/>
        <v>38.21807295709911</v>
      </c>
      <c r="AB32" s="3"/>
    </row>
    <row r="33" spans="1:28" ht="18" customHeight="1">
      <c r="A33" s="85">
        <v>25</v>
      </c>
      <c r="B33" s="76">
        <v>6.2</v>
      </c>
      <c r="C33" s="74">
        <f>'[1]cálculos teóricos'!K118</f>
        <v>0.98225850203790688</v>
      </c>
      <c r="D33" s="59">
        <f t="shared" si="4"/>
        <v>88.691754505460167</v>
      </c>
      <c r="E33" s="60">
        <f t="shared" si="5"/>
        <v>3.7133463776346058</v>
      </c>
      <c r="F33" s="61">
        <f t="shared" si="6"/>
        <v>4.9707654520432571</v>
      </c>
      <c r="G33" s="62">
        <f>'[1]cálculos teóricos'!T118</f>
        <v>28.08438781916194</v>
      </c>
      <c r="H33" s="75">
        <f t="shared" si="7"/>
        <v>17.699390437315177</v>
      </c>
      <c r="I33" s="79"/>
      <c r="J33" s="81"/>
      <c r="K33" s="81"/>
      <c r="L33" s="81"/>
      <c r="M33" s="81"/>
      <c r="N33" s="81"/>
      <c r="O33" s="78"/>
      <c r="P33" s="79"/>
      <c r="Q33" s="82"/>
      <c r="R33" s="81"/>
      <c r="S33" s="81"/>
      <c r="T33" s="81"/>
      <c r="U33" s="81"/>
      <c r="V33" s="78"/>
      <c r="W33" s="116">
        <f t="shared" si="0"/>
        <v>0</v>
      </c>
      <c r="X33" s="117">
        <f t="shared" si="1"/>
        <v>0</v>
      </c>
      <c r="Y33" s="70">
        <f t="shared" si="2"/>
        <v>0</v>
      </c>
      <c r="Z33" s="71">
        <f>'[1]cálculos teóricos'!I118</f>
        <v>11.230852727054316</v>
      </c>
      <c r="AA33" s="72">
        <f t="shared" si="3"/>
        <v>0</v>
      </c>
      <c r="AB33" s="3"/>
    </row>
    <row r="34" spans="1:28" ht="18" customHeight="1">
      <c r="A34" s="85">
        <v>26</v>
      </c>
      <c r="B34" s="76">
        <v>15.1</v>
      </c>
      <c r="C34" s="74">
        <f>'[1]cálculos teóricos'!K119</f>
        <v>0.98131291575291579</v>
      </c>
      <c r="D34" s="59">
        <f t="shared" si="4"/>
        <v>215.7993947933706</v>
      </c>
      <c r="E34" s="60">
        <f t="shared" si="5"/>
        <v>9.0350890612088399</v>
      </c>
      <c r="F34" s="61">
        <f t="shared" si="6"/>
        <v>11.622943806511051</v>
      </c>
      <c r="G34" s="62">
        <f>'[1]cálculos teóricos'!T119</f>
        <v>27.904081206131991</v>
      </c>
      <c r="H34" s="75">
        <f t="shared" si="7"/>
        <v>41.653203775642965</v>
      </c>
      <c r="I34" s="79"/>
      <c r="J34" s="81"/>
      <c r="K34" s="81"/>
      <c r="L34" s="81"/>
      <c r="M34" s="81">
        <v>0.3</v>
      </c>
      <c r="N34" s="81">
        <v>0.8</v>
      </c>
      <c r="O34" s="78">
        <v>0.9</v>
      </c>
      <c r="P34" s="82">
        <v>0.7</v>
      </c>
      <c r="Q34" s="81">
        <v>0.8</v>
      </c>
      <c r="R34" s="81">
        <v>0.3</v>
      </c>
      <c r="S34" s="81">
        <v>0.6</v>
      </c>
      <c r="T34" s="81"/>
      <c r="U34" s="81"/>
      <c r="V34" s="78"/>
      <c r="W34" s="116">
        <f t="shared" si="0"/>
        <v>2</v>
      </c>
      <c r="X34" s="117">
        <f t="shared" si="1"/>
        <v>2.4</v>
      </c>
      <c r="Y34" s="70">
        <f t="shared" si="2"/>
        <v>4.4000000000000004</v>
      </c>
      <c r="Z34" s="71">
        <f>'[1]cálculos teóricos'!I119</f>
        <v>11.210642015179907</v>
      </c>
      <c r="AA34" s="72">
        <f t="shared" si="3"/>
        <v>39.248421223709819</v>
      </c>
      <c r="AB34" s="3"/>
    </row>
    <row r="35" spans="1:28" ht="18" customHeight="1">
      <c r="A35" s="85">
        <v>27</v>
      </c>
      <c r="B35" s="76">
        <v>18.8</v>
      </c>
      <c r="C35" s="74">
        <f>'[1]cálculos teóricos'!K120</f>
        <v>0.98037082064520997</v>
      </c>
      <c r="D35" s="59">
        <f t="shared" si="4"/>
        <v>268.41945239357051</v>
      </c>
      <c r="E35" s="60">
        <f t="shared" si="5"/>
        <v>11.238185632814009</v>
      </c>
      <c r="F35" s="61">
        <f t="shared" si="6"/>
        <v>14.376814521017513</v>
      </c>
      <c r="G35" s="62">
        <f>'[1]cálculos teóricos'!T120</f>
        <v>27.725228666343192</v>
      </c>
      <c r="H35" s="75">
        <f t="shared" si="7"/>
        <v>51.85462920444774</v>
      </c>
      <c r="I35" s="79"/>
      <c r="J35" s="81"/>
      <c r="K35" s="81"/>
      <c r="L35" s="81"/>
      <c r="M35" s="81">
        <v>0.8</v>
      </c>
      <c r="N35" s="81">
        <v>0.8</v>
      </c>
      <c r="O35" s="78">
        <v>1</v>
      </c>
      <c r="P35" s="82">
        <v>1</v>
      </c>
      <c r="Q35" s="81">
        <v>0.9</v>
      </c>
      <c r="R35" s="81">
        <v>0.6</v>
      </c>
      <c r="S35" s="81">
        <v>0.5</v>
      </c>
      <c r="T35" s="81">
        <v>0.5</v>
      </c>
      <c r="U35" s="81"/>
      <c r="V35" s="78"/>
      <c r="W35" s="116">
        <f t="shared" si="0"/>
        <v>2.6</v>
      </c>
      <c r="X35" s="117">
        <f t="shared" si="1"/>
        <v>3.5</v>
      </c>
      <c r="Y35" s="70">
        <f t="shared" si="2"/>
        <v>6.1</v>
      </c>
      <c r="Z35" s="71">
        <f>'[1]cálculos teóricos'!I120</f>
        <v>11.190595036682291</v>
      </c>
      <c r="AA35" s="72">
        <f t="shared" si="3"/>
        <v>54.510059384728528</v>
      </c>
      <c r="AB35" s="3"/>
    </row>
    <row r="36" spans="1:28" ht="18" customHeight="1">
      <c r="A36" s="85">
        <v>28</v>
      </c>
      <c r="B36" s="76">
        <v>11.4</v>
      </c>
      <c r="C36" s="74">
        <f>'[1]cálculos teóricos'!K121</f>
        <v>0.97943271164497014</v>
      </c>
      <c r="D36" s="59">
        <f t="shared" si="4"/>
        <v>162.60923857487336</v>
      </c>
      <c r="E36" s="60">
        <f t="shared" si="5"/>
        <v>6.8081236006527979</v>
      </c>
      <c r="F36" s="61">
        <f t="shared" si="6"/>
        <v>8.8392369808159987</v>
      </c>
      <c r="G36" s="62">
        <f>'[1]cálculos teóricos'!T121</f>
        <v>27.547904105531607</v>
      </c>
      <c r="H36" s="75">
        <f t="shared" si="7"/>
        <v>32.086785793047262</v>
      </c>
      <c r="I36" s="79"/>
      <c r="J36" s="81"/>
      <c r="K36" s="81"/>
      <c r="L36" s="81"/>
      <c r="M36" s="81">
        <v>0.8</v>
      </c>
      <c r="N36" s="81">
        <v>0.5</v>
      </c>
      <c r="O36" s="78"/>
      <c r="P36" s="82"/>
      <c r="Q36" s="81">
        <v>0.1</v>
      </c>
      <c r="R36" s="81">
        <v>0.2</v>
      </c>
      <c r="S36" s="81"/>
      <c r="T36" s="81"/>
      <c r="U36" s="81"/>
      <c r="V36" s="78"/>
      <c r="W36" s="116">
        <f t="shared" si="0"/>
        <v>1.3</v>
      </c>
      <c r="X36" s="117">
        <f t="shared" si="1"/>
        <v>0.30000000000000004</v>
      </c>
      <c r="Y36" s="70">
        <f t="shared" si="2"/>
        <v>1.6</v>
      </c>
      <c r="Z36" s="71">
        <f>'[1]cálculos teóricos'!I121</f>
        <v>11.170717696758381</v>
      </c>
      <c r="AA36" s="72">
        <f t="shared" si="3"/>
        <v>14.323162069204402</v>
      </c>
      <c r="AB36" s="3"/>
    </row>
    <row r="37" spans="1:28" ht="18" customHeight="1">
      <c r="A37" s="85">
        <v>29</v>
      </c>
      <c r="B37" s="76">
        <v>14.1</v>
      </c>
      <c r="C37" s="74">
        <f>'[1]cálculos teóricos'!K122</f>
        <v>0.97849908791898976</v>
      </c>
      <c r="D37" s="59">
        <f t="shared" si="4"/>
        <v>200.93023768340575</v>
      </c>
      <c r="E37" s="60">
        <f t="shared" si="5"/>
        <v>8.4125471913288319</v>
      </c>
      <c r="F37" s="61">
        <f t="shared" si="6"/>
        <v>10.844766469161039</v>
      </c>
      <c r="G37" s="62">
        <f>'[1]cálculos teóricos'!T122</f>
        <v>27.372181135458487</v>
      </c>
      <c r="H37" s="75">
        <f t="shared" si="7"/>
        <v>39.619665000362374</v>
      </c>
      <c r="I37" s="79"/>
      <c r="J37" s="81"/>
      <c r="K37" s="81"/>
      <c r="L37" s="81"/>
      <c r="M37" s="81"/>
      <c r="N37" s="81"/>
      <c r="O37" s="78"/>
      <c r="P37" s="82">
        <v>0.9</v>
      </c>
      <c r="Q37" s="81">
        <v>0.6</v>
      </c>
      <c r="R37" s="81">
        <v>0.9</v>
      </c>
      <c r="S37" s="81">
        <v>1</v>
      </c>
      <c r="T37" s="81">
        <v>0.5</v>
      </c>
      <c r="U37" s="81"/>
      <c r="V37" s="78"/>
      <c r="W37" s="116">
        <f t="shared" si="0"/>
        <v>0</v>
      </c>
      <c r="X37" s="117">
        <f t="shared" si="1"/>
        <v>3.9</v>
      </c>
      <c r="Y37" s="70">
        <f t="shared" si="2"/>
        <v>3.9</v>
      </c>
      <c r="Z37" s="71">
        <f>'[1]cálculos teóricos'!I122</f>
        <v>11.15101602443325</v>
      </c>
      <c r="AA37" s="72">
        <f t="shared" si="3"/>
        <v>34.974391494502555</v>
      </c>
      <c r="AB37" s="3"/>
    </row>
    <row r="38" spans="1:28" ht="18" customHeight="1">
      <c r="A38" s="80">
        <v>30</v>
      </c>
      <c r="B38" s="76">
        <v>22.2</v>
      </c>
      <c r="C38" s="74">
        <f>'[1]cálculos teóricos'!K123</f>
        <v>0.97757045254197084</v>
      </c>
      <c r="D38" s="59">
        <f t="shared" si="4"/>
        <v>316.05800974020883</v>
      </c>
      <c r="E38" s="60">
        <f t="shared" si="5"/>
        <v>13.232716751803064</v>
      </c>
      <c r="F38" s="61">
        <f t="shared" si="6"/>
        <v>16.869978419753828</v>
      </c>
      <c r="G38" s="62">
        <f>'[1]cálculos teóricos'!T123</f>
        <v>27.198133032696809</v>
      </c>
      <c r="H38" s="75">
        <f t="shared" si="7"/>
        <v>62.026236872483956</v>
      </c>
      <c r="I38" s="79"/>
      <c r="J38" s="81"/>
      <c r="K38" s="81">
        <v>1</v>
      </c>
      <c r="L38" s="81">
        <v>1</v>
      </c>
      <c r="M38" s="81">
        <v>0.9</v>
      </c>
      <c r="N38" s="81">
        <v>1</v>
      </c>
      <c r="O38" s="78">
        <v>0.8</v>
      </c>
      <c r="P38" s="82">
        <v>0.9</v>
      </c>
      <c r="Q38" s="81">
        <v>0.9</v>
      </c>
      <c r="R38" s="81">
        <v>0.8</v>
      </c>
      <c r="S38" s="81">
        <v>0.8</v>
      </c>
      <c r="T38" s="81">
        <v>0.3</v>
      </c>
      <c r="U38" s="81"/>
      <c r="V38" s="78"/>
      <c r="W38" s="116">
        <f t="shared" si="0"/>
        <v>4.7</v>
      </c>
      <c r="X38" s="117">
        <f t="shared" si="1"/>
        <v>3.7</v>
      </c>
      <c r="Y38" s="126">
        <f t="shared" si="2"/>
        <v>8.4</v>
      </c>
      <c r="Z38" s="71">
        <f>'[1]cálculos teóricos'!I123</f>
        <v>11.131496171473273</v>
      </c>
      <c r="AA38" s="72">
        <f t="shared" si="3"/>
        <v>75.461554049910305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94"/>
      <c r="K39" s="94"/>
      <c r="L39" s="94"/>
      <c r="M39" s="94"/>
      <c r="N39" s="94"/>
      <c r="O39" s="95"/>
      <c r="P39" s="94"/>
      <c r="Q39" s="94"/>
      <c r="R39" s="94"/>
      <c r="S39" s="94"/>
      <c r="T39" s="94"/>
      <c r="U39" s="94"/>
      <c r="V39" s="95"/>
      <c r="W39" s="116"/>
      <c r="X39" s="117"/>
      <c r="Y39" s="99"/>
      <c r="Z39" s="158"/>
      <c r="AA39" s="159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3">
        <f t="shared" ref="J40:V40" si="8">SUM(J9:J39)</f>
        <v>0.7</v>
      </c>
      <c r="K40" s="103">
        <f t="shared" si="8"/>
        <v>7.8000000000000016</v>
      </c>
      <c r="L40" s="103">
        <f t="shared" si="8"/>
        <v>13.9</v>
      </c>
      <c r="M40" s="103">
        <f t="shared" si="8"/>
        <v>19.8</v>
      </c>
      <c r="N40" s="103">
        <f t="shared" si="8"/>
        <v>20.2</v>
      </c>
      <c r="O40" s="103">
        <f t="shared" si="8"/>
        <v>16.7</v>
      </c>
      <c r="P40" s="103">
        <f t="shared" si="8"/>
        <v>17.599999999999998</v>
      </c>
      <c r="Q40" s="103">
        <f t="shared" si="8"/>
        <v>16.100000000000001</v>
      </c>
      <c r="R40" s="103">
        <f t="shared" si="8"/>
        <v>14.799999999999999</v>
      </c>
      <c r="S40" s="103">
        <f t="shared" si="8"/>
        <v>10.9</v>
      </c>
      <c r="T40" s="103">
        <f t="shared" si="8"/>
        <v>7.1000000000000005</v>
      </c>
      <c r="U40" s="103">
        <f t="shared" si="8"/>
        <v>0.4</v>
      </c>
      <c r="V40" s="103">
        <f t="shared" si="8"/>
        <v>0</v>
      </c>
      <c r="W40" s="104">
        <f>SUM(I40:O40)</f>
        <v>79.100000000000009</v>
      </c>
      <c r="X40" s="104">
        <f>SUM(P40:V40)</f>
        <v>66.900000000000006</v>
      </c>
      <c r="Y40" s="104">
        <f>W40+X40</f>
        <v>146</v>
      </c>
      <c r="Z40" s="104">
        <f>SUM(Z9:Z39)</f>
        <v>343.02294632938839</v>
      </c>
      <c r="AA40" s="104">
        <f>SUM(AA9:AA39)</f>
        <v>1275.1359130679109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  <row r="56" spans="1:28" ht="15">
      <c r="B56" s="106" t="s">
        <v>66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9" ht="18" customHeight="1">
      <c r="A1" s="1" t="s">
        <v>67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9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160"/>
      <c r="X2" s="3"/>
      <c r="Y2" s="3"/>
      <c r="Z2" s="3"/>
      <c r="AA2" s="3"/>
      <c r="AB2" s="3"/>
    </row>
    <row r="3" spans="1:29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68</v>
      </c>
      <c r="W3" s="3"/>
      <c r="X3" s="6"/>
      <c r="Y3" s="6"/>
      <c r="Z3" s="6"/>
      <c r="AA3" s="6"/>
      <c r="AB3" s="3"/>
    </row>
    <row r="4" spans="1:29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9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9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9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9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161"/>
    </row>
    <row r="9" spans="1:29" ht="18" customHeight="1">
      <c r="A9" s="111">
        <v>1</v>
      </c>
      <c r="B9" s="57">
        <v>23</v>
      </c>
      <c r="C9" s="74">
        <f>'[1]cálculos teóricos'!K124</f>
        <v>0.97664731215234668</v>
      </c>
      <c r="D9" s="59">
        <f>IF(B9&gt;0,B9*C9*14.25*1.022,-999)</f>
        <v>327.13827200220612</v>
      </c>
      <c r="E9" s="60">
        <f>IF(B9&gt;0,D9*4.1868/100,-999)</f>
        <v>13.696625172188364</v>
      </c>
      <c r="F9" s="61">
        <f>IF(B9&gt;0,(7.86+1.25*D9)*4.1868/100,-999)</f>
        <v>17.449863945235457</v>
      </c>
      <c r="G9" s="62">
        <f>'[1]cálculos teóricos'!T124</f>
        <v>27.025832696871763</v>
      </c>
      <c r="H9" s="63">
        <f>IF(B9&gt;0,100*F9/G9,-999)</f>
        <v>64.567349842490799</v>
      </c>
      <c r="I9" s="64"/>
      <c r="J9" s="64"/>
      <c r="K9" s="64">
        <v>0.6</v>
      </c>
      <c r="L9" s="64">
        <v>0.6</v>
      </c>
      <c r="M9" s="64">
        <v>0.9</v>
      </c>
      <c r="N9" s="153">
        <v>1</v>
      </c>
      <c r="O9" s="65">
        <v>0.8</v>
      </c>
      <c r="P9" s="64">
        <v>0.9</v>
      </c>
      <c r="Q9" s="64">
        <v>1</v>
      </c>
      <c r="R9" s="64">
        <v>1</v>
      </c>
      <c r="S9" s="64">
        <v>1</v>
      </c>
      <c r="T9" s="64"/>
      <c r="U9" s="64"/>
      <c r="V9" s="65"/>
      <c r="W9" s="116">
        <f t="shared" ref="W9:W40" si="0">SUM(I9:O9)</f>
        <v>3.9000000000000004</v>
      </c>
      <c r="X9" s="117">
        <f>SUM(P9:V9)</f>
        <v>3.9</v>
      </c>
      <c r="Y9" s="118">
        <f>W9+X9</f>
        <v>7.8000000000000007</v>
      </c>
      <c r="Z9" s="71">
        <f>'[1]cálculos teóricos'!I124</f>
        <v>11.112164410845079</v>
      </c>
      <c r="AA9" s="72">
        <f>100*Y9/Z9</f>
        <v>70.193345883070961</v>
      </c>
      <c r="AB9" s="162"/>
      <c r="AC9" s="163"/>
    </row>
    <row r="10" spans="1:29" ht="18" customHeight="1">
      <c r="A10" s="111">
        <v>2</v>
      </c>
      <c r="B10" s="57">
        <v>24.1</v>
      </c>
      <c r="C10" s="74">
        <f>'[1]cálculos teóricos'!K125</f>
        <v>0.97573017659260319</v>
      </c>
      <c r="D10" s="59">
        <f>IF(B10&gt;0,B10*C10*14.25*1.022,-999)</f>
        <v>342.46211888603375</v>
      </c>
      <c r="E10" s="60">
        <f>IF(B10&gt;0,D10*4.1868/100,-999)</f>
        <v>14.338203993520461</v>
      </c>
      <c r="F10" s="61">
        <f>IF(B10&gt;0,(7.86+1.25*D10)*4.1868/100,-999)</f>
        <v>18.251837471900576</v>
      </c>
      <c r="G10" s="62">
        <f>'[1]cálculos teóricos'!T125</f>
        <v>26.855352608387982</v>
      </c>
      <c r="H10" s="75">
        <f>IF(B10&gt;0,100*F10/G10,-999)</f>
        <v>67.963499634705258</v>
      </c>
      <c r="I10" s="57"/>
      <c r="J10" s="82"/>
      <c r="K10" s="82">
        <v>0.7</v>
      </c>
      <c r="L10" s="82">
        <v>1</v>
      </c>
      <c r="M10" s="82">
        <v>1</v>
      </c>
      <c r="N10" s="82">
        <v>1</v>
      </c>
      <c r="O10" s="77">
        <v>1</v>
      </c>
      <c r="P10" s="79">
        <v>1</v>
      </c>
      <c r="Q10" s="79">
        <v>0.8</v>
      </c>
      <c r="R10" s="76">
        <v>1</v>
      </c>
      <c r="S10" s="76">
        <v>1</v>
      </c>
      <c r="T10" s="76">
        <v>0.5</v>
      </c>
      <c r="U10" s="76"/>
      <c r="V10" s="78"/>
      <c r="W10" s="116">
        <f t="shared" si="0"/>
        <v>4.7</v>
      </c>
      <c r="X10" s="117">
        <f t="shared" ref="X10:X39" si="1">SUM(P10:V10)</f>
        <v>4.3</v>
      </c>
      <c r="Y10" s="70">
        <f t="shared" ref="Y10:Y39" si="2">W10+X10</f>
        <v>9</v>
      </c>
      <c r="Z10" s="71">
        <f>'[1]cálculos teóricos'!I125</f>
        <v>11.093027134706757</v>
      </c>
      <c r="AA10" s="72">
        <f t="shared" ref="AA10:AA39" si="3">100*Y10/Z10</f>
        <v>81.132047102289121</v>
      </c>
      <c r="AB10" s="162"/>
      <c r="AC10" s="163"/>
    </row>
    <row r="11" spans="1:29" ht="18" customHeight="1">
      <c r="A11" s="111">
        <v>3</v>
      </c>
      <c r="B11" s="57">
        <v>21.7</v>
      </c>
      <c r="C11" s="74">
        <f>'[1]cálculos teóricos'!K126</f>
        <v>0.97481955853411284</v>
      </c>
      <c r="D11" s="59">
        <f t="shared" ref="D11:D39" si="4">IF(B11&gt;0,B11*C11*14.25*1.022,-999)</f>
        <v>308.07022670344065</v>
      </c>
      <c r="E11" s="60">
        <f t="shared" ref="E11:E39" si="5">IF(B11&gt;0,D11*4.1868/100,-999)</f>
        <v>12.898284251619652</v>
      </c>
      <c r="F11" s="61">
        <f t="shared" ref="F11:F39" si="6">IF(B11&gt;0,(7.86+1.25*D11)*4.1868/100,-999)</f>
        <v>16.451937794524568</v>
      </c>
      <c r="G11" s="62">
        <f>'[1]cálculos teóricos'!T126</f>
        <v>26.686764785681291</v>
      </c>
      <c r="H11" s="75">
        <f t="shared" ref="H11:H39" si="7">IF(B11&gt;0,100*F11/G11,-999)</f>
        <v>61.648303669059985</v>
      </c>
      <c r="I11" s="57"/>
      <c r="J11" s="82"/>
      <c r="K11" s="82">
        <v>0.3</v>
      </c>
      <c r="L11" s="82">
        <v>0.9</v>
      </c>
      <c r="M11" s="82">
        <v>1</v>
      </c>
      <c r="N11" s="82">
        <v>1</v>
      </c>
      <c r="O11" s="77">
        <v>1</v>
      </c>
      <c r="P11" s="79">
        <v>1</v>
      </c>
      <c r="Q11" s="79">
        <v>0.8</v>
      </c>
      <c r="R11" s="76">
        <v>0.9</v>
      </c>
      <c r="S11" s="76">
        <v>0.3</v>
      </c>
      <c r="T11" s="76"/>
      <c r="U11" s="76"/>
      <c r="V11" s="78"/>
      <c r="W11" s="116">
        <f t="shared" si="0"/>
        <v>4.2</v>
      </c>
      <c r="X11" s="117">
        <f t="shared" si="1"/>
        <v>3</v>
      </c>
      <c r="Y11" s="70">
        <f t="shared" si="2"/>
        <v>7.2</v>
      </c>
      <c r="Z11" s="71">
        <f>'[1]cálculos teóricos'!I126</f>
        <v>11.074090851918852</v>
      </c>
      <c r="AA11" s="72">
        <f t="shared" si="3"/>
        <v>65.016623904186474</v>
      </c>
      <c r="AB11" s="162"/>
      <c r="AC11" s="163"/>
    </row>
    <row r="12" spans="1:29" ht="18" customHeight="1">
      <c r="A12" s="111">
        <v>4</v>
      </c>
      <c r="B12" s="57">
        <v>21.7</v>
      </c>
      <c r="C12" s="74">
        <f>'[1]cálculos teóricos'!K127</f>
        <v>0.97391597308657185</v>
      </c>
      <c r="D12" s="59">
        <f t="shared" si="4"/>
        <v>307.78466844680446</v>
      </c>
      <c r="E12" s="60">
        <f t="shared" si="5"/>
        <v>12.886328498530808</v>
      </c>
      <c r="F12" s="61">
        <f t="shared" si="6"/>
        <v>16.436993103163513</v>
      </c>
      <c r="G12" s="62">
        <f>'[1]cálculos teóricos'!T127</f>
        <v>26.520140742037025</v>
      </c>
      <c r="H12" s="75">
        <f t="shared" si="7"/>
        <v>61.979283077895836</v>
      </c>
      <c r="I12" s="57"/>
      <c r="J12" s="82"/>
      <c r="K12" s="82">
        <v>0.3</v>
      </c>
      <c r="L12" s="82">
        <v>1</v>
      </c>
      <c r="M12" s="82">
        <v>1</v>
      </c>
      <c r="N12" s="82">
        <v>1</v>
      </c>
      <c r="O12" s="77">
        <v>1</v>
      </c>
      <c r="P12" s="79">
        <v>1</v>
      </c>
      <c r="Q12" s="79">
        <v>0.8</v>
      </c>
      <c r="R12" s="76">
        <v>0.9</v>
      </c>
      <c r="S12" s="76">
        <v>0.9</v>
      </c>
      <c r="T12" s="76">
        <v>0.3</v>
      </c>
      <c r="U12" s="76"/>
      <c r="V12" s="78"/>
      <c r="W12" s="116">
        <f t="shared" si="0"/>
        <v>4.3</v>
      </c>
      <c r="X12" s="117">
        <f t="shared" si="1"/>
        <v>3.9</v>
      </c>
      <c r="Y12" s="70">
        <f t="shared" si="2"/>
        <v>8.1999999999999993</v>
      </c>
      <c r="Z12" s="71">
        <f>'[1]cálculos teóricos'!I127</f>
        <v>11.055362185063325</v>
      </c>
      <c r="AA12" s="72">
        <f t="shared" si="3"/>
        <v>74.172151601499337</v>
      </c>
      <c r="AB12" s="162"/>
      <c r="AC12" s="163"/>
    </row>
    <row r="13" spans="1:29" ht="18" customHeight="1">
      <c r="A13" s="73">
        <v>5</v>
      </c>
      <c r="B13" s="57">
        <v>22.7</v>
      </c>
      <c r="C13" s="74">
        <f>'[1]cálculos teóricos'!K128</f>
        <v>0.97301993739218018</v>
      </c>
      <c r="D13" s="59">
        <f t="shared" si="4"/>
        <v>321.6720719813901</v>
      </c>
      <c r="E13" s="60">
        <f t="shared" si="5"/>
        <v>13.46776630971684</v>
      </c>
      <c r="F13" s="61">
        <f t="shared" si="6"/>
        <v>17.163790367146053</v>
      </c>
      <c r="G13" s="62">
        <f>'[1]cálculos teóricos'!T128</f>
        <v>26.355551442021564</v>
      </c>
      <c r="H13" s="75">
        <f t="shared" si="7"/>
        <v>65.124003968970001</v>
      </c>
      <c r="I13" s="57"/>
      <c r="J13" s="82">
        <v>0.2</v>
      </c>
      <c r="K13" s="82">
        <v>0.8</v>
      </c>
      <c r="L13" s="82">
        <v>1</v>
      </c>
      <c r="M13" s="82">
        <v>1</v>
      </c>
      <c r="N13" s="82">
        <v>1</v>
      </c>
      <c r="O13" s="77">
        <v>1</v>
      </c>
      <c r="P13" s="79">
        <v>1</v>
      </c>
      <c r="Q13" s="79">
        <v>0.9</v>
      </c>
      <c r="R13" s="76">
        <v>1</v>
      </c>
      <c r="S13" s="76">
        <v>1</v>
      </c>
      <c r="T13" s="76">
        <v>0.7</v>
      </c>
      <c r="U13" s="76"/>
      <c r="V13" s="78"/>
      <c r="W13" s="116">
        <f t="shared" si="0"/>
        <v>5</v>
      </c>
      <c r="X13" s="117">
        <f t="shared" si="1"/>
        <v>4.5999999999999996</v>
      </c>
      <c r="Y13" s="70">
        <f t="shared" si="2"/>
        <v>9.6</v>
      </c>
      <c r="Z13" s="71">
        <f>'[1]cálculos teóricos'!I128</f>
        <v>11.036847866959667</v>
      </c>
      <c r="AA13" s="72">
        <f t="shared" si="3"/>
        <v>86.981356594928982</v>
      </c>
      <c r="AB13" s="162"/>
      <c r="AC13" s="163"/>
    </row>
    <row r="14" spans="1:29" ht="18" customHeight="1">
      <c r="A14" s="111">
        <v>6</v>
      </c>
      <c r="B14" s="57">
        <v>21.2</v>
      </c>
      <c r="C14" s="74">
        <f>'[1]cálculos teóricos'!K129</f>
        <v>0.97213197020477449</v>
      </c>
      <c r="D14" s="59">
        <f t="shared" si="4"/>
        <v>300.14205169923736</v>
      </c>
      <c r="E14" s="60">
        <f t="shared" si="5"/>
        <v>12.566347420543668</v>
      </c>
      <c r="F14" s="61">
        <f t="shared" si="6"/>
        <v>16.037016755679584</v>
      </c>
      <c r="G14" s="62">
        <f>'[1]cálculos teóricos'!T129</f>
        <v>26.193067257577663</v>
      </c>
      <c r="H14" s="75">
        <f t="shared" si="7"/>
        <v>61.226188586371336</v>
      </c>
      <c r="I14" s="57"/>
      <c r="J14" s="82"/>
      <c r="K14" s="82">
        <v>0.6</v>
      </c>
      <c r="L14" s="82">
        <v>1</v>
      </c>
      <c r="M14" s="82">
        <v>1</v>
      </c>
      <c r="N14" s="82">
        <v>1</v>
      </c>
      <c r="O14" s="77">
        <v>1</v>
      </c>
      <c r="P14" s="79">
        <v>1</v>
      </c>
      <c r="Q14" s="79">
        <v>0.9</v>
      </c>
      <c r="R14" s="76">
        <v>0.6</v>
      </c>
      <c r="S14" s="76">
        <v>0.1</v>
      </c>
      <c r="T14" s="76"/>
      <c r="U14" s="76"/>
      <c r="V14" s="78"/>
      <c r="W14" s="116">
        <f t="shared" si="0"/>
        <v>4.5999999999999996</v>
      </c>
      <c r="X14" s="117">
        <f t="shared" si="1"/>
        <v>2.6</v>
      </c>
      <c r="Y14" s="70">
        <f t="shared" si="2"/>
        <v>7.1999999999999993</v>
      </c>
      <c r="Z14" s="71">
        <f>'[1]cálculos teóricos'!I129</f>
        <v>11.018554736668527</v>
      </c>
      <c r="AA14" s="72">
        <f t="shared" si="3"/>
        <v>65.344323026677884</v>
      </c>
      <c r="AB14" s="162"/>
      <c r="AC14" s="163"/>
    </row>
    <row r="15" spans="1:29" ht="18" customHeight="1">
      <c r="A15" s="73">
        <v>7</v>
      </c>
      <c r="B15" s="57">
        <v>20.3</v>
      </c>
      <c r="C15" s="74">
        <f>'[1]cálculos teóricos'!K130</f>
        <v>0.97125259145418985</v>
      </c>
      <c r="D15" s="59">
        <f t="shared" si="4"/>
        <v>287.14019344755479</v>
      </c>
      <c r="E15" s="60">
        <f t="shared" si="5"/>
        <v>12.021985619262223</v>
      </c>
      <c r="F15" s="61">
        <f t="shared" si="6"/>
        <v>15.356564504077781</v>
      </c>
      <c r="G15" s="62">
        <f>'[1]cálculos teóricos'!T130</f>
        <v>26.032757923837824</v>
      </c>
      <c r="H15" s="75">
        <f t="shared" si="7"/>
        <v>58.98938771299369</v>
      </c>
      <c r="I15" s="57"/>
      <c r="J15" s="82"/>
      <c r="K15" s="82">
        <v>0.8</v>
      </c>
      <c r="L15" s="82">
        <v>1</v>
      </c>
      <c r="M15" s="82">
        <v>1</v>
      </c>
      <c r="N15" s="82">
        <v>1</v>
      </c>
      <c r="O15" s="77">
        <v>1</v>
      </c>
      <c r="P15" s="79">
        <v>1</v>
      </c>
      <c r="Q15" s="79">
        <v>0.9</v>
      </c>
      <c r="R15" s="76">
        <v>0.7</v>
      </c>
      <c r="S15" s="76">
        <v>0.7</v>
      </c>
      <c r="T15" s="76">
        <v>0.1</v>
      </c>
      <c r="U15" s="76"/>
      <c r="V15" s="78"/>
      <c r="W15" s="116">
        <f t="shared" si="0"/>
        <v>4.8</v>
      </c>
      <c r="X15" s="117">
        <f t="shared" si="1"/>
        <v>3.4</v>
      </c>
      <c r="Y15" s="70">
        <f t="shared" si="2"/>
        <v>8.1999999999999993</v>
      </c>
      <c r="Z15" s="71">
        <f>'[1]cálculos teóricos'!I130</f>
        <v>11.000489734974462</v>
      </c>
      <c r="AA15" s="72">
        <f t="shared" si="3"/>
        <v>74.542135828092157</v>
      </c>
      <c r="AB15" s="162"/>
      <c r="AC15" s="163"/>
    </row>
    <row r="16" spans="1:29" ht="18" customHeight="1">
      <c r="A16" s="80">
        <v>8</v>
      </c>
      <c r="B16" s="76">
        <v>23.4</v>
      </c>
      <c r="C16" s="74">
        <f>'[1]cálculos teóricos'!K131</f>
        <v>0.97038232179618111</v>
      </c>
      <c r="D16" s="59">
        <f t="shared" si="4"/>
        <v>330.69261287740119</v>
      </c>
      <c r="E16" s="60">
        <f t="shared" si="5"/>
        <v>13.845438315951032</v>
      </c>
      <c r="F16" s="61">
        <f t="shared" si="6"/>
        <v>17.63588037493879</v>
      </c>
      <c r="G16" s="62">
        <f>'[1]cálculos teóricos'!T131</f>
        <v>25.874692494713734</v>
      </c>
      <c r="H16" s="75">
        <f t="shared" si="7"/>
        <v>68.158801804279776</v>
      </c>
      <c r="I16" s="79"/>
      <c r="J16" s="81"/>
      <c r="K16" s="81">
        <v>0.6</v>
      </c>
      <c r="L16" s="81">
        <v>1</v>
      </c>
      <c r="M16" s="81">
        <v>1</v>
      </c>
      <c r="N16" s="82">
        <v>1</v>
      </c>
      <c r="O16" s="78">
        <v>1</v>
      </c>
      <c r="P16" s="82">
        <v>1</v>
      </c>
      <c r="Q16" s="82">
        <v>1</v>
      </c>
      <c r="R16" s="81">
        <v>1</v>
      </c>
      <c r="S16" s="81">
        <v>1</v>
      </c>
      <c r="T16" s="81">
        <v>0.3</v>
      </c>
      <c r="U16" s="81"/>
      <c r="V16" s="78"/>
      <c r="W16" s="116">
        <f t="shared" si="0"/>
        <v>4.5999999999999996</v>
      </c>
      <c r="X16" s="117">
        <f t="shared" si="1"/>
        <v>4.3</v>
      </c>
      <c r="Y16" s="70">
        <f t="shared" si="2"/>
        <v>8.8999999999999986</v>
      </c>
      <c r="Z16" s="71">
        <f>'[1]cálculos teóricos'!I131</f>
        <v>10.982659899340732</v>
      </c>
      <c r="AA16" s="72">
        <f t="shared" si="3"/>
        <v>81.036835170815493</v>
      </c>
      <c r="AB16" s="162"/>
      <c r="AC16" s="163"/>
    </row>
    <row r="17" spans="1:29" ht="18" customHeight="1">
      <c r="A17" s="80">
        <v>9</v>
      </c>
      <c r="B17" s="76">
        <v>23.4</v>
      </c>
      <c r="C17" s="74">
        <f>'[1]cálculos teóricos'!K132</f>
        <v>0.96952168214831635</v>
      </c>
      <c r="D17" s="59">
        <f t="shared" si="4"/>
        <v>330.39931902042792</v>
      </c>
      <c r="E17" s="60">
        <f t="shared" si="5"/>
        <v>13.833158688747275</v>
      </c>
      <c r="F17" s="61">
        <f t="shared" si="6"/>
        <v>17.620530840934094</v>
      </c>
      <c r="G17" s="62">
        <f>'[1]cálculos teóricos'!T132</f>
        <v>25.718939298322645</v>
      </c>
      <c r="H17" s="75">
        <f t="shared" si="7"/>
        <v>68.511887821451793</v>
      </c>
      <c r="I17" s="79"/>
      <c r="J17" s="81">
        <v>0.2</v>
      </c>
      <c r="K17" s="81">
        <v>1</v>
      </c>
      <c r="L17" s="81">
        <v>1</v>
      </c>
      <c r="M17" s="81">
        <v>1</v>
      </c>
      <c r="N17" s="82">
        <v>1</v>
      </c>
      <c r="O17" s="78">
        <v>1</v>
      </c>
      <c r="P17" s="82">
        <v>1</v>
      </c>
      <c r="Q17" s="82">
        <v>1</v>
      </c>
      <c r="R17" s="81">
        <v>1</v>
      </c>
      <c r="S17" s="81">
        <v>1</v>
      </c>
      <c r="T17" s="81">
        <v>0.7</v>
      </c>
      <c r="U17" s="81"/>
      <c r="V17" s="78"/>
      <c r="W17" s="116">
        <f t="shared" si="0"/>
        <v>5.2</v>
      </c>
      <c r="X17" s="117">
        <f t="shared" si="1"/>
        <v>4.7</v>
      </c>
      <c r="Y17" s="70">
        <f t="shared" si="2"/>
        <v>9.9</v>
      </c>
      <c r="Z17" s="71">
        <f>'[1]cálculos teóricos'!I132</f>
        <v>10.965072358330648</v>
      </c>
      <c r="AA17" s="72">
        <f t="shared" si="3"/>
        <v>90.286681897530158</v>
      </c>
      <c r="AB17" s="162"/>
      <c r="AC17" s="163"/>
    </row>
    <row r="18" spans="1:29" ht="18" customHeight="1">
      <c r="A18" s="80">
        <v>10</v>
      </c>
      <c r="B18" s="76">
        <v>7.9</v>
      </c>
      <c r="C18" s="74">
        <f>'[1]cálculos teóricos'!K133</f>
        <v>0.96867119321230488</v>
      </c>
      <c r="D18" s="59">
        <f t="shared" si="4"/>
        <v>111.44721908654449</v>
      </c>
      <c r="E18" s="60">
        <f t="shared" si="5"/>
        <v>4.6660721687154449</v>
      </c>
      <c r="F18" s="61">
        <f t="shared" si="6"/>
        <v>6.1616726908943065</v>
      </c>
      <c r="G18" s="62">
        <f>'[1]cálculos teóricos'!T133</f>
        <v>25.565565892314495</v>
      </c>
      <c r="H18" s="75">
        <f t="shared" si="7"/>
        <v>24.101452386573712</v>
      </c>
      <c r="I18" s="79"/>
      <c r="J18" s="81"/>
      <c r="K18" s="81"/>
      <c r="L18" s="81">
        <v>0.1</v>
      </c>
      <c r="M18" s="81">
        <v>0.7</v>
      </c>
      <c r="N18" s="82"/>
      <c r="O18" s="77"/>
      <c r="P18" s="82"/>
      <c r="Q18" s="82"/>
      <c r="R18" s="81"/>
      <c r="S18" s="81"/>
      <c r="T18" s="81"/>
      <c r="U18" s="81"/>
      <c r="V18" s="78"/>
      <c r="W18" s="116">
        <f t="shared" si="0"/>
        <v>0.79999999999999993</v>
      </c>
      <c r="X18" s="117">
        <f t="shared" si="1"/>
        <v>0</v>
      </c>
      <c r="Y18" s="70">
        <f t="shared" si="2"/>
        <v>0.79999999999999993</v>
      </c>
      <c r="Z18" s="71">
        <f>'[1]cálculos teóricos'!I133</f>
        <v>10.947734325491757</v>
      </c>
      <c r="AA18" s="72">
        <f t="shared" si="3"/>
        <v>7.3074480638172146</v>
      </c>
      <c r="AB18" s="162"/>
      <c r="AC18" s="163"/>
    </row>
    <row r="19" spans="1:29" ht="18" customHeight="1">
      <c r="A19" s="85">
        <v>11</v>
      </c>
      <c r="B19" s="76">
        <v>6.2</v>
      </c>
      <c r="C19" s="74">
        <f>'[1]cálculos teóricos'!K134</f>
        <v>0.9678313749832993</v>
      </c>
      <c r="D19" s="59">
        <f t="shared" si="4"/>
        <v>87.389075823329549</v>
      </c>
      <c r="E19" s="60">
        <f t="shared" si="5"/>
        <v>3.6588058265711614</v>
      </c>
      <c r="F19" s="61">
        <f t="shared" si="6"/>
        <v>4.9025897632139523</v>
      </c>
      <c r="G19" s="62">
        <f>'[1]cálculos teóricos'!T134</f>
        <v>25.414639019166131</v>
      </c>
      <c r="H19" s="75">
        <f t="shared" si="7"/>
        <v>19.290416674880667</v>
      </c>
      <c r="I19" s="79"/>
      <c r="J19" s="81"/>
      <c r="K19" s="81"/>
      <c r="L19" s="81"/>
      <c r="M19" s="81"/>
      <c r="N19" s="81"/>
      <c r="O19" s="78"/>
      <c r="P19" s="82"/>
      <c r="Q19" s="82"/>
      <c r="R19" s="81"/>
      <c r="S19" s="81"/>
      <c r="T19" s="81"/>
      <c r="U19" s="81"/>
      <c r="V19" s="78"/>
      <c r="W19" s="116">
        <f t="shared" si="0"/>
        <v>0</v>
      </c>
      <c r="X19" s="117">
        <f t="shared" si="1"/>
        <v>0</v>
      </c>
      <c r="Y19" s="70">
        <f t="shared" si="2"/>
        <v>0</v>
      </c>
      <c r="Z19" s="71">
        <f>'[1]cálculos teóricos'!I134</f>
        <v>10.930653092700721</v>
      </c>
      <c r="AA19" s="72">
        <f t="shared" si="3"/>
        <v>0</v>
      </c>
      <c r="AB19" s="162"/>
      <c r="AC19" s="163"/>
    </row>
    <row r="20" spans="1:29" ht="18" customHeight="1">
      <c r="A20" s="85">
        <v>12</v>
      </c>
      <c r="B20" s="76">
        <v>13.2</v>
      </c>
      <c r="C20" s="74">
        <f>'[1]cálculos teóricos'!K135</f>
        <v>0.96700274624676985</v>
      </c>
      <c r="D20" s="59">
        <f t="shared" si="4"/>
        <v>185.89486733353579</v>
      </c>
      <c r="E20" s="60">
        <f t="shared" si="5"/>
        <v>7.7830463055204753</v>
      </c>
      <c r="F20" s="61">
        <f t="shared" si="6"/>
        <v>10.057890361900595</v>
      </c>
      <c r="G20" s="62">
        <f>'[1]cálculos teóricos'!T135</f>
        <v>25.26622456151059</v>
      </c>
      <c r="H20" s="75">
        <f t="shared" si="7"/>
        <v>39.807650475893915</v>
      </c>
      <c r="I20" s="79"/>
      <c r="J20" s="81"/>
      <c r="K20" s="81">
        <v>0.9</v>
      </c>
      <c r="L20" s="81">
        <v>0.9</v>
      </c>
      <c r="M20" s="81">
        <v>0.2</v>
      </c>
      <c r="N20" s="81"/>
      <c r="O20" s="78">
        <v>0.8</v>
      </c>
      <c r="P20" s="82">
        <v>0.4</v>
      </c>
      <c r="Q20" s="82">
        <v>0.1</v>
      </c>
      <c r="R20" s="81">
        <v>0.4</v>
      </c>
      <c r="S20" s="81"/>
      <c r="T20" s="81"/>
      <c r="U20" s="81"/>
      <c r="V20" s="78"/>
      <c r="W20" s="116">
        <f t="shared" si="0"/>
        <v>2.8</v>
      </c>
      <c r="X20" s="117">
        <f t="shared" si="1"/>
        <v>0.9</v>
      </c>
      <c r="Y20" s="70">
        <f t="shared" si="2"/>
        <v>3.6999999999999997</v>
      </c>
      <c r="Z20" s="71">
        <f>'[1]cálculos teóricos'!I135</f>
        <v>10.913836022969011</v>
      </c>
      <c r="AA20" s="72">
        <f t="shared" si="3"/>
        <v>33.901920389980795</v>
      </c>
      <c r="AB20" s="162"/>
      <c r="AC20" s="163"/>
    </row>
    <row r="21" spans="1:29" ht="18" customHeight="1">
      <c r="A21" s="85">
        <v>13</v>
      </c>
      <c r="B21" s="76">
        <v>19.3</v>
      </c>
      <c r="C21" s="74">
        <f>'[1]cálculos teóricos'!K136</f>
        <v>0.96618582406361775</v>
      </c>
      <c r="D21" s="59">
        <f t="shared" si="4"/>
        <v>271.57121190088458</v>
      </c>
      <c r="E21" s="60">
        <f t="shared" si="5"/>
        <v>11.370143499866236</v>
      </c>
      <c r="F21" s="61">
        <f t="shared" si="6"/>
        <v>14.541761854832794</v>
      </c>
      <c r="G21" s="62">
        <f>'[1]cálculos teóricos'!T136</f>
        <v>25.120387497571706</v>
      </c>
      <c r="H21" s="75">
        <f t="shared" si="7"/>
        <v>57.888286381882011</v>
      </c>
      <c r="I21" s="79"/>
      <c r="J21" s="81"/>
      <c r="K21" s="81">
        <v>0.8</v>
      </c>
      <c r="L21" s="81">
        <v>1</v>
      </c>
      <c r="M21" s="81">
        <v>1</v>
      </c>
      <c r="N21" s="81">
        <v>1</v>
      </c>
      <c r="O21" s="78">
        <v>0.5</v>
      </c>
      <c r="P21" s="82">
        <v>0.8</v>
      </c>
      <c r="Q21" s="82">
        <v>0.6</v>
      </c>
      <c r="R21" s="81">
        <v>0.9</v>
      </c>
      <c r="S21" s="81">
        <v>1</v>
      </c>
      <c r="T21" s="81">
        <v>0.9</v>
      </c>
      <c r="U21" s="81"/>
      <c r="V21" s="78"/>
      <c r="W21" s="116">
        <f t="shared" si="0"/>
        <v>4.3</v>
      </c>
      <c r="X21" s="117">
        <f t="shared" si="1"/>
        <v>4.2</v>
      </c>
      <c r="Y21" s="70">
        <f t="shared" si="2"/>
        <v>8.5</v>
      </c>
      <c r="Z21" s="71">
        <f>'[1]cálculos teóricos'!I136</f>
        <v>10.897290542711382</v>
      </c>
      <c r="AA21" s="72">
        <f t="shared" si="3"/>
        <v>78.001040411693879</v>
      </c>
      <c r="AB21" s="162"/>
      <c r="AC21" s="163"/>
    </row>
    <row r="22" spans="1:29" ht="18" customHeight="1">
      <c r="A22" s="85">
        <v>14</v>
      </c>
      <c r="B22" s="76">
        <v>20.8</v>
      </c>
      <c r="C22" s="74">
        <f>'[1]cálculos teóricos'!K137</f>
        <v>0.96538112324425585</v>
      </c>
      <c r="D22" s="59">
        <f t="shared" si="4"/>
        <v>292.43402215804855</v>
      </c>
      <c r="E22" s="60">
        <f t="shared" si="5"/>
        <v>12.243627639713177</v>
      </c>
      <c r="F22" s="61">
        <f t="shared" si="6"/>
        <v>15.633617029641471</v>
      </c>
      <c r="G22" s="62">
        <f>'[1]cálculos teóricos'!T137</f>
        <v>24.977191856775008</v>
      </c>
      <c r="H22" s="75">
        <f t="shared" si="7"/>
        <v>62.591572020138393</v>
      </c>
      <c r="I22" s="79"/>
      <c r="J22" s="81"/>
      <c r="K22" s="81">
        <v>0.5</v>
      </c>
      <c r="L22" s="81">
        <v>0.6</v>
      </c>
      <c r="M22" s="81">
        <v>1</v>
      </c>
      <c r="N22" s="81">
        <v>1</v>
      </c>
      <c r="O22" s="78">
        <v>1</v>
      </c>
      <c r="P22" s="82">
        <v>1</v>
      </c>
      <c r="Q22" s="82">
        <v>0.8</v>
      </c>
      <c r="R22" s="81">
        <v>1</v>
      </c>
      <c r="S22" s="81">
        <v>1</v>
      </c>
      <c r="T22" s="81">
        <v>0.4</v>
      </c>
      <c r="U22" s="81"/>
      <c r="V22" s="78"/>
      <c r="W22" s="116">
        <f t="shared" si="0"/>
        <v>4.0999999999999996</v>
      </c>
      <c r="X22" s="117">
        <f t="shared" si="1"/>
        <v>4.2</v>
      </c>
      <c r="Y22" s="70">
        <f t="shared" si="2"/>
        <v>8.3000000000000007</v>
      </c>
      <c r="Z22" s="71">
        <f>'[1]cálculos teóricos'!I137</f>
        <v>10.881024133481446</v>
      </c>
      <c r="AA22" s="72">
        <f t="shared" si="3"/>
        <v>76.279584515031928</v>
      </c>
      <c r="AB22" s="162"/>
      <c r="AC22" s="163"/>
    </row>
    <row r="23" spans="1:29" ht="18" customHeight="1">
      <c r="A23" s="85">
        <v>15</v>
      </c>
      <c r="B23" s="76">
        <v>24.3</v>
      </c>
      <c r="C23" s="74">
        <f>'[1]cálculos teóricos'!K138</f>
        <v>0.96458915581244764</v>
      </c>
      <c r="D23" s="59">
        <f t="shared" si="4"/>
        <v>341.36139834739237</v>
      </c>
      <c r="E23" s="60">
        <f t="shared" si="5"/>
        <v>14.292119026008622</v>
      </c>
      <c r="F23" s="61">
        <f t="shared" si="6"/>
        <v>18.19423126251078</v>
      </c>
      <c r="G23" s="62">
        <f>'[1]cálculos teóricos'!T138</f>
        <v>24.836700675606831</v>
      </c>
      <c r="H23" s="75">
        <f t="shared" si="7"/>
        <v>73.255427522948324</v>
      </c>
      <c r="I23" s="79"/>
      <c r="J23" s="81"/>
      <c r="K23" s="81">
        <v>0.7</v>
      </c>
      <c r="L23" s="81">
        <v>1</v>
      </c>
      <c r="M23" s="81">
        <v>1</v>
      </c>
      <c r="N23" s="81">
        <v>1</v>
      </c>
      <c r="O23" s="78">
        <v>1</v>
      </c>
      <c r="P23" s="82">
        <v>1</v>
      </c>
      <c r="Q23" s="82">
        <v>1</v>
      </c>
      <c r="R23" s="81">
        <v>1</v>
      </c>
      <c r="S23" s="81">
        <v>0.9</v>
      </c>
      <c r="T23" s="81">
        <v>0.6</v>
      </c>
      <c r="U23" s="81"/>
      <c r="V23" s="78"/>
      <c r="W23" s="116">
        <f t="shared" si="0"/>
        <v>4.7</v>
      </c>
      <c r="X23" s="117">
        <f t="shared" si="1"/>
        <v>4.5</v>
      </c>
      <c r="Y23" s="70">
        <f t="shared" si="2"/>
        <v>9.1999999999999993</v>
      </c>
      <c r="Z23" s="71">
        <f>'[1]cálculos teóricos'!I138</f>
        <v>10.865044323181046</v>
      </c>
      <c r="AA23" s="72">
        <f t="shared" si="3"/>
        <v>84.67521830878681</v>
      </c>
      <c r="AB23" s="162"/>
      <c r="AC23" s="163"/>
    </row>
    <row r="24" spans="1:29" ht="18" customHeight="1">
      <c r="A24" s="85">
        <v>16</v>
      </c>
      <c r="B24" s="76">
        <v>21.5</v>
      </c>
      <c r="C24" s="74">
        <f>'[1]cálculos teóricos'!K139</f>
        <v>0.96381043045975534</v>
      </c>
      <c r="D24" s="59">
        <f t="shared" si="4"/>
        <v>301.78374388601395</v>
      </c>
      <c r="E24" s="60">
        <f t="shared" si="5"/>
        <v>12.635081789019631</v>
      </c>
      <c r="F24" s="61">
        <f t="shared" si="6"/>
        <v>16.122934716274539</v>
      </c>
      <c r="G24" s="62">
        <f>'[1]cálculos teóricos'!T139</f>
        <v>24.698975953794339</v>
      </c>
      <c r="H24" s="75">
        <f t="shared" si="7"/>
        <v>65.277745710739396</v>
      </c>
      <c r="I24" s="79"/>
      <c r="J24" s="81"/>
      <c r="K24" s="81"/>
      <c r="L24" s="81">
        <v>0.4</v>
      </c>
      <c r="M24" s="81">
        <v>1</v>
      </c>
      <c r="N24" s="81">
        <v>1</v>
      </c>
      <c r="O24" s="78">
        <v>1</v>
      </c>
      <c r="P24" s="82">
        <v>1</v>
      </c>
      <c r="Q24" s="82">
        <v>1</v>
      </c>
      <c r="R24" s="81">
        <v>1</v>
      </c>
      <c r="S24" s="81">
        <v>1</v>
      </c>
      <c r="T24" s="81">
        <v>0.8</v>
      </c>
      <c r="U24" s="81"/>
      <c r="V24" s="78"/>
      <c r="W24" s="116">
        <f t="shared" si="0"/>
        <v>3.4</v>
      </c>
      <c r="X24" s="117">
        <f t="shared" si="1"/>
        <v>4.8</v>
      </c>
      <c r="Y24" s="70">
        <f t="shared" si="2"/>
        <v>8.1999999999999993</v>
      </c>
      <c r="Z24" s="71">
        <f>'[1]cálculos teóricos'!I139</f>
        <v>10.849358676752436</v>
      </c>
      <c r="AA24" s="72">
        <f t="shared" si="3"/>
        <v>75.580504288890594</v>
      </c>
      <c r="AB24" s="162"/>
      <c r="AC24" s="163"/>
    </row>
    <row r="25" spans="1:29" ht="18" customHeight="1">
      <c r="A25" s="85">
        <v>17</v>
      </c>
      <c r="B25" s="76">
        <v>21.7</v>
      </c>
      <c r="C25" s="74">
        <f>'[1]cálculos teóricos'!K140</f>
        <v>0.96304545199151148</v>
      </c>
      <c r="D25" s="59">
        <f t="shared" si="4"/>
        <v>304.34927994970081</v>
      </c>
      <c r="E25" s="60">
        <f t="shared" si="5"/>
        <v>12.742495652934075</v>
      </c>
      <c r="F25" s="61">
        <f t="shared" si="6"/>
        <v>16.257202046167592</v>
      </c>
      <c r="G25" s="62">
        <f>'[1]cálculos teóricos'!T140</f>
        <v>24.564078610878632</v>
      </c>
      <c r="H25" s="75">
        <f t="shared" si="7"/>
        <v>66.182828607981278</v>
      </c>
      <c r="I25" s="79"/>
      <c r="J25" s="81"/>
      <c r="K25" s="81">
        <v>1</v>
      </c>
      <c r="L25" s="81">
        <v>1</v>
      </c>
      <c r="M25" s="81">
        <v>1</v>
      </c>
      <c r="N25" s="81">
        <v>1</v>
      </c>
      <c r="O25" s="78">
        <v>1</v>
      </c>
      <c r="P25" s="82">
        <v>1</v>
      </c>
      <c r="Q25" s="82">
        <v>1</v>
      </c>
      <c r="R25" s="81">
        <v>1</v>
      </c>
      <c r="S25" s="81">
        <v>0.9</v>
      </c>
      <c r="T25" s="81"/>
      <c r="U25" s="81"/>
      <c r="V25" s="78"/>
      <c r="W25" s="116">
        <f t="shared" si="0"/>
        <v>5</v>
      </c>
      <c r="X25" s="117">
        <f t="shared" si="1"/>
        <v>3.9</v>
      </c>
      <c r="Y25" s="70">
        <f t="shared" si="2"/>
        <v>8.9</v>
      </c>
      <c r="Z25" s="71">
        <f>'[1]cálculos teóricos'!I140</f>
        <v>10.833974786365069</v>
      </c>
      <c r="AA25" s="72">
        <f t="shared" si="3"/>
        <v>82.148982026439242</v>
      </c>
      <c r="AB25" s="162"/>
      <c r="AC25" s="163"/>
    </row>
    <row r="26" spans="1:29" ht="18" customHeight="1">
      <c r="A26" s="85">
        <v>18</v>
      </c>
      <c r="B26" s="76">
        <v>22.4</v>
      </c>
      <c r="C26" s="74">
        <f>'[1]cálculos teóricos'!K141</f>
        <v>0.96229472076527511</v>
      </c>
      <c r="D26" s="59">
        <f t="shared" si="4"/>
        <v>313.92209331537788</v>
      </c>
      <c r="E26" s="60">
        <f t="shared" si="5"/>
        <v>13.14329020292824</v>
      </c>
      <c r="F26" s="61">
        <f t="shared" si="6"/>
        <v>16.758195233660302</v>
      </c>
      <c r="G26" s="62">
        <f>'[1]cálculos teóricos'!T141</f>
        <v>24.432068443253335</v>
      </c>
      <c r="H26" s="75">
        <f t="shared" si="7"/>
        <v>68.590980221684447</v>
      </c>
      <c r="I26" s="79"/>
      <c r="J26" s="81"/>
      <c r="K26" s="81">
        <v>0.6</v>
      </c>
      <c r="L26" s="81">
        <v>1</v>
      </c>
      <c r="M26" s="81">
        <v>1</v>
      </c>
      <c r="N26" s="81">
        <v>1</v>
      </c>
      <c r="O26" s="78">
        <v>1</v>
      </c>
      <c r="P26" s="82">
        <v>1</v>
      </c>
      <c r="Q26" s="82">
        <v>1</v>
      </c>
      <c r="R26" s="81">
        <v>1</v>
      </c>
      <c r="S26" s="81">
        <v>1</v>
      </c>
      <c r="T26" s="81">
        <v>0.9</v>
      </c>
      <c r="U26" s="81"/>
      <c r="V26" s="78"/>
      <c r="W26" s="116">
        <f t="shared" si="0"/>
        <v>4.5999999999999996</v>
      </c>
      <c r="X26" s="117">
        <f t="shared" si="1"/>
        <v>4.9000000000000004</v>
      </c>
      <c r="Y26" s="70">
        <f t="shared" si="2"/>
        <v>9.5</v>
      </c>
      <c r="Z26" s="71">
        <f>'[1]cálculos teóricos'!I141</f>
        <v>10.818900261111278</v>
      </c>
      <c r="AA26" s="72">
        <f t="shared" si="3"/>
        <v>87.809294574494899</v>
      </c>
      <c r="AB26" s="162"/>
      <c r="AC26" s="163"/>
    </row>
    <row r="27" spans="1:29" ht="18" customHeight="1">
      <c r="A27" s="85">
        <v>19</v>
      </c>
      <c r="B27" s="76">
        <v>21.1</v>
      </c>
      <c r="C27" s="74">
        <f>'[1]cálculos teóricos'!K142</f>
        <v>0.96155873212279996</v>
      </c>
      <c r="D27" s="59">
        <f t="shared" si="4"/>
        <v>295.47723856020542</v>
      </c>
      <c r="E27" s="60">
        <f t="shared" si="5"/>
        <v>12.37104102403868</v>
      </c>
      <c r="F27" s="61">
        <f t="shared" si="6"/>
        <v>15.792883760048351</v>
      </c>
      <c r="G27" s="62">
        <f>'[1]cálculos teóricos'!T142</f>
        <v>24.3030040817398</v>
      </c>
      <c r="H27" s="75">
        <f t="shared" si="7"/>
        <v>64.983257653791128</v>
      </c>
      <c r="I27" s="79"/>
      <c r="J27" s="81"/>
      <c r="K27" s="81">
        <v>0.9</v>
      </c>
      <c r="L27" s="81">
        <v>1</v>
      </c>
      <c r="M27" s="81">
        <v>1</v>
      </c>
      <c r="N27" s="81">
        <v>1</v>
      </c>
      <c r="O27" s="78">
        <v>1</v>
      </c>
      <c r="P27" s="82">
        <v>1</v>
      </c>
      <c r="Q27" s="82">
        <v>1</v>
      </c>
      <c r="R27" s="81">
        <v>1</v>
      </c>
      <c r="S27" s="81">
        <v>0.9</v>
      </c>
      <c r="T27" s="81">
        <v>0.3</v>
      </c>
      <c r="U27" s="81"/>
      <c r="V27" s="78"/>
      <c r="W27" s="116">
        <f t="shared" si="0"/>
        <v>4.9000000000000004</v>
      </c>
      <c r="X27" s="117">
        <f t="shared" si="1"/>
        <v>4.2</v>
      </c>
      <c r="Y27" s="70">
        <f t="shared" si="2"/>
        <v>9.1000000000000014</v>
      </c>
      <c r="Z27" s="71">
        <f>'[1]cálculos teóricos'!I142</f>
        <v>10.804142716228</v>
      </c>
      <c r="AA27" s="72">
        <f t="shared" si="3"/>
        <v>84.226951078049453</v>
      </c>
      <c r="AB27" s="162"/>
      <c r="AC27" s="163"/>
    </row>
    <row r="28" spans="1:29" ht="18" customHeight="1">
      <c r="A28" s="85">
        <v>20</v>
      </c>
      <c r="B28" s="76">
        <v>21.8</v>
      </c>
      <c r="C28" s="74">
        <f>'[1]cálculos teóricos'!K143</f>
        <v>0.9608379758165817</v>
      </c>
      <c r="D28" s="59">
        <f t="shared" si="4"/>
        <v>305.05097216554435</v>
      </c>
      <c r="E28" s="60">
        <f t="shared" si="5"/>
        <v>12.77187410262701</v>
      </c>
      <c r="F28" s="61">
        <f t="shared" si="6"/>
        <v>16.293925108283762</v>
      </c>
      <c r="G28" s="62">
        <f>'[1]cálculos teóricos'!T143</f>
        <v>24.176942949769266</v>
      </c>
      <c r="H28" s="75">
        <f t="shared" si="7"/>
        <v>67.394480526907415</v>
      </c>
      <c r="I28" s="79"/>
      <c r="J28" s="81"/>
      <c r="K28" s="81">
        <v>0.7</v>
      </c>
      <c r="L28" s="81">
        <v>1</v>
      </c>
      <c r="M28" s="81">
        <v>1</v>
      </c>
      <c r="N28" s="81">
        <v>1</v>
      </c>
      <c r="O28" s="78">
        <v>1</v>
      </c>
      <c r="P28" s="82">
        <v>1</v>
      </c>
      <c r="Q28" s="82">
        <v>1</v>
      </c>
      <c r="R28" s="81">
        <v>1</v>
      </c>
      <c r="S28" s="81">
        <v>1</v>
      </c>
      <c r="T28" s="81">
        <v>0.8</v>
      </c>
      <c r="U28" s="81"/>
      <c r="V28" s="78"/>
      <c r="W28" s="116">
        <f t="shared" si="0"/>
        <v>4.7</v>
      </c>
      <c r="X28" s="117">
        <f t="shared" si="1"/>
        <v>4.8</v>
      </c>
      <c r="Y28" s="70">
        <f t="shared" si="2"/>
        <v>9.5</v>
      </c>
      <c r="Z28" s="71">
        <f>'[1]cálculos teóricos'!I143</f>
        <v>10.78970976186449</v>
      </c>
      <c r="AA28" s="72">
        <f t="shared" si="3"/>
        <v>88.046853990244642</v>
      </c>
      <c r="AB28" s="162"/>
      <c r="AC28" s="163"/>
    </row>
    <row r="29" spans="1:29" ht="18" customHeight="1">
      <c r="A29" s="85">
        <v>21</v>
      </c>
      <c r="B29" s="76">
        <v>14.8</v>
      </c>
      <c r="C29" s="74">
        <f>'[1]cálculos teóricos'!K144</f>
        <v>0.96013293543210909</v>
      </c>
      <c r="D29" s="59">
        <f t="shared" si="4"/>
        <v>206.9468608764497</v>
      </c>
      <c r="E29" s="60">
        <f t="shared" si="5"/>
        <v>8.6644511711751946</v>
      </c>
      <c r="F29" s="61">
        <f t="shared" si="6"/>
        <v>11.159646443968995</v>
      </c>
      <c r="G29" s="62">
        <f>'[1]cálculos teóricos'!T144</f>
        <v>24.053941222240866</v>
      </c>
      <c r="H29" s="75">
        <f t="shared" si="7"/>
        <v>46.394253402642022</v>
      </c>
      <c r="I29" s="79"/>
      <c r="J29" s="81"/>
      <c r="K29" s="81">
        <v>0.1</v>
      </c>
      <c r="L29" s="81">
        <v>1</v>
      </c>
      <c r="M29" s="81">
        <v>0.9</v>
      </c>
      <c r="N29" s="81">
        <v>0.4</v>
      </c>
      <c r="O29" s="78">
        <v>0.6</v>
      </c>
      <c r="P29" s="82">
        <v>0.6</v>
      </c>
      <c r="Q29" s="82">
        <v>1</v>
      </c>
      <c r="R29" s="81">
        <v>0.9</v>
      </c>
      <c r="S29" s="81">
        <v>0.4</v>
      </c>
      <c r="T29" s="81"/>
      <c r="U29" s="81"/>
      <c r="V29" s="78"/>
      <c r="W29" s="116">
        <f t="shared" si="0"/>
        <v>3</v>
      </c>
      <c r="X29" s="117">
        <f t="shared" si="1"/>
        <v>2.9</v>
      </c>
      <c r="Y29" s="70">
        <f t="shared" si="2"/>
        <v>5.9</v>
      </c>
      <c r="Z29" s="71">
        <f>'[1]cálculos teóricos'!I144</f>
        <v>10.775608991418745</v>
      </c>
      <c r="AA29" s="72">
        <f t="shared" si="3"/>
        <v>54.753285913571283</v>
      </c>
      <c r="AB29" s="162"/>
      <c r="AC29" s="163"/>
    </row>
    <row r="30" spans="1:29" ht="18" customHeight="1">
      <c r="A30" s="85">
        <v>22</v>
      </c>
      <c r="B30" s="76">
        <v>11.1</v>
      </c>
      <c r="C30" s="74">
        <f>'[1]cálculos teóricos'!K145</f>
        <v>0.95944408780698176</v>
      </c>
      <c r="D30" s="59">
        <f t="shared" si="4"/>
        <v>155.09879009782446</v>
      </c>
      <c r="E30" s="60">
        <f t="shared" si="5"/>
        <v>6.4936761438157147</v>
      </c>
      <c r="F30" s="61">
        <f t="shared" si="6"/>
        <v>8.4461776597696439</v>
      </c>
      <c r="G30" s="62">
        <f>'[1]cálculos teóricos'!T145</f>
        <v>23.934053785122181</v>
      </c>
      <c r="H30" s="75">
        <f t="shared" si="7"/>
        <v>35.28937360799253</v>
      </c>
      <c r="I30" s="79"/>
      <c r="J30" s="81"/>
      <c r="K30" s="81"/>
      <c r="L30" s="81">
        <v>0.2</v>
      </c>
      <c r="M30" s="81">
        <v>1</v>
      </c>
      <c r="N30" s="81">
        <v>0.6</v>
      </c>
      <c r="O30" s="78">
        <v>0.7</v>
      </c>
      <c r="P30" s="82">
        <v>0.4</v>
      </c>
      <c r="Q30" s="82">
        <v>0.3</v>
      </c>
      <c r="R30" s="81"/>
      <c r="S30" s="81"/>
      <c r="T30" s="81"/>
      <c r="U30" s="157"/>
      <c r="V30" s="78"/>
      <c r="W30" s="116">
        <f t="shared" si="0"/>
        <v>2.5</v>
      </c>
      <c r="X30" s="117">
        <f t="shared" si="1"/>
        <v>0.7</v>
      </c>
      <c r="Y30" s="70">
        <f t="shared" si="2"/>
        <v>3.2</v>
      </c>
      <c r="Z30" s="71">
        <f>'[1]cálculos teóricos'!I145</f>
        <v>10.761847969468413</v>
      </c>
      <c r="AA30" s="72">
        <f t="shared" si="3"/>
        <v>29.734670189343568</v>
      </c>
      <c r="AB30" s="162"/>
      <c r="AC30" s="163"/>
    </row>
    <row r="31" spans="1:29" ht="18" customHeight="1">
      <c r="A31" s="85">
        <v>23</v>
      </c>
      <c r="B31" s="76">
        <v>10.6</v>
      </c>
      <c r="C31" s="74">
        <f>'[1]cálculos teóricos'!K146</f>
        <v>0.95877190244810251</v>
      </c>
      <c r="D31" s="59">
        <f t="shared" si="4"/>
        <v>148.00859077381116</v>
      </c>
      <c r="E31" s="60">
        <f t="shared" si="5"/>
        <v>6.1968236785179265</v>
      </c>
      <c r="F31" s="61">
        <f t="shared" si="6"/>
        <v>8.0751120781474075</v>
      </c>
      <c r="G31" s="62">
        <f>'[1]cálculos teóricos'!T146</f>
        <v>23.81733419585737</v>
      </c>
      <c r="H31" s="75">
        <f t="shared" si="7"/>
        <v>33.904348873569312</v>
      </c>
      <c r="I31" s="79"/>
      <c r="J31" s="81"/>
      <c r="K31" s="81"/>
      <c r="L31" s="81">
        <v>0.1</v>
      </c>
      <c r="M31" s="81">
        <v>0.1</v>
      </c>
      <c r="N31" s="81">
        <v>0.2</v>
      </c>
      <c r="O31" s="78">
        <v>0.8</v>
      </c>
      <c r="P31" s="82">
        <v>0.2</v>
      </c>
      <c r="Q31" s="82"/>
      <c r="R31" s="81"/>
      <c r="S31" s="81"/>
      <c r="T31" s="81"/>
      <c r="U31" s="81"/>
      <c r="V31" s="78"/>
      <c r="W31" s="116">
        <f t="shared" si="0"/>
        <v>1.2000000000000002</v>
      </c>
      <c r="X31" s="117">
        <f t="shared" si="1"/>
        <v>0.2</v>
      </c>
      <c r="Y31" s="70">
        <f t="shared" si="2"/>
        <v>1.4000000000000001</v>
      </c>
      <c r="Z31" s="71">
        <f>'[1]cálculos teóricos'!I146</f>
        <v>10.748434219324782</v>
      </c>
      <c r="AA31" s="72">
        <f t="shared" si="3"/>
        <v>13.025152979797909</v>
      </c>
      <c r="AB31" s="162"/>
      <c r="AC31" s="163"/>
    </row>
    <row r="32" spans="1:29" ht="18" customHeight="1">
      <c r="A32" s="85">
        <v>24</v>
      </c>
      <c r="B32" s="76">
        <v>10.6</v>
      </c>
      <c r="C32" s="74">
        <f>'[1]cálculos teóricos'!K147</f>
        <v>0.95811684094818839</v>
      </c>
      <c r="D32" s="59">
        <f t="shared" si="4"/>
        <v>147.90746689937879</v>
      </c>
      <c r="E32" s="60">
        <f t="shared" si="5"/>
        <v>6.1925898241431909</v>
      </c>
      <c r="F32" s="61">
        <f t="shared" si="6"/>
        <v>8.0698197601789889</v>
      </c>
      <c r="G32" s="62">
        <f>'[1]cálculos teóricos'!T147</f>
        <v>23.703834644645326</v>
      </c>
      <c r="H32" s="75">
        <f t="shared" si="7"/>
        <v>34.044364049771808</v>
      </c>
      <c r="I32" s="79"/>
      <c r="J32" s="81"/>
      <c r="K32" s="81"/>
      <c r="L32" s="81">
        <v>0.2</v>
      </c>
      <c r="M32" s="81"/>
      <c r="N32" s="81"/>
      <c r="O32" s="78">
        <v>0.4</v>
      </c>
      <c r="P32" s="82"/>
      <c r="Q32" s="82"/>
      <c r="R32" s="81">
        <v>0.1</v>
      </c>
      <c r="S32" s="81">
        <v>0.6</v>
      </c>
      <c r="T32" s="81"/>
      <c r="U32" s="81"/>
      <c r="V32" s="78"/>
      <c r="W32" s="116">
        <f t="shared" si="0"/>
        <v>0.60000000000000009</v>
      </c>
      <c r="X32" s="117">
        <f t="shared" si="1"/>
        <v>0.7</v>
      </c>
      <c r="Y32" s="70">
        <f t="shared" si="2"/>
        <v>1.3</v>
      </c>
      <c r="Z32" s="71">
        <f>'[1]cálculos teóricos'!I147</f>
        <v>10.735375210241287</v>
      </c>
      <c r="AA32" s="72">
        <f t="shared" si="3"/>
        <v>12.109497568001457</v>
      </c>
      <c r="AB32" s="162"/>
      <c r="AC32" s="163"/>
    </row>
    <row r="33" spans="1:29" ht="18" customHeight="1">
      <c r="A33" s="164">
        <v>25</v>
      </c>
      <c r="B33" s="76">
        <v>21.5</v>
      </c>
      <c r="C33" s="74">
        <f>'[1]cálculos teóricos'!K148</f>
        <v>0.95747935640287785</v>
      </c>
      <c r="D33" s="59">
        <f t="shared" si="4"/>
        <v>299.80138804992623</v>
      </c>
      <c r="E33" s="60">
        <f t="shared" si="5"/>
        <v>12.552084514874311</v>
      </c>
      <c r="F33" s="61">
        <f t="shared" si="6"/>
        <v>16.019188123592887</v>
      </c>
      <c r="G33" s="62">
        <f>'[1]cálculos teóricos'!T148</f>
        <v>23.593605916647533</v>
      </c>
      <c r="H33" s="75">
        <f t="shared" si="7"/>
        <v>67.896311314964478</v>
      </c>
      <c r="I33" s="79"/>
      <c r="J33" s="81"/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82">
        <v>1</v>
      </c>
      <c r="Q33" s="82">
        <v>1</v>
      </c>
      <c r="R33" s="81">
        <v>1</v>
      </c>
      <c r="S33" s="81">
        <v>0.9</v>
      </c>
      <c r="T33" s="81"/>
      <c r="U33" s="81"/>
      <c r="V33" s="78"/>
      <c r="W33" s="116">
        <f t="shared" si="0"/>
        <v>5</v>
      </c>
      <c r="X33" s="117">
        <f t="shared" si="1"/>
        <v>3.9</v>
      </c>
      <c r="Y33" s="70">
        <f t="shared" si="2"/>
        <v>8.9</v>
      </c>
      <c r="Z33" s="71">
        <f>'[1]cálculos teóricos'!I148</f>
        <v>10.722678344310896</v>
      </c>
      <c r="AA33" s="72">
        <f t="shared" si="3"/>
        <v>83.001650466574432</v>
      </c>
      <c r="AB33" s="162"/>
      <c r="AC33" s="163"/>
    </row>
    <row r="34" spans="1:29" ht="18" customHeight="1">
      <c r="A34" s="85">
        <v>26</v>
      </c>
      <c r="B34" s="76">
        <v>17.7</v>
      </c>
      <c r="C34" s="74">
        <f>'[1]cálculos teóricos'!K149</f>
        <v>0.95685989282974016</v>
      </c>
      <c r="D34" s="59">
        <f t="shared" si="4"/>
        <v>246.65355417129882</v>
      </c>
      <c r="E34" s="60">
        <f t="shared" si="5"/>
        <v>10.326891006043939</v>
      </c>
      <c r="F34" s="61">
        <f t="shared" si="6"/>
        <v>13.237696237554923</v>
      </c>
      <c r="G34" s="62">
        <f>'[1]cálculos teóricos'!T149</f>
        <v>23.486697355182486</v>
      </c>
      <c r="H34" s="75">
        <f t="shared" si="7"/>
        <v>56.36252742292838</v>
      </c>
      <c r="I34" s="79"/>
      <c r="J34" s="81"/>
      <c r="K34" s="81">
        <v>0.9</v>
      </c>
      <c r="L34" s="81">
        <v>1</v>
      </c>
      <c r="M34" s="81">
        <v>1</v>
      </c>
      <c r="N34" s="81">
        <v>1</v>
      </c>
      <c r="O34" s="78">
        <v>1</v>
      </c>
      <c r="P34" s="82">
        <v>0.9</v>
      </c>
      <c r="Q34" s="82">
        <v>0.9</v>
      </c>
      <c r="R34" s="81">
        <v>0.9</v>
      </c>
      <c r="S34" s="81">
        <v>0.9</v>
      </c>
      <c r="T34" s="81">
        <v>0.4</v>
      </c>
      <c r="U34" s="81"/>
      <c r="V34" s="78"/>
      <c r="W34" s="116">
        <f t="shared" si="0"/>
        <v>4.9000000000000004</v>
      </c>
      <c r="X34" s="117">
        <f t="shared" si="1"/>
        <v>4</v>
      </c>
      <c r="Y34" s="70">
        <f t="shared" si="2"/>
        <v>8.9</v>
      </c>
      <c r="Z34" s="71">
        <f>'[1]cálculos teóricos'!I149</f>
        <v>10.710350943089647</v>
      </c>
      <c r="AA34" s="72">
        <f t="shared" si="3"/>
        <v>83.097183717796923</v>
      </c>
      <c r="AB34" s="162"/>
      <c r="AC34" s="163"/>
    </row>
    <row r="35" spans="1:29" ht="18" customHeight="1">
      <c r="A35" s="85">
        <v>27</v>
      </c>
      <c r="B35" s="76">
        <v>19.3</v>
      </c>
      <c r="C35" s="74">
        <f>'[1]cálculos teóricos'!K150</f>
        <v>0.95625888459052066</v>
      </c>
      <c r="D35" s="59">
        <f t="shared" si="4"/>
        <v>268.78099192866716</v>
      </c>
      <c r="E35" s="60">
        <f t="shared" si="5"/>
        <v>11.253322570069436</v>
      </c>
      <c r="F35" s="61">
        <f t="shared" si="6"/>
        <v>14.395735692586795</v>
      </c>
      <c r="G35" s="62">
        <f>'[1]cálculos teóricos'!T150</f>
        <v>23.38315682596054</v>
      </c>
      <c r="H35" s="75">
        <f t="shared" si="7"/>
        <v>61.564551782864086</v>
      </c>
      <c r="I35" s="79"/>
      <c r="J35" s="81"/>
      <c r="K35" s="81">
        <v>0.4</v>
      </c>
      <c r="L35" s="81">
        <v>0.9</v>
      </c>
      <c r="M35" s="81">
        <v>1</v>
      </c>
      <c r="N35" s="81">
        <v>1</v>
      </c>
      <c r="O35" s="78">
        <v>1</v>
      </c>
      <c r="P35" s="82">
        <v>1</v>
      </c>
      <c r="Q35" s="82">
        <v>1</v>
      </c>
      <c r="R35" s="81">
        <v>1</v>
      </c>
      <c r="S35" s="81">
        <v>1</v>
      </c>
      <c r="T35" s="81">
        <v>0.1</v>
      </c>
      <c r="U35" s="81"/>
      <c r="V35" s="78"/>
      <c r="W35" s="116">
        <f t="shared" si="0"/>
        <v>4.3</v>
      </c>
      <c r="X35" s="117">
        <f t="shared" si="1"/>
        <v>4.0999999999999996</v>
      </c>
      <c r="Y35" s="70">
        <f t="shared" si="2"/>
        <v>8.3999999999999986</v>
      </c>
      <c r="Z35" s="71">
        <f>'[1]cálculos teóricos'!I150</f>
        <v>10.698400233986028</v>
      </c>
      <c r="AA35" s="72">
        <f t="shared" si="3"/>
        <v>78.516411952091573</v>
      </c>
      <c r="AB35" s="162"/>
      <c r="AC35" s="163"/>
    </row>
    <row r="36" spans="1:29" ht="18" customHeight="1">
      <c r="A36" s="85">
        <v>28</v>
      </c>
      <c r="B36" s="76">
        <v>17.100000000000001</v>
      </c>
      <c r="C36" s="74">
        <f>'[1]cálculos teóricos'!K151</f>
        <v>0.95567675581796974</v>
      </c>
      <c r="D36" s="59">
        <f t="shared" si="4"/>
        <v>237.99777321037058</v>
      </c>
      <c r="E36" s="60">
        <f t="shared" si="5"/>
        <v>9.9644907687717961</v>
      </c>
      <c r="F36" s="61">
        <f t="shared" si="6"/>
        <v>12.784695940964745</v>
      </c>
      <c r="G36" s="62">
        <f>'[1]cálculos teóricos'!T151</f>
        <v>23.283030682409645</v>
      </c>
      <c r="H36" s="75">
        <f t="shared" si="7"/>
        <v>54.909930392453582</v>
      </c>
      <c r="I36" s="79"/>
      <c r="J36" s="81"/>
      <c r="K36" s="81"/>
      <c r="L36" s="81">
        <v>0.1</v>
      </c>
      <c r="M36" s="81">
        <v>0.5</v>
      </c>
      <c r="N36" s="81">
        <v>1</v>
      </c>
      <c r="O36" s="78">
        <v>1</v>
      </c>
      <c r="P36" s="82">
        <v>0.6</v>
      </c>
      <c r="Q36" s="82">
        <v>0.8</v>
      </c>
      <c r="R36" s="81">
        <v>1</v>
      </c>
      <c r="S36" s="81"/>
      <c r="T36" s="81"/>
      <c r="U36" s="81"/>
      <c r="V36" s="78"/>
      <c r="W36" s="116">
        <f t="shared" si="0"/>
        <v>2.6</v>
      </c>
      <c r="X36" s="117">
        <f t="shared" si="1"/>
        <v>2.4</v>
      </c>
      <c r="Y36" s="70">
        <f t="shared" si="2"/>
        <v>5</v>
      </c>
      <c r="Z36" s="71">
        <f>'[1]cálculos teóricos'!I151</f>
        <v>10.686833336458804</v>
      </c>
      <c r="AA36" s="72">
        <f t="shared" si="3"/>
        <v>46.786544176207798</v>
      </c>
      <c r="AB36" s="162"/>
      <c r="AC36" s="163"/>
    </row>
    <row r="37" spans="1:29" ht="18" customHeight="1">
      <c r="A37" s="85">
        <v>29</v>
      </c>
      <c r="B37" s="76">
        <v>19.8</v>
      </c>
      <c r="C37" s="74">
        <f>'[1]cálculos teóricos'!K152</f>
        <v>0.95511391984862659</v>
      </c>
      <c r="D37" s="59">
        <f t="shared" si="4"/>
        <v>275.41407111996637</v>
      </c>
      <c r="E37" s="60">
        <f t="shared" si="5"/>
        <v>11.531036329650751</v>
      </c>
      <c r="F37" s="61">
        <f t="shared" si="6"/>
        <v>14.74287789206344</v>
      </c>
      <c r="G37" s="62">
        <f>'[1]cálculos teóricos'!T152</f>
        <v>23.186363732139114</v>
      </c>
      <c r="H37" s="75">
        <f t="shared" si="7"/>
        <v>63.584260397105837</v>
      </c>
      <c r="I37" s="79"/>
      <c r="J37" s="81"/>
      <c r="K37" s="81"/>
      <c r="L37" s="81"/>
      <c r="M37" s="81">
        <v>0.5</v>
      </c>
      <c r="N37" s="81">
        <v>1</v>
      </c>
      <c r="O37" s="78">
        <v>1</v>
      </c>
      <c r="P37" s="82">
        <v>1</v>
      </c>
      <c r="Q37" s="82">
        <v>1</v>
      </c>
      <c r="R37" s="81">
        <v>1</v>
      </c>
      <c r="S37" s="81">
        <v>1</v>
      </c>
      <c r="T37" s="81">
        <v>0.9</v>
      </c>
      <c r="U37" s="81"/>
      <c r="V37" s="78"/>
      <c r="W37" s="116">
        <f t="shared" si="0"/>
        <v>2.5</v>
      </c>
      <c r="X37" s="117">
        <f t="shared" si="1"/>
        <v>4.9000000000000004</v>
      </c>
      <c r="Y37" s="70">
        <f t="shared" si="2"/>
        <v>7.4</v>
      </c>
      <c r="Z37" s="71">
        <f>'[1]cálculos teóricos'!I152</f>
        <v>10.675657248068191</v>
      </c>
      <c r="AA37" s="72">
        <f t="shared" si="3"/>
        <v>69.316575345645006</v>
      </c>
      <c r="AB37" s="162"/>
      <c r="AC37" s="163"/>
    </row>
    <row r="38" spans="1:29" ht="18" customHeight="1">
      <c r="A38" s="80">
        <v>30</v>
      </c>
      <c r="B38" s="76">
        <v>20.8</v>
      </c>
      <c r="C38" s="74">
        <f>'[1]cálculos teóricos'!K153</f>
        <v>0.95457077866293116</v>
      </c>
      <c r="D38" s="59">
        <f t="shared" si="4"/>
        <v>289.15934392919803</v>
      </c>
      <c r="E38" s="60">
        <f t="shared" si="5"/>
        <v>12.106523411627663</v>
      </c>
      <c r="F38" s="61">
        <f t="shared" si="6"/>
        <v>15.462236744534581</v>
      </c>
      <c r="G38" s="62">
        <f>'[1]cálculos teóricos'!T153</f>
        <v>23.093199204585154</v>
      </c>
      <c r="H38" s="75">
        <f t="shared" si="7"/>
        <v>66.955802041774064</v>
      </c>
      <c r="I38" s="79"/>
      <c r="J38" s="81"/>
      <c r="K38" s="81">
        <v>0.4</v>
      </c>
      <c r="L38" s="81">
        <v>1</v>
      </c>
      <c r="M38" s="81">
        <v>1</v>
      </c>
      <c r="N38" s="81">
        <v>1</v>
      </c>
      <c r="O38" s="78">
        <v>1</v>
      </c>
      <c r="P38" s="82">
        <v>1</v>
      </c>
      <c r="Q38" s="82">
        <v>1</v>
      </c>
      <c r="R38" s="81">
        <v>0.9</v>
      </c>
      <c r="S38" s="81">
        <v>1</v>
      </c>
      <c r="T38" s="81">
        <v>0.5</v>
      </c>
      <c r="U38" s="81"/>
      <c r="V38" s="78"/>
      <c r="W38" s="116">
        <f t="shared" si="0"/>
        <v>4.4000000000000004</v>
      </c>
      <c r="X38" s="117">
        <f t="shared" si="1"/>
        <v>4.4000000000000004</v>
      </c>
      <c r="Y38" s="126">
        <f t="shared" si="2"/>
        <v>8.8000000000000007</v>
      </c>
      <c r="Z38" s="71">
        <f>'[1]cálculos teóricos'!I153</f>
        <v>10.66487883042762</v>
      </c>
      <c r="AA38" s="72">
        <f t="shared" si="3"/>
        <v>82.51383011397192</v>
      </c>
      <c r="AB38" s="162"/>
      <c r="AC38" s="163"/>
    </row>
    <row r="39" spans="1:29" ht="18" customHeight="1" thickBot="1">
      <c r="A39" s="86">
        <v>31</v>
      </c>
      <c r="B39" s="87">
        <v>16.399999999999999</v>
      </c>
      <c r="C39" s="88">
        <f>'[1]cálculos teóricos'!K154</f>
        <v>0.95404772233404822</v>
      </c>
      <c r="D39" s="89">
        <f t="shared" si="4"/>
        <v>227.86609366907533</v>
      </c>
      <c r="E39" s="90">
        <f t="shared" si="5"/>
        <v>9.5402976097368466</v>
      </c>
      <c r="F39" s="91">
        <f t="shared" si="6"/>
        <v>12.254454492171057</v>
      </c>
      <c r="G39" s="92">
        <f>'[1]cálculos teóricos'!T154</f>
        <v>23.003578719878121</v>
      </c>
      <c r="H39" s="93">
        <f t="shared" si="7"/>
        <v>53.271947992951183</v>
      </c>
      <c r="I39" s="94"/>
      <c r="J39" s="87"/>
      <c r="K39" s="87"/>
      <c r="L39" s="87"/>
      <c r="M39" s="87"/>
      <c r="N39" s="87">
        <v>0.1</v>
      </c>
      <c r="O39" s="95">
        <v>0.6</v>
      </c>
      <c r="P39" s="94">
        <v>1</v>
      </c>
      <c r="Q39" s="94">
        <v>1</v>
      </c>
      <c r="R39" s="87">
        <v>1</v>
      </c>
      <c r="S39" s="87">
        <v>1</v>
      </c>
      <c r="T39" s="87">
        <v>0.7</v>
      </c>
      <c r="U39" s="87"/>
      <c r="V39" s="95"/>
      <c r="W39" s="116">
        <f t="shared" si="0"/>
        <v>0.7</v>
      </c>
      <c r="X39" s="117">
        <f t="shared" si="1"/>
        <v>4.7</v>
      </c>
      <c r="Y39" s="99">
        <f t="shared" si="2"/>
        <v>5.4</v>
      </c>
      <c r="Z39" s="100">
        <f>'[1]cálculos teóricos'!I154</f>
        <v>10.654504795105451</v>
      </c>
      <c r="AA39" s="101">
        <f t="shared" si="3"/>
        <v>50.682787270232339</v>
      </c>
      <c r="AB39" s="162"/>
      <c r="AC39" s="163"/>
    </row>
    <row r="40" spans="1:29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3">
        <f t="shared" ref="J40:V40" si="8">SUM(J9:J39)</f>
        <v>0.4</v>
      </c>
      <c r="K40" s="103">
        <f t="shared" si="8"/>
        <v>14.6</v>
      </c>
      <c r="L40" s="103">
        <f t="shared" si="8"/>
        <v>22</v>
      </c>
      <c r="M40" s="103">
        <f t="shared" si="8"/>
        <v>24.799999999999997</v>
      </c>
      <c r="N40" s="103">
        <f t="shared" si="8"/>
        <v>24.3</v>
      </c>
      <c r="O40" s="103">
        <f t="shared" si="8"/>
        <v>26.200000000000003</v>
      </c>
      <c r="P40" s="103">
        <f t="shared" si="8"/>
        <v>24.8</v>
      </c>
      <c r="Q40" s="103">
        <f t="shared" si="8"/>
        <v>23.6</v>
      </c>
      <c r="R40" s="103">
        <f t="shared" si="8"/>
        <v>24.199999999999996</v>
      </c>
      <c r="S40" s="103">
        <f t="shared" si="8"/>
        <v>21.5</v>
      </c>
      <c r="T40" s="103">
        <f t="shared" si="8"/>
        <v>9.8999999999999986</v>
      </c>
      <c r="U40" s="103">
        <f t="shared" si="8"/>
        <v>0</v>
      </c>
      <c r="V40" s="103">
        <f t="shared" si="8"/>
        <v>0</v>
      </c>
      <c r="W40" s="104">
        <f t="shared" si="0"/>
        <v>112.3</v>
      </c>
      <c r="X40" s="104">
        <f>SUM(P40:V40)</f>
        <v>104</v>
      </c>
      <c r="Y40" s="104">
        <f>W40+X40</f>
        <v>216.3</v>
      </c>
      <c r="Z40" s="104">
        <f>SUM(Z9:Z39)</f>
        <v>336.70450794356452</v>
      </c>
      <c r="AA40" s="104">
        <f>SUM(AA9:AA39)</f>
        <v>1990.2208883497547</v>
      </c>
      <c r="AB40" s="102"/>
    </row>
    <row r="41" spans="1:29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9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9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9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9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9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9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9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5</v>
      </c>
      <c r="W3" s="3"/>
      <c r="X3" s="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1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165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20</v>
      </c>
      <c r="C9" s="74">
        <f>'[1]cálculos teóricos'!K155</f>
        <v>0.95354512848678641</v>
      </c>
      <c r="D9" s="59">
        <f>IF(B9&gt;0,B9*C9*14.25*1.022,-999)</f>
        <v>277.73908957434628</v>
      </c>
      <c r="E9" s="60">
        <f>IF(B9&gt;0,D9*4.1868/100,-999)</f>
        <v>11.628380202298729</v>
      </c>
      <c r="F9" s="61">
        <f>IF(B9&gt;0,(7.86+1.25*D9)*4.1868/100,-999)</f>
        <v>14.864557732873413</v>
      </c>
      <c r="G9" s="62">
        <f>'[1]cálculos teóricos'!T155</f>
        <v>22.917542258968254</v>
      </c>
      <c r="H9" s="63">
        <f>IF(B9&gt;0,100*F9/G9,-999)</f>
        <v>64.861046463464078</v>
      </c>
      <c r="I9" s="166"/>
      <c r="J9" s="64"/>
      <c r="K9" s="64">
        <v>0.6</v>
      </c>
      <c r="L9" s="167">
        <v>0.6</v>
      </c>
      <c r="M9" s="167">
        <v>0.9</v>
      </c>
      <c r="N9" s="167">
        <v>1</v>
      </c>
      <c r="O9" s="168">
        <v>1</v>
      </c>
      <c r="P9" s="167">
        <v>1</v>
      </c>
      <c r="Q9" s="167">
        <v>1</v>
      </c>
      <c r="R9" s="167">
        <v>1</v>
      </c>
      <c r="S9" s="64">
        <v>1</v>
      </c>
      <c r="T9" s="64">
        <v>0.3</v>
      </c>
      <c r="U9" s="64"/>
      <c r="V9" s="65"/>
      <c r="W9" s="117">
        <f t="shared" ref="W9:W22" si="0">SUM(I9:O9)</f>
        <v>4.0999999999999996</v>
      </c>
      <c r="X9" s="117">
        <f>SUM(P9:V9)</f>
        <v>4.3</v>
      </c>
      <c r="Y9" s="118">
        <f>W9+X9</f>
        <v>8.3999999999999986</v>
      </c>
      <c r="Z9" s="71">
        <f>'[1]cálculos teóricos'!I155</f>
        <v>10.64454168952793</v>
      </c>
      <c r="AA9" s="72">
        <f>100*Y9/Z9</f>
        <v>78.913684074006639</v>
      </c>
      <c r="AB9" s="3"/>
    </row>
    <row r="10" spans="1:28" ht="18" customHeight="1">
      <c r="A10" s="73">
        <v>2</v>
      </c>
      <c r="B10" s="57">
        <v>16.399999999999999</v>
      </c>
      <c r="C10" s="74">
        <f>'[1]cálculos teóricos'!K156</f>
        <v>0.95306336176798911</v>
      </c>
      <c r="D10" s="59">
        <f>IF(B10&gt;0,B10*C10*14.25*1.022,-999)</f>
        <v>227.63098761337301</v>
      </c>
      <c r="E10" s="60">
        <f>IF(B10&gt;0,D10*4.1868/100,-999)</f>
        <v>9.5304541893966999</v>
      </c>
      <c r="F10" s="61">
        <f>IF(B10&gt;0,(7.86+1.25*D10)*4.1868/100,-999)</f>
        <v>12.242150216745877</v>
      </c>
      <c r="G10" s="62">
        <f>'[1]cálculos teóricos'!T156</f>
        <v>22.835128135042794</v>
      </c>
      <c r="H10" s="75">
        <f>IF(B10&gt;0,100*F10/G10,-999)</f>
        <v>53.611042356968731</v>
      </c>
      <c r="I10" s="169"/>
      <c r="J10" s="79"/>
      <c r="K10" s="76"/>
      <c r="L10" s="76"/>
      <c r="M10" s="79"/>
      <c r="N10" s="79">
        <v>0.4</v>
      </c>
      <c r="O10" s="77">
        <v>1</v>
      </c>
      <c r="P10" s="79">
        <v>1</v>
      </c>
      <c r="Q10" s="79">
        <v>1</v>
      </c>
      <c r="R10" s="79">
        <v>1</v>
      </c>
      <c r="S10" s="76">
        <v>1</v>
      </c>
      <c r="T10" s="82">
        <v>0.3</v>
      </c>
      <c r="U10" s="82"/>
      <c r="V10" s="78"/>
      <c r="W10" s="117">
        <f t="shared" si="0"/>
        <v>1.4</v>
      </c>
      <c r="X10" s="117">
        <f t="shared" ref="X10:X38" si="1">SUM(P10:V10)</f>
        <v>4.3</v>
      </c>
      <c r="Y10" s="126">
        <f t="shared" ref="Y10:Y19" si="2">W10+X10</f>
        <v>5.6999999999999993</v>
      </c>
      <c r="Z10" s="71">
        <f>'[1]cálculos teóricos'!I156</f>
        <v>10.634995882936208</v>
      </c>
      <c r="AA10" s="72">
        <f t="shared" ref="AA10:AA38" si="3">100*Y10/Z10</f>
        <v>53.596635699178947</v>
      </c>
      <c r="AB10" s="3"/>
    </row>
    <row r="11" spans="1:28" ht="18" customHeight="1">
      <c r="A11" s="73">
        <v>3</v>
      </c>
      <c r="B11" s="57">
        <v>9.9</v>
      </c>
      <c r="C11" s="74">
        <f>'[1]cálculos teóricos'!K157</f>
        <v>0.95260277332976384</v>
      </c>
      <c r="D11" s="59">
        <f t="shared" ref="D11:D38" si="4">IF(B11&gt;0,B11*C11*14.25*1.022,-999)</f>
        <v>137.34498184494137</v>
      </c>
      <c r="E11" s="60">
        <f t="shared" ref="E11:E38" si="5">IF(B11&gt;0,D11*4.1868/100,-999)</f>
        <v>5.7503596998840054</v>
      </c>
      <c r="F11" s="61">
        <f t="shared" ref="F11:F38" si="6">IF(B11&gt;0,(7.86+1.25*D11)*4.1868/100,-999)</f>
        <v>7.5170321048550068</v>
      </c>
      <c r="G11" s="62">
        <f>'[1]cálculos teóricos'!T157</f>
        <v>22.756372966264053</v>
      </c>
      <c r="H11" s="75">
        <f t="shared" ref="H11:H38" si="7">IF(B11&gt;0,100*F11/G11,-999)</f>
        <v>33.032645914174822</v>
      </c>
      <c r="I11" s="169"/>
      <c r="J11" s="79"/>
      <c r="K11" s="76"/>
      <c r="L11" s="76"/>
      <c r="M11" s="79"/>
      <c r="N11" s="79"/>
      <c r="O11" s="77"/>
      <c r="P11" s="79">
        <v>0.2</v>
      </c>
      <c r="Q11" s="79">
        <v>0.5</v>
      </c>
      <c r="R11" s="79">
        <v>0.7</v>
      </c>
      <c r="S11" s="76">
        <v>0.9</v>
      </c>
      <c r="T11" s="82"/>
      <c r="U11" s="82"/>
      <c r="V11" s="78"/>
      <c r="W11" s="117">
        <f t="shared" si="0"/>
        <v>0</v>
      </c>
      <c r="X11" s="117">
        <f t="shared" si="1"/>
        <v>2.2999999999999998</v>
      </c>
      <c r="Y11" s="70">
        <f t="shared" si="2"/>
        <v>2.2999999999999998</v>
      </c>
      <c r="Z11" s="71">
        <f>'[1]cálculos teóricos'!I157</f>
        <v>10.625873552451839</v>
      </c>
      <c r="AA11" s="72">
        <f t="shared" si="3"/>
        <v>21.645279220072144</v>
      </c>
      <c r="AB11" s="3"/>
    </row>
    <row r="12" spans="1:28" ht="18" customHeight="1">
      <c r="A12" s="73">
        <v>4</v>
      </c>
      <c r="B12" s="57">
        <v>20.399999999999999</v>
      </c>
      <c r="C12" s="74">
        <f>'[1]cálculos teóricos'!K158</f>
        <v>0.95216370032690345</v>
      </c>
      <c r="D12" s="59">
        <f t="shared" si="4"/>
        <v>282.88345541410149</v>
      </c>
      <c r="E12" s="60">
        <f t="shared" si="5"/>
        <v>11.8437645112776</v>
      </c>
      <c r="F12" s="61">
        <f t="shared" si="6"/>
        <v>15.133788119097</v>
      </c>
      <c r="G12" s="62">
        <f>'[1]cálculos teóricos'!T158</f>
        <v>22.681311649854528</v>
      </c>
      <c r="H12" s="75">
        <f t="shared" si="7"/>
        <v>66.723602024109852</v>
      </c>
      <c r="I12" s="169"/>
      <c r="J12" s="79"/>
      <c r="K12" s="76">
        <v>0.3</v>
      </c>
      <c r="L12" s="76">
        <v>1</v>
      </c>
      <c r="M12" s="79">
        <v>1</v>
      </c>
      <c r="N12" s="79">
        <v>1</v>
      </c>
      <c r="O12" s="77">
        <v>1</v>
      </c>
      <c r="P12" s="79">
        <v>1</v>
      </c>
      <c r="Q12" s="79">
        <v>1</v>
      </c>
      <c r="R12" s="79">
        <v>1</v>
      </c>
      <c r="S12" s="76">
        <v>0.9</v>
      </c>
      <c r="T12" s="82">
        <v>0.3</v>
      </c>
      <c r="U12" s="82"/>
      <c r="V12" s="78"/>
      <c r="W12" s="117">
        <f t="shared" si="0"/>
        <v>4.3</v>
      </c>
      <c r="X12" s="117">
        <f t="shared" si="1"/>
        <v>4.2</v>
      </c>
      <c r="Y12" s="70">
        <f t="shared" si="2"/>
        <v>8.5</v>
      </c>
      <c r="Z12" s="71">
        <f>'[1]cálculos teóricos'!I158</f>
        <v>10.617180669306048</v>
      </c>
      <c r="AA12" s="72">
        <f t="shared" si="3"/>
        <v>80.058918320691717</v>
      </c>
      <c r="AB12" s="3"/>
    </row>
    <row r="13" spans="1:28" ht="18" customHeight="1">
      <c r="A13" s="73">
        <v>5</v>
      </c>
      <c r="B13" s="57">
        <v>10.199999999999999</v>
      </c>
      <c r="C13" s="74">
        <f>'[1]cálculos teóricos'!K159</f>
        <v>0.95174646542982722</v>
      </c>
      <c r="D13" s="59">
        <f t="shared" si="4"/>
        <v>141.37974842273033</v>
      </c>
      <c r="E13" s="60">
        <f t="shared" si="5"/>
        <v>5.9192873069628726</v>
      </c>
      <c r="F13" s="61">
        <f t="shared" si="6"/>
        <v>7.7281916137035918</v>
      </c>
      <c r="G13" s="62">
        <f>'[1]cálculos teóricos'!T159</f>
        <v>22.609977337551737</v>
      </c>
      <c r="H13" s="75">
        <f t="shared" si="7"/>
        <v>34.180448296461755</v>
      </c>
      <c r="I13" s="169"/>
      <c r="J13" s="79"/>
      <c r="K13" s="76"/>
      <c r="L13" s="76"/>
      <c r="M13" s="79"/>
      <c r="N13" s="79">
        <v>0.2</v>
      </c>
      <c r="O13" s="77">
        <v>0.1</v>
      </c>
      <c r="P13" s="79"/>
      <c r="Q13" s="79"/>
      <c r="R13" s="79"/>
      <c r="S13" s="76"/>
      <c r="T13" s="82"/>
      <c r="U13" s="82"/>
      <c r="V13" s="78"/>
      <c r="W13" s="117">
        <f t="shared" si="0"/>
        <v>0.30000000000000004</v>
      </c>
      <c r="X13" s="117">
        <f t="shared" si="1"/>
        <v>0</v>
      </c>
      <c r="Y13" s="70">
        <f t="shared" si="2"/>
        <v>0.30000000000000004</v>
      </c>
      <c r="Z13" s="71">
        <f>'[1]cálculos teóricos'!I159</f>
        <v>10.608922985289027</v>
      </c>
      <c r="AA13" s="72">
        <f t="shared" si="3"/>
        <v>2.8278082555222444</v>
      </c>
      <c r="AB13" s="3"/>
    </row>
    <row r="14" spans="1:28" ht="18" customHeight="1">
      <c r="A14" s="73">
        <v>6</v>
      </c>
      <c r="B14" s="57">
        <v>7.8</v>
      </c>
      <c r="C14" s="74">
        <f>'[1]cálculos teóricos'!K160</f>
        <v>0.95135137635435019</v>
      </c>
      <c r="D14" s="59">
        <f t="shared" si="4"/>
        <v>108.06904500238531</v>
      </c>
      <c r="E14" s="60">
        <f t="shared" si="5"/>
        <v>4.5246347761598678</v>
      </c>
      <c r="F14" s="61">
        <f t="shared" si="6"/>
        <v>5.9848759501998359</v>
      </c>
      <c r="G14" s="62">
        <f>'[1]cálculos teóricos'!T160</f>
        <v>22.542401412452758</v>
      </c>
      <c r="H14" s="75">
        <f t="shared" si="7"/>
        <v>26.549416101222036</v>
      </c>
      <c r="I14" s="169"/>
      <c r="J14" s="79"/>
      <c r="K14" s="76"/>
      <c r="L14" s="76"/>
      <c r="M14" s="76"/>
      <c r="N14" s="76"/>
      <c r="O14" s="77"/>
      <c r="P14" s="79"/>
      <c r="Q14" s="79"/>
      <c r="R14" s="76"/>
      <c r="S14" s="76"/>
      <c r="T14" s="82"/>
      <c r="U14" s="82"/>
      <c r="V14" s="78"/>
      <c r="W14" s="117">
        <f t="shared" si="0"/>
        <v>0</v>
      </c>
      <c r="X14" s="117">
        <f t="shared" si="1"/>
        <v>0</v>
      </c>
      <c r="Y14" s="70">
        <f t="shared" si="2"/>
        <v>0</v>
      </c>
      <c r="Z14" s="71">
        <f>'[1]cálculos teóricos'!I160</f>
        <v>10.601106019475857</v>
      </c>
      <c r="AA14" s="72">
        <f t="shared" si="3"/>
        <v>0</v>
      </c>
      <c r="AB14" s="3"/>
    </row>
    <row r="15" spans="1:28" ht="18" customHeight="1">
      <c r="A15" s="73">
        <v>7</v>
      </c>
      <c r="B15" s="57">
        <v>14.3</v>
      </c>
      <c r="C15" s="74">
        <f>'[1]cálculos teóricos'!K161</f>
        <v>0.9509787254095502</v>
      </c>
      <c r="D15" s="59">
        <f t="shared" si="4"/>
        <v>198.04897494527839</v>
      </c>
      <c r="E15" s="60">
        <f t="shared" si="5"/>
        <v>8.2919144830089166</v>
      </c>
      <c r="F15" s="61">
        <f t="shared" si="6"/>
        <v>10.693975583761144</v>
      </c>
      <c r="G15" s="62">
        <f>'[1]cálculos teóricos'!T161</f>
        <v>22.478613467264381</v>
      </c>
      <c r="H15" s="75">
        <f t="shared" si="7"/>
        <v>47.574000057142257</v>
      </c>
      <c r="I15" s="169"/>
      <c r="J15" s="79"/>
      <c r="K15" s="76"/>
      <c r="L15" s="76">
        <v>0.4</v>
      </c>
      <c r="M15" s="76">
        <v>1</v>
      </c>
      <c r="N15" s="76">
        <v>0.3</v>
      </c>
      <c r="O15" s="77">
        <v>1</v>
      </c>
      <c r="P15" s="79"/>
      <c r="Q15" s="79">
        <v>0.7</v>
      </c>
      <c r="R15" s="76">
        <v>0.6</v>
      </c>
      <c r="S15" s="82"/>
      <c r="T15" s="82"/>
      <c r="U15" s="82"/>
      <c r="V15" s="78"/>
      <c r="W15" s="117">
        <f t="shared" si="0"/>
        <v>2.7</v>
      </c>
      <c r="X15" s="117">
        <f t="shared" si="1"/>
        <v>1.2999999999999998</v>
      </c>
      <c r="Y15" s="70">
        <f t="shared" si="2"/>
        <v>4</v>
      </c>
      <c r="Z15" s="71">
        <f>'[1]cálculos teóricos'!I161</f>
        <v>10.593735045285838</v>
      </c>
      <c r="AA15" s="72">
        <f t="shared" si="3"/>
        <v>37.758165395876887</v>
      </c>
      <c r="AB15" s="3"/>
    </row>
    <row r="16" spans="1:28" ht="18" customHeight="1">
      <c r="A16" s="80">
        <v>8</v>
      </c>
      <c r="B16" s="76">
        <v>9</v>
      </c>
      <c r="C16" s="74">
        <f>'[1]cálculos teóricos'!K162</f>
        <v>0.95062878906497217</v>
      </c>
      <c r="D16" s="59">
        <f t="shared" si="4"/>
        <v>124.60034132592951</v>
      </c>
      <c r="E16" s="60">
        <f t="shared" si="5"/>
        <v>5.2167670906340167</v>
      </c>
      <c r="F16" s="61">
        <f t="shared" si="6"/>
        <v>6.8500413432925207</v>
      </c>
      <c r="G16" s="62">
        <f>'[1]cálculos teóricos'!T162</f>
        <v>22.418641283973457</v>
      </c>
      <c r="H16" s="75">
        <f t="shared" si="7"/>
        <v>30.555113740052789</v>
      </c>
      <c r="I16" s="170"/>
      <c r="J16" s="82"/>
      <c r="K16" s="81"/>
      <c r="L16" s="76"/>
      <c r="M16" s="76"/>
      <c r="N16" s="76"/>
      <c r="O16" s="77"/>
      <c r="P16" s="79"/>
      <c r="Q16" s="79"/>
      <c r="R16" s="81"/>
      <c r="S16" s="81"/>
      <c r="T16" s="81"/>
      <c r="U16" s="81"/>
      <c r="V16" s="78"/>
      <c r="W16" s="117">
        <f t="shared" si="0"/>
        <v>0</v>
      </c>
      <c r="X16" s="117">
        <f t="shared" si="1"/>
        <v>0</v>
      </c>
      <c r="Y16" s="70">
        <f t="shared" si="2"/>
        <v>0</v>
      </c>
      <c r="Z16" s="71">
        <f>'[1]cálculos teóricos'!I162</f>
        <v>10.586815077931689</v>
      </c>
      <c r="AA16" s="72">
        <f t="shared" si="3"/>
        <v>0</v>
      </c>
      <c r="AB16" s="3"/>
    </row>
    <row r="17" spans="1:28" ht="18" customHeight="1">
      <c r="A17" s="80">
        <v>9</v>
      </c>
      <c r="B17" s="76">
        <v>7.2</v>
      </c>
      <c r="C17" s="74">
        <f>'[1]cálculos teóricos'!K163</f>
        <v>0.95030182753836612</v>
      </c>
      <c r="D17" s="59">
        <f t="shared" si="4"/>
        <v>99.645988790555961</v>
      </c>
      <c r="E17" s="60">
        <f t="shared" si="5"/>
        <v>4.171978258682997</v>
      </c>
      <c r="F17" s="61">
        <f t="shared" si="6"/>
        <v>5.5440553033537459</v>
      </c>
      <c r="G17" s="62">
        <f>'[1]cálculos teóricos'!T163</f>
        <v>22.362510814947974</v>
      </c>
      <c r="H17" s="75">
        <f t="shared" si="7"/>
        <v>24.791738947524099</v>
      </c>
      <c r="I17" s="170"/>
      <c r="J17" s="82"/>
      <c r="K17" s="81"/>
      <c r="L17" s="81"/>
      <c r="M17" s="81"/>
      <c r="N17" s="81"/>
      <c r="O17" s="78"/>
      <c r="P17" s="82">
        <v>0.1</v>
      </c>
      <c r="Q17" s="82"/>
      <c r="R17" s="81"/>
      <c r="S17" s="81"/>
      <c r="T17" s="81"/>
      <c r="U17" s="81"/>
      <c r="V17" s="78"/>
      <c r="W17" s="117">
        <f t="shared" si="0"/>
        <v>0</v>
      </c>
      <c r="X17" s="117">
        <f t="shared" si="1"/>
        <v>0.1</v>
      </c>
      <c r="Y17" s="70">
        <f t="shared" si="2"/>
        <v>0.1</v>
      </c>
      <c r="Z17" s="71">
        <f>'[1]cálculos teóricos'!I163</f>
        <v>10.580350862314617</v>
      </c>
      <c r="AA17" s="72">
        <f t="shared" si="3"/>
        <v>0.94514824036868883</v>
      </c>
      <c r="AB17" s="3"/>
    </row>
    <row r="18" spans="1:28" ht="18" customHeight="1">
      <c r="A18" s="80">
        <v>10</v>
      </c>
      <c r="B18" s="76">
        <v>13.2</v>
      </c>
      <c r="C18" s="74">
        <f>'[1]cálculos teóricos'!K164</f>
        <v>0.94999808440510503</v>
      </c>
      <c r="D18" s="59">
        <f t="shared" si="4"/>
        <v>182.62592174948546</v>
      </c>
      <c r="E18" s="60">
        <f t="shared" si="5"/>
        <v>7.6461820918074572</v>
      </c>
      <c r="F18" s="61">
        <f t="shared" si="6"/>
        <v>9.8868100947593209</v>
      </c>
      <c r="G18" s="62">
        <f>'[1]cálculos teóricos'!T164</f>
        <v>22.310246165477785</v>
      </c>
      <c r="H18" s="75">
        <f t="shared" si="7"/>
        <v>44.315109844273607</v>
      </c>
      <c r="I18" s="170"/>
      <c r="J18" s="82"/>
      <c r="K18" s="81"/>
      <c r="L18" s="81">
        <v>0.2</v>
      </c>
      <c r="M18" s="81">
        <v>0.1</v>
      </c>
      <c r="N18" s="81"/>
      <c r="O18" s="78"/>
      <c r="P18" s="79">
        <v>0.4</v>
      </c>
      <c r="Q18" s="82">
        <v>0.4</v>
      </c>
      <c r="R18" s="81">
        <v>0.6</v>
      </c>
      <c r="S18" s="81">
        <v>0.5</v>
      </c>
      <c r="T18" s="81">
        <v>0.4</v>
      </c>
      <c r="U18" s="81"/>
      <c r="V18" s="78"/>
      <c r="W18" s="117">
        <f t="shared" si="0"/>
        <v>0.30000000000000004</v>
      </c>
      <c r="X18" s="117">
        <f t="shared" si="1"/>
        <v>2.2999999999999998</v>
      </c>
      <c r="Y18" s="70">
        <f t="shared" si="2"/>
        <v>2.5999999999999996</v>
      </c>
      <c r="Z18" s="71">
        <f>'[1]cálculos teóricos'!I164</f>
        <v>10.57434686142002</v>
      </c>
      <c r="AA18" s="72">
        <f t="shared" si="3"/>
        <v>24.587807020838049</v>
      </c>
      <c r="AB18" s="3"/>
    </row>
    <row r="19" spans="1:28" ht="18" customHeight="1">
      <c r="A19" s="80">
        <v>11</v>
      </c>
      <c r="B19" s="76">
        <v>17.2</v>
      </c>
      <c r="C19" s="74">
        <f>'[1]cálculos teóricos'!K165</f>
        <v>0.94971778623038505</v>
      </c>
      <c r="D19" s="59">
        <f t="shared" si="4"/>
        <v>237.89689765197883</v>
      </c>
      <c r="E19" s="60">
        <f t="shared" si="5"/>
        <v>9.96026731089305</v>
      </c>
      <c r="F19" s="61">
        <f t="shared" si="6"/>
        <v>12.779416618616313</v>
      </c>
      <c r="G19" s="62">
        <f>'[1]cálculos teóricos'!T165</f>
        <v>22.261869577761775</v>
      </c>
      <c r="H19" s="75">
        <f t="shared" si="7"/>
        <v>57.404956820797096</v>
      </c>
      <c r="I19" s="170"/>
      <c r="J19" s="82"/>
      <c r="K19" s="81"/>
      <c r="L19" s="81"/>
      <c r="M19" s="81"/>
      <c r="N19" s="81">
        <v>1</v>
      </c>
      <c r="O19" s="78">
        <v>1</v>
      </c>
      <c r="P19" s="79">
        <v>0.9</v>
      </c>
      <c r="Q19" s="82">
        <v>0.8</v>
      </c>
      <c r="R19" s="81">
        <v>0.9</v>
      </c>
      <c r="S19" s="81">
        <v>1</v>
      </c>
      <c r="T19" s="81">
        <v>0.4</v>
      </c>
      <c r="U19" s="81"/>
      <c r="V19" s="78"/>
      <c r="W19" s="117">
        <f t="shared" si="0"/>
        <v>2</v>
      </c>
      <c r="X19" s="117">
        <f t="shared" si="1"/>
        <v>4</v>
      </c>
      <c r="Y19" s="70">
        <f t="shared" si="2"/>
        <v>6</v>
      </c>
      <c r="Z19" s="71">
        <f>'[1]cálculos teóricos'!I165</f>
        <v>10.568807245267474</v>
      </c>
      <c r="AA19" s="72">
        <f t="shared" si="3"/>
        <v>56.770833839236637</v>
      </c>
      <c r="AB19" s="3"/>
    </row>
    <row r="20" spans="1:28" ht="18" customHeight="1">
      <c r="A20" s="80">
        <v>12</v>
      </c>
      <c r="B20" s="76">
        <v>17.600000000000001</v>
      </c>
      <c r="C20" s="74">
        <f>'[1]cálculos teóricos'!K166</f>
        <v>0.94946114222524891</v>
      </c>
      <c r="D20" s="59">
        <f t="shared" si="4"/>
        <v>243.36360126843451</v>
      </c>
      <c r="E20" s="60">
        <f t="shared" si="5"/>
        <v>10.189147257906816</v>
      </c>
      <c r="F20" s="61">
        <f t="shared" si="6"/>
        <v>13.065516552383519</v>
      </c>
      <c r="G20" s="62">
        <f>'[1]cálculos teóricos'!T166</f>
        <v>22.217401416345737</v>
      </c>
      <c r="H20" s="75">
        <f t="shared" si="7"/>
        <v>58.807581982882063</v>
      </c>
      <c r="I20" s="170"/>
      <c r="J20" s="82"/>
      <c r="K20" s="81">
        <v>0.3</v>
      </c>
      <c r="L20" s="81">
        <v>0.6</v>
      </c>
      <c r="M20" s="81">
        <v>0.9</v>
      </c>
      <c r="N20" s="81">
        <v>1</v>
      </c>
      <c r="O20" s="78">
        <v>1</v>
      </c>
      <c r="P20" s="79">
        <v>1</v>
      </c>
      <c r="Q20" s="82">
        <v>0.5</v>
      </c>
      <c r="R20" s="81">
        <v>0.8</v>
      </c>
      <c r="S20" s="81">
        <v>1</v>
      </c>
      <c r="T20" s="81">
        <v>0.4</v>
      </c>
      <c r="U20" s="81"/>
      <c r="V20" s="78"/>
      <c r="W20" s="117">
        <f t="shared" si="0"/>
        <v>3.8</v>
      </c>
      <c r="X20" s="117">
        <f t="shared" si="1"/>
        <v>3.6999999999999997</v>
      </c>
      <c r="Y20" s="70">
        <f>W20+X20</f>
        <v>7.5</v>
      </c>
      <c r="Z20" s="71">
        <f>'[1]cálculos teóricos'!I166</f>
        <v>10.563735880466673</v>
      </c>
      <c r="AA20" s="72">
        <f t="shared" si="3"/>
        <v>70.997609982545995</v>
      </c>
      <c r="AB20" s="3"/>
    </row>
    <row r="21" spans="1:28" ht="18" customHeight="1">
      <c r="A21" s="80">
        <v>13</v>
      </c>
      <c r="B21" s="171">
        <v>22.4</v>
      </c>
      <c r="C21" s="74">
        <f>'[1]cálculos teóricos'!K167</f>
        <v>0.9492283439274154</v>
      </c>
      <c r="D21" s="59">
        <f t="shared" si="4"/>
        <v>309.65954850402687</v>
      </c>
      <c r="E21" s="60">
        <f t="shared" si="5"/>
        <v>12.964825976766598</v>
      </c>
      <c r="F21" s="61">
        <f t="shared" si="6"/>
        <v>16.535114950958246</v>
      </c>
      <c r="G21" s="62">
        <f>'[1]cálculos teóricos'!T167</f>
        <v>22.176860155014239</v>
      </c>
      <c r="H21" s="75">
        <f t="shared" si="7"/>
        <v>74.560216529207892</v>
      </c>
      <c r="I21" s="170"/>
      <c r="J21" s="82"/>
      <c r="K21" s="81">
        <v>0.1</v>
      </c>
      <c r="L21" s="81">
        <v>0.8</v>
      </c>
      <c r="M21" s="81">
        <v>1</v>
      </c>
      <c r="N21" s="81">
        <v>1</v>
      </c>
      <c r="O21" s="78">
        <v>1</v>
      </c>
      <c r="P21" s="79">
        <v>1</v>
      </c>
      <c r="Q21" s="82">
        <v>1</v>
      </c>
      <c r="R21" s="81">
        <v>1</v>
      </c>
      <c r="S21" s="81">
        <v>1</v>
      </c>
      <c r="T21" s="81">
        <v>0.1</v>
      </c>
      <c r="U21" s="81"/>
      <c r="V21" s="78"/>
      <c r="W21" s="117">
        <f t="shared" si="0"/>
        <v>3.9</v>
      </c>
      <c r="X21" s="117">
        <f t="shared" si="1"/>
        <v>4.0999999999999996</v>
      </c>
      <c r="Y21" s="70">
        <f>W21+X21</f>
        <v>8</v>
      </c>
      <c r="Z21" s="71">
        <f>'[1]cálculos teóricos'!I167</f>
        <v>10.559136320429129</v>
      </c>
      <c r="AA21" s="72">
        <f t="shared" si="3"/>
        <v>75.763772312723347</v>
      </c>
      <c r="AB21" s="3"/>
    </row>
    <row r="22" spans="1:28" ht="18" customHeight="1">
      <c r="A22" s="80">
        <v>14</v>
      </c>
      <c r="B22" s="76">
        <v>18.8</v>
      </c>
      <c r="C22" s="74">
        <f>'[1]cálculos teóricos'!K168</f>
        <v>0.94901956490783757</v>
      </c>
      <c r="D22" s="59">
        <f t="shared" si="4"/>
        <v>259.8356729504635</v>
      </c>
      <c r="E22" s="60">
        <f t="shared" si="5"/>
        <v>10.878799955090006</v>
      </c>
      <c r="F22" s="61">
        <f t="shared" si="6"/>
        <v>13.927582423862507</v>
      </c>
      <c r="G22" s="62">
        <f>'[1]cálculos teóricos'!T168</f>
        <v>22.140262365137801</v>
      </c>
      <c r="H22" s="75">
        <f t="shared" si="7"/>
        <v>62.906130894785456</v>
      </c>
      <c r="I22" s="170"/>
      <c r="J22" s="82"/>
      <c r="K22" s="81"/>
      <c r="L22" s="81">
        <v>0.6</v>
      </c>
      <c r="M22" s="81">
        <v>0.9</v>
      </c>
      <c r="N22" s="81">
        <v>0.9</v>
      </c>
      <c r="O22" s="78">
        <v>0.9</v>
      </c>
      <c r="P22" s="79">
        <v>0.8</v>
      </c>
      <c r="Q22" s="82">
        <v>0.6</v>
      </c>
      <c r="R22" s="81">
        <v>0.6</v>
      </c>
      <c r="S22" s="81"/>
      <c r="T22" s="81"/>
      <c r="U22" s="81"/>
      <c r="V22" s="78"/>
      <c r="W22" s="117">
        <f t="shared" si="0"/>
        <v>3.3</v>
      </c>
      <c r="X22" s="117">
        <f t="shared" si="1"/>
        <v>2</v>
      </c>
      <c r="Y22" s="70">
        <f>W22+X22</f>
        <v>5.3</v>
      </c>
      <c r="Z22" s="71">
        <f>'[1]cálculos teóricos'!I168</f>
        <v>10.555011796282567</v>
      </c>
      <c r="AA22" s="72">
        <f t="shared" si="3"/>
        <v>50.213112995919516</v>
      </c>
      <c r="AB22" s="3"/>
    </row>
    <row r="23" spans="1:28" ht="18" customHeight="1">
      <c r="A23" s="80">
        <v>15</v>
      </c>
      <c r="B23" s="172">
        <v>-99</v>
      </c>
      <c r="C23" s="173">
        <f>'[1]cálculos teóricos'!K169</f>
        <v>0.94883496050383698</v>
      </c>
      <c r="D23" s="174">
        <f t="shared" si="4"/>
        <v>-999</v>
      </c>
      <c r="E23" s="175">
        <f t="shared" si="5"/>
        <v>-999</v>
      </c>
      <c r="F23" s="176">
        <f t="shared" si="6"/>
        <v>-999</v>
      </c>
      <c r="G23" s="177">
        <f>'[1]cálculos teóricos'!T169</f>
        <v>22.107622705475894</v>
      </c>
      <c r="H23" s="178">
        <f t="shared" si="7"/>
        <v>-999</v>
      </c>
      <c r="I23" s="179">
        <v>-99</v>
      </c>
      <c r="J23" s="180">
        <v>-99</v>
      </c>
      <c r="K23" s="155">
        <v>-99</v>
      </c>
      <c r="L23" s="155">
        <v>-99</v>
      </c>
      <c r="M23" s="155">
        <v>-99</v>
      </c>
      <c r="N23" s="155">
        <v>-99</v>
      </c>
      <c r="O23" s="156">
        <v>-99</v>
      </c>
      <c r="P23" s="154">
        <v>-99</v>
      </c>
      <c r="Q23" s="180">
        <v>-99</v>
      </c>
      <c r="R23" s="155">
        <v>-99</v>
      </c>
      <c r="S23" s="155">
        <v>-99</v>
      </c>
      <c r="T23" s="155">
        <v>-99</v>
      </c>
      <c r="U23" s="155">
        <v>-99</v>
      </c>
      <c r="V23" s="156">
        <v>-99</v>
      </c>
      <c r="W23" s="181"/>
      <c r="X23" s="181"/>
      <c r="Y23" s="182">
        <v>-99</v>
      </c>
      <c r="Z23" s="183">
        <f>'[1]cálculos teóricos'!I169</f>
        <v>10.551365208532534</v>
      </c>
      <c r="AA23" s="184">
        <f t="shared" si="3"/>
        <v>-938.26721038849109</v>
      </c>
      <c r="AB23" s="3"/>
    </row>
    <row r="24" spans="1:28" ht="18" customHeight="1">
      <c r="A24" s="80">
        <v>16</v>
      </c>
      <c r="B24" s="76">
        <v>18</v>
      </c>
      <c r="C24" s="74">
        <f>'[1]cálculos teóricos'!K170</f>
        <v>0.9486746675795964</v>
      </c>
      <c r="D24" s="59">
        <f t="shared" si="4"/>
        <v>248.68842338331814</v>
      </c>
      <c r="E24" s="60">
        <f t="shared" si="5"/>
        <v>10.412086910212762</v>
      </c>
      <c r="F24" s="61">
        <f t="shared" si="6"/>
        <v>13.344191117765956</v>
      </c>
      <c r="G24" s="62">
        <f>'[1]cálculos teóricos'!T170</f>
        <v>22.078953913434933</v>
      </c>
      <c r="H24" s="75">
        <f t="shared" si="7"/>
        <v>60.438511580234255</v>
      </c>
      <c r="I24" s="170"/>
      <c r="J24" s="82"/>
      <c r="K24" s="81">
        <v>0.5</v>
      </c>
      <c r="L24" s="81">
        <v>1</v>
      </c>
      <c r="M24" s="81">
        <v>0.9</v>
      </c>
      <c r="N24" s="81">
        <v>1</v>
      </c>
      <c r="O24" s="78">
        <v>1</v>
      </c>
      <c r="P24" s="82">
        <v>1</v>
      </c>
      <c r="Q24" s="81">
        <v>0.6</v>
      </c>
      <c r="R24" s="81">
        <v>0.7</v>
      </c>
      <c r="S24" s="81">
        <v>0.9</v>
      </c>
      <c r="T24" s="81">
        <v>0.3</v>
      </c>
      <c r="U24" s="81"/>
      <c r="V24" s="78"/>
      <c r="W24" s="117">
        <f t="shared" ref="W24:W38" si="8">SUM(I24:O24)</f>
        <v>4.4000000000000004</v>
      </c>
      <c r="X24" s="117">
        <f t="shared" si="1"/>
        <v>3.4999999999999996</v>
      </c>
      <c r="Y24" s="70">
        <f>W24+X24</f>
        <v>7.9</v>
      </c>
      <c r="Z24" s="71">
        <f>'[1]cálculos teóricos'!I170</f>
        <v>10.54819911951218</v>
      </c>
      <c r="AA24" s="72">
        <f t="shared" si="3"/>
        <v>74.894301012828706</v>
      </c>
      <c r="AB24" s="3"/>
    </row>
    <row r="25" spans="1:28" ht="18" customHeight="1">
      <c r="A25" s="85">
        <v>17</v>
      </c>
      <c r="B25" s="76">
        <v>18.5</v>
      </c>
      <c r="C25" s="74">
        <f>'[1]cálculos teóricos'!K171</f>
        <v>0.94853880431471793</v>
      </c>
      <c r="D25" s="59">
        <f t="shared" si="4"/>
        <v>255.55983021779178</v>
      </c>
      <c r="E25" s="60">
        <f t="shared" si="5"/>
        <v>10.699778971558505</v>
      </c>
      <c r="F25" s="61">
        <f t="shared" si="6"/>
        <v>13.703806194448134</v>
      </c>
      <c r="G25" s="62">
        <f>'[1]cálculos teóricos'!T171</f>
        <v>22.054266797780116</v>
      </c>
      <c r="H25" s="75">
        <f t="shared" si="7"/>
        <v>62.136757118706385</v>
      </c>
      <c r="I25" s="170"/>
      <c r="J25" s="82"/>
      <c r="K25" s="81">
        <v>1</v>
      </c>
      <c r="L25" s="81">
        <v>1</v>
      </c>
      <c r="M25" s="81">
        <v>1</v>
      </c>
      <c r="N25" s="81">
        <v>1</v>
      </c>
      <c r="O25" s="78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0.5</v>
      </c>
      <c r="U25" s="81"/>
      <c r="V25" s="78"/>
      <c r="W25" s="117">
        <f t="shared" si="8"/>
        <v>5</v>
      </c>
      <c r="X25" s="117">
        <f t="shared" si="1"/>
        <v>4.5</v>
      </c>
      <c r="Y25" s="70">
        <f t="shared" ref="Y25:Y33" si="9">W25+X25</f>
        <v>9.5</v>
      </c>
      <c r="Z25" s="71">
        <f>'[1]cálculos teóricos'!I171</f>
        <v>10.545515746657909</v>
      </c>
      <c r="AA25" s="72">
        <f t="shared" si="3"/>
        <v>90.085684078663917</v>
      </c>
      <c r="AB25" s="3"/>
    </row>
    <row r="26" spans="1:28" ht="18" customHeight="1">
      <c r="A26" s="85">
        <v>18</v>
      </c>
      <c r="B26" s="172">
        <v>-99</v>
      </c>
      <c r="C26" s="173">
        <f>'[1]cálculos teóricos'!K172</f>
        <v>0.94842747002147099</v>
      </c>
      <c r="D26" s="174">
        <f t="shared" si="4"/>
        <v>-999</v>
      </c>
      <c r="E26" s="175">
        <f t="shared" si="5"/>
        <v>-999</v>
      </c>
      <c r="F26" s="176">
        <f t="shared" si="6"/>
        <v>-999</v>
      </c>
      <c r="G26" s="177">
        <f>'[1]cálculos teóricos'!T172</f>
        <v>22.033570232799129</v>
      </c>
      <c r="H26" s="178">
        <f t="shared" si="7"/>
        <v>-999</v>
      </c>
      <c r="I26" s="170"/>
      <c r="J26" s="82"/>
      <c r="K26" s="81">
        <v>0.4</v>
      </c>
      <c r="L26" s="81">
        <v>1</v>
      </c>
      <c r="M26" s="81">
        <v>1</v>
      </c>
      <c r="N26" s="81">
        <v>1</v>
      </c>
      <c r="O26" s="78">
        <v>1</v>
      </c>
      <c r="P26" s="82">
        <v>1</v>
      </c>
      <c r="Q26" s="81">
        <v>1</v>
      </c>
      <c r="R26" s="81">
        <v>1</v>
      </c>
      <c r="S26" s="81">
        <v>1</v>
      </c>
      <c r="T26" s="81">
        <v>0.5</v>
      </c>
      <c r="U26" s="81"/>
      <c r="V26" s="78"/>
      <c r="W26" s="117">
        <f t="shared" si="8"/>
        <v>4.4000000000000004</v>
      </c>
      <c r="X26" s="117">
        <f t="shared" si="1"/>
        <v>4.5</v>
      </c>
      <c r="Y26" s="70">
        <f t="shared" si="9"/>
        <v>8.9</v>
      </c>
      <c r="Z26" s="71">
        <f>'[1]cálculos teóricos'!I172</f>
        <v>10.543316956644638</v>
      </c>
      <c r="AA26" s="72">
        <f t="shared" si="3"/>
        <v>84.413662575049656</v>
      </c>
      <c r="AB26" s="3"/>
    </row>
    <row r="27" spans="1:28" ht="18" customHeight="1">
      <c r="A27" s="85">
        <v>19</v>
      </c>
      <c r="B27" s="172">
        <v>-99</v>
      </c>
      <c r="C27" s="173">
        <f>'[1]cálculos teóricos'!K173</f>
        <v>0.94834074499127929</v>
      </c>
      <c r="D27" s="174">
        <f t="shared" si="4"/>
        <v>-999</v>
      </c>
      <c r="E27" s="175">
        <f t="shared" si="5"/>
        <v>-999</v>
      </c>
      <c r="F27" s="176">
        <f t="shared" si="6"/>
        <v>-999</v>
      </c>
      <c r="G27" s="177">
        <f>'[1]cálculos teóricos'!T173</f>
        <v>22.016871153915464</v>
      </c>
      <c r="H27" s="178">
        <f t="shared" si="7"/>
        <v>-999</v>
      </c>
      <c r="I27" s="170"/>
      <c r="J27" s="82"/>
      <c r="K27" s="81">
        <v>0.5</v>
      </c>
      <c r="L27" s="81">
        <v>1</v>
      </c>
      <c r="M27" s="81">
        <v>1</v>
      </c>
      <c r="N27" s="81">
        <v>1</v>
      </c>
      <c r="O27" s="78">
        <v>1</v>
      </c>
      <c r="P27" s="82">
        <v>1</v>
      </c>
      <c r="Q27" s="81">
        <v>1</v>
      </c>
      <c r="R27" s="81">
        <v>1</v>
      </c>
      <c r="S27" s="81">
        <v>0.4</v>
      </c>
      <c r="T27" s="81">
        <v>0.2</v>
      </c>
      <c r="U27" s="81"/>
      <c r="V27" s="78"/>
      <c r="W27" s="117">
        <f t="shared" si="8"/>
        <v>4.5</v>
      </c>
      <c r="X27" s="117">
        <f t="shared" si="1"/>
        <v>3.6</v>
      </c>
      <c r="Y27" s="70">
        <f t="shared" si="9"/>
        <v>8.1</v>
      </c>
      <c r="Z27" s="71">
        <f>'[1]cálculos teóricos'!I173</f>
        <v>10.541604260410397</v>
      </c>
      <c r="AA27" s="72">
        <f t="shared" si="3"/>
        <v>76.838399544365529</v>
      </c>
      <c r="AB27" s="3"/>
    </row>
    <row r="28" spans="1:28" ht="18" customHeight="1">
      <c r="A28" s="85">
        <v>20</v>
      </c>
      <c r="B28" s="76">
        <v>21.1</v>
      </c>
      <c r="C28" s="74">
        <f>'[1]cálculos teóricos'!K174</f>
        <v>0.94827869037091239</v>
      </c>
      <c r="D28" s="59">
        <f t="shared" si="4"/>
        <v>291.39641652227414</v>
      </c>
      <c r="E28" s="60">
        <f t="shared" si="5"/>
        <v>12.200185166954572</v>
      </c>
      <c r="F28" s="61">
        <f t="shared" si="6"/>
        <v>15.579313938693216</v>
      </c>
      <c r="G28" s="62">
        <f>'[1]cálculos teóricos'!T174</f>
        <v>22.004174554749007</v>
      </c>
      <c r="H28" s="75">
        <f t="shared" si="7"/>
        <v>70.801628572478506</v>
      </c>
      <c r="I28" s="170"/>
      <c r="J28" s="82"/>
      <c r="K28" s="81">
        <v>0.8</v>
      </c>
      <c r="L28" s="81">
        <v>1</v>
      </c>
      <c r="M28" s="81">
        <v>1</v>
      </c>
      <c r="N28" s="81">
        <v>1</v>
      </c>
      <c r="O28" s="78">
        <v>1</v>
      </c>
      <c r="P28" s="82">
        <v>1</v>
      </c>
      <c r="Q28" s="81">
        <v>1</v>
      </c>
      <c r="R28" s="81">
        <v>1</v>
      </c>
      <c r="S28" s="81">
        <v>1</v>
      </c>
      <c r="T28" s="81">
        <v>0.3</v>
      </c>
      <c r="U28" s="81"/>
      <c r="V28" s="78"/>
      <c r="W28" s="117">
        <f t="shared" si="8"/>
        <v>4.8</v>
      </c>
      <c r="X28" s="117">
        <f t="shared" si="1"/>
        <v>4.3</v>
      </c>
      <c r="Y28" s="70">
        <f t="shared" si="9"/>
        <v>9.1</v>
      </c>
      <c r="Z28" s="71">
        <f>'[1]cálculos teóricos'!I174</f>
        <v>10.540378809095687</v>
      </c>
      <c r="AA28" s="72">
        <f t="shared" si="3"/>
        <v>86.334658030954927</v>
      </c>
      <c r="AB28" s="3"/>
    </row>
    <row r="29" spans="1:28" ht="18" customHeight="1">
      <c r="A29" s="85">
        <v>21</v>
      </c>
      <c r="B29" s="76">
        <v>13.7</v>
      </c>
      <c r="C29" s="74">
        <f>'[1]cálculos teóricos'!K175</f>
        <v>0.94824134806875726</v>
      </c>
      <c r="D29" s="59">
        <f t="shared" si="4"/>
        <v>189.19306635461103</v>
      </c>
      <c r="E29" s="60">
        <f t="shared" si="5"/>
        <v>7.9211353021348545</v>
      </c>
      <c r="F29" s="61">
        <f t="shared" si="6"/>
        <v>10.230501607668568</v>
      </c>
      <c r="G29" s="62">
        <f>'[1]cálculos teóricos'!T175</f>
        <v>21.995483485621605</v>
      </c>
      <c r="H29" s="75">
        <f t="shared" si="7"/>
        <v>46.511828732276889</v>
      </c>
      <c r="I29" s="170"/>
      <c r="J29" s="82"/>
      <c r="K29" s="81"/>
      <c r="L29" s="81"/>
      <c r="M29" s="81">
        <v>0.3</v>
      </c>
      <c r="N29" s="81">
        <v>0.1</v>
      </c>
      <c r="O29" s="78">
        <v>0.8</v>
      </c>
      <c r="P29" s="82">
        <v>1</v>
      </c>
      <c r="Q29" s="81">
        <v>0.8</v>
      </c>
      <c r="R29" s="81">
        <v>0.7</v>
      </c>
      <c r="S29" s="81">
        <v>0.1</v>
      </c>
      <c r="T29" s="81">
        <v>0.1</v>
      </c>
      <c r="U29" s="81"/>
      <c r="V29" s="78"/>
      <c r="W29" s="117">
        <f t="shared" si="8"/>
        <v>1.2000000000000002</v>
      </c>
      <c r="X29" s="117">
        <f t="shared" si="1"/>
        <v>2.7</v>
      </c>
      <c r="Y29" s="70">
        <f t="shared" si="9"/>
        <v>3.9000000000000004</v>
      </c>
      <c r="Z29" s="71">
        <f>'[1]cálculos teóricos'!I175</f>
        <v>10.539641390918483</v>
      </c>
      <c r="AA29" s="72">
        <f t="shared" si="3"/>
        <v>37.003156514987772</v>
      </c>
      <c r="AB29" s="3"/>
    </row>
    <row r="30" spans="1:28" ht="18" customHeight="1">
      <c r="A30" s="85">
        <v>22</v>
      </c>
      <c r="B30" s="76">
        <v>12.3</v>
      </c>
      <c r="C30" s="74">
        <f>'[1]cálculos teóricos'!K176</f>
        <v>0.94822874069146967</v>
      </c>
      <c r="D30" s="59">
        <f t="shared" si="4"/>
        <v>169.85720996024071</v>
      </c>
      <c r="E30" s="60">
        <f t="shared" si="5"/>
        <v>7.1115816666153577</v>
      </c>
      <c r="F30" s="61">
        <f t="shared" si="6"/>
        <v>9.2185595632691975</v>
      </c>
      <c r="G30" s="62">
        <f>'[1]cálculos teóricos'!T176</f>
        <v>21.990799053505</v>
      </c>
      <c r="H30" s="75">
        <f t="shared" si="7"/>
        <v>41.920075486297073</v>
      </c>
      <c r="I30" s="170"/>
      <c r="J30" s="82"/>
      <c r="K30" s="81"/>
      <c r="L30" s="81">
        <v>0.2</v>
      </c>
      <c r="M30" s="81">
        <v>0.2</v>
      </c>
      <c r="N30" s="81">
        <v>0.1</v>
      </c>
      <c r="O30" s="78">
        <v>0.2</v>
      </c>
      <c r="P30" s="82">
        <v>0.7</v>
      </c>
      <c r="Q30" s="81">
        <v>0.7</v>
      </c>
      <c r="R30" s="81">
        <v>0.4</v>
      </c>
      <c r="S30" s="81">
        <v>0.2</v>
      </c>
      <c r="T30" s="81"/>
      <c r="U30" s="81"/>
      <c r="V30" s="78"/>
      <c r="W30" s="117">
        <f t="shared" si="8"/>
        <v>0.7</v>
      </c>
      <c r="X30" s="117">
        <f t="shared" si="1"/>
        <v>1.9999999999999998</v>
      </c>
      <c r="Y30" s="70">
        <f t="shared" si="9"/>
        <v>2.6999999999999997</v>
      </c>
      <c r="Z30" s="71">
        <f>'[1]cálculos teóricos'!I176</f>
        <v>10.539392429001008</v>
      </c>
      <c r="AA30" s="72">
        <f t="shared" si="3"/>
        <v>25.618175034174371</v>
      </c>
      <c r="AB30" s="3"/>
    </row>
    <row r="31" spans="1:28" ht="18" customHeight="1">
      <c r="A31" s="85">
        <v>23</v>
      </c>
      <c r="B31" s="76">
        <v>10.9</v>
      </c>
      <c r="C31" s="74">
        <f>'[1]cálculos teóricos'!K177</f>
        <v>0.9482408715112014</v>
      </c>
      <c r="D31" s="59">
        <f t="shared" si="4"/>
        <v>150.52579466156186</v>
      </c>
      <c r="E31" s="60">
        <f t="shared" si="5"/>
        <v>6.3022139708902714</v>
      </c>
      <c r="F31" s="61">
        <f t="shared" si="6"/>
        <v>8.2068499436128395</v>
      </c>
      <c r="G31" s="62">
        <f>'[1]cálculos teóricos'!T177</f>
        <v>21.990120423409326</v>
      </c>
      <c r="H31" s="75">
        <f t="shared" si="7"/>
        <v>37.320623014307522</v>
      </c>
      <c r="I31" s="170"/>
      <c r="J31" s="82"/>
      <c r="K31" s="81">
        <v>0.9</v>
      </c>
      <c r="L31" s="81">
        <v>1</v>
      </c>
      <c r="M31" s="81">
        <v>0.4</v>
      </c>
      <c r="N31" s="81">
        <v>0.6</v>
      </c>
      <c r="O31" s="78"/>
      <c r="P31" s="82"/>
      <c r="Q31" s="81"/>
      <c r="R31" s="81"/>
      <c r="S31" s="81"/>
      <c r="T31" s="81"/>
      <c r="U31" s="81"/>
      <c r="V31" s="78"/>
      <c r="W31" s="117">
        <f t="shared" si="8"/>
        <v>2.9</v>
      </c>
      <c r="X31" s="117">
        <f t="shared" si="1"/>
        <v>0</v>
      </c>
      <c r="Y31" s="70">
        <f t="shared" si="9"/>
        <v>2.9</v>
      </c>
      <c r="Z31" s="71">
        <f>'[1]cálculos teóricos'!I177</f>
        <v>10.539631980159754</v>
      </c>
      <c r="AA31" s="72">
        <f t="shared" si="3"/>
        <v>27.515192233078743</v>
      </c>
      <c r="AB31" s="3"/>
    </row>
    <row r="32" spans="1:28" ht="18" customHeight="1">
      <c r="A32" s="85">
        <v>24</v>
      </c>
      <c r="B32" s="76">
        <v>19.7</v>
      </c>
      <c r="C32" s="74">
        <f>'[1]cálculos teóricos'!K178</f>
        <v>0.94827772446352887</v>
      </c>
      <c r="D32" s="59">
        <f t="shared" si="4"/>
        <v>272.06178001242466</v>
      </c>
      <c r="E32" s="60">
        <f t="shared" si="5"/>
        <v>11.390682605560196</v>
      </c>
      <c r="F32" s="61">
        <f t="shared" si="6"/>
        <v>14.567435736950245</v>
      </c>
      <c r="G32" s="62">
        <f>'[1]cálculos teóricos'!T178</f>
        <v>21.993444821210002</v>
      </c>
      <c r="H32" s="75">
        <f t="shared" si="7"/>
        <v>66.235352648811642</v>
      </c>
      <c r="I32" s="170"/>
      <c r="J32" s="82"/>
      <c r="K32" s="81"/>
      <c r="L32" s="81"/>
      <c r="M32" s="81">
        <v>0.3</v>
      </c>
      <c r="N32" s="81">
        <v>1</v>
      </c>
      <c r="O32" s="78">
        <v>1</v>
      </c>
      <c r="P32" s="82">
        <v>1</v>
      </c>
      <c r="Q32" s="81">
        <v>1</v>
      </c>
      <c r="R32" s="81">
        <v>1</v>
      </c>
      <c r="S32" s="81">
        <v>1</v>
      </c>
      <c r="T32" s="81">
        <v>0.6</v>
      </c>
      <c r="U32" s="81"/>
      <c r="V32" s="78"/>
      <c r="W32" s="117">
        <f t="shared" si="8"/>
        <v>2.2999999999999998</v>
      </c>
      <c r="X32" s="117">
        <f t="shared" si="1"/>
        <v>4.5999999999999996</v>
      </c>
      <c r="Y32" s="70">
        <f t="shared" si="9"/>
        <v>6.8999999999999995</v>
      </c>
      <c r="Z32" s="71">
        <f>'[1]cálculos teóricos'!I178</f>
        <v>10.540359734665067</v>
      </c>
      <c r="AA32" s="72">
        <f t="shared" si="3"/>
        <v>65.462661367309167</v>
      </c>
      <c r="AB32" s="3"/>
    </row>
    <row r="33" spans="1:28" ht="18" customHeight="1">
      <c r="A33" s="85">
        <v>25</v>
      </c>
      <c r="B33" s="76">
        <v>23.2</v>
      </c>
      <c r="C33" s="74">
        <f>'[1]cálculos teóricos'!K179</f>
        <v>0.94833926417610326</v>
      </c>
      <c r="D33" s="59">
        <f t="shared" si="4"/>
        <v>320.41842187282538</v>
      </c>
      <c r="E33" s="60">
        <f t="shared" si="5"/>
        <v>13.415278486971452</v>
      </c>
      <c r="F33" s="61">
        <f t="shared" si="6"/>
        <v>17.098180588714314</v>
      </c>
      <c r="G33" s="62">
        <f>'[1]cálculos teóricos'!T179</f>
        <v>22.000767537911535</v>
      </c>
      <c r="H33" s="75">
        <f t="shared" si="7"/>
        <v>77.716291303250543</v>
      </c>
      <c r="I33" s="170"/>
      <c r="J33" s="82"/>
      <c r="K33" s="81">
        <v>0.5</v>
      </c>
      <c r="L33" s="81">
        <v>0.5</v>
      </c>
      <c r="M33" s="81">
        <v>1</v>
      </c>
      <c r="N33" s="81">
        <v>1</v>
      </c>
      <c r="O33" s="78">
        <v>1</v>
      </c>
      <c r="P33" s="82">
        <v>1</v>
      </c>
      <c r="Q33" s="81">
        <v>1</v>
      </c>
      <c r="R33" s="81">
        <v>1</v>
      </c>
      <c r="S33" s="81">
        <v>1</v>
      </c>
      <c r="T33" s="81">
        <v>0.5</v>
      </c>
      <c r="U33" s="81"/>
      <c r="V33" s="78"/>
      <c r="W33" s="117">
        <f t="shared" si="8"/>
        <v>4</v>
      </c>
      <c r="X33" s="117">
        <f t="shared" si="1"/>
        <v>4.5</v>
      </c>
      <c r="Y33" s="70">
        <f t="shared" si="9"/>
        <v>8.5</v>
      </c>
      <c r="Z33" s="71">
        <f>'[1]cálculos teóricos'!I179</f>
        <v>10.541575016971914</v>
      </c>
      <c r="AA33" s="72">
        <f t="shared" si="3"/>
        <v>80.633112094872146</v>
      </c>
      <c r="AB33" s="3"/>
    </row>
    <row r="34" spans="1:28" ht="18" customHeight="1">
      <c r="A34" s="85">
        <v>26</v>
      </c>
      <c r="B34" s="76">
        <v>21.5</v>
      </c>
      <c r="C34" s="74">
        <f>'[1]cálculos teóricos'!K180</f>
        <v>0.94842543602796126</v>
      </c>
      <c r="D34" s="59">
        <f t="shared" si="4"/>
        <v>296.96646750825408</v>
      </c>
      <c r="E34" s="60">
        <f t="shared" si="5"/>
        <v>12.433392061635582</v>
      </c>
      <c r="F34" s="61">
        <f t="shared" si="6"/>
        <v>15.870822557044479</v>
      </c>
      <c r="G34" s="62">
        <f>'[1]cálculos teóricos'!T180</f>
        <v>22.012081935346771</v>
      </c>
      <c r="H34" s="75">
        <f t="shared" si="7"/>
        <v>72.100506456680392</v>
      </c>
      <c r="I34" s="170"/>
      <c r="J34" s="82"/>
      <c r="K34" s="81">
        <v>0.4</v>
      </c>
      <c r="L34" s="81">
        <v>1</v>
      </c>
      <c r="M34" s="81">
        <v>1</v>
      </c>
      <c r="N34" s="81">
        <v>1</v>
      </c>
      <c r="O34" s="78">
        <v>1</v>
      </c>
      <c r="P34" s="82">
        <v>1</v>
      </c>
      <c r="Q34" s="81">
        <v>1</v>
      </c>
      <c r="R34" s="81">
        <v>1</v>
      </c>
      <c r="S34" s="81">
        <v>1</v>
      </c>
      <c r="T34" s="81">
        <v>0.4</v>
      </c>
      <c r="U34" s="81"/>
      <c r="V34" s="78"/>
      <c r="W34" s="117">
        <f t="shared" si="8"/>
        <v>4.4000000000000004</v>
      </c>
      <c r="X34" s="117">
        <f t="shared" si="1"/>
        <v>4.4000000000000004</v>
      </c>
      <c r="Y34" s="70">
        <f>W34+X34</f>
        <v>8.8000000000000007</v>
      </c>
      <c r="Z34" s="71">
        <f>'[1]cálculos teóricos'!I180</f>
        <v>10.543276787418177</v>
      </c>
      <c r="AA34" s="72">
        <f t="shared" si="3"/>
        <v>83.465512453409971</v>
      </c>
      <c r="AB34" s="3"/>
    </row>
    <row r="35" spans="1:28" ht="18" customHeight="1">
      <c r="A35" s="85">
        <v>27</v>
      </c>
      <c r="B35" s="76">
        <v>8.6999999999999993</v>
      </c>
      <c r="C35" s="74">
        <f>'[1]cálculos teóricos'!K181</f>
        <v>0.94853616623934689</v>
      </c>
      <c r="D35" s="59">
        <f t="shared" si="4"/>
        <v>120.18185617613253</v>
      </c>
      <c r="E35" s="60">
        <f t="shared" si="5"/>
        <v>5.0317739543823166</v>
      </c>
      <c r="F35" s="61">
        <f t="shared" si="6"/>
        <v>6.618799922977896</v>
      </c>
      <c r="G35" s="62">
        <f>'[1]cálculos teóricos'!T181</f>
        <v>22.027379453310431</v>
      </c>
      <c r="H35" s="75">
        <f t="shared" si="7"/>
        <v>30.048058767077606</v>
      </c>
      <c r="I35" s="170"/>
      <c r="J35" s="82"/>
      <c r="K35" s="81"/>
      <c r="L35" s="81"/>
      <c r="M35" s="81"/>
      <c r="N35" s="81">
        <v>0.4</v>
      </c>
      <c r="O35" s="78">
        <v>0.1</v>
      </c>
      <c r="P35" s="82">
        <v>0.3</v>
      </c>
      <c r="Q35" s="81"/>
      <c r="R35" s="81"/>
      <c r="S35" s="81"/>
      <c r="T35" s="81"/>
      <c r="U35" s="81"/>
      <c r="V35" s="78"/>
      <c r="W35" s="117">
        <f t="shared" si="8"/>
        <v>0.5</v>
      </c>
      <c r="X35" s="117">
        <f t="shared" si="1"/>
        <v>0.3</v>
      </c>
      <c r="Y35" s="70">
        <f>W35+X35</f>
        <v>0.8</v>
      </c>
      <c r="Z35" s="71">
        <f>'[1]cálculos teóricos'!I181</f>
        <v>10.545463644882119</v>
      </c>
      <c r="AA35" s="72">
        <f t="shared" si="3"/>
        <v>7.5862003505958002</v>
      </c>
      <c r="AB35" s="3"/>
    </row>
    <row r="36" spans="1:28" ht="18" customHeight="1">
      <c r="A36" s="85">
        <v>28</v>
      </c>
      <c r="B36" s="76">
        <v>17.399999999999999</v>
      </c>
      <c r="C36" s="74">
        <f>'[1]cálculos teóricos'!K182</f>
        <v>0.94867136199179813</v>
      </c>
      <c r="D36" s="59">
        <f t="shared" si="4"/>
        <v>240.39797161839536</v>
      </c>
      <c r="E36" s="60">
        <f t="shared" si="5"/>
        <v>10.064982275718977</v>
      </c>
      <c r="F36" s="61">
        <f t="shared" si="6"/>
        <v>12.910310324648721</v>
      </c>
      <c r="G36" s="62">
        <f>'[1]cálculos teóricos'!T182</f>
        <v>22.046649618125883</v>
      </c>
      <c r="H36" s="75">
        <f t="shared" si="7"/>
        <v>58.559057944270933</v>
      </c>
      <c r="I36" s="170"/>
      <c r="J36" s="82"/>
      <c r="K36" s="81"/>
      <c r="L36" s="81"/>
      <c r="M36" s="81"/>
      <c r="N36" s="81">
        <v>1</v>
      </c>
      <c r="O36" s="78">
        <v>1</v>
      </c>
      <c r="P36" s="82">
        <v>1</v>
      </c>
      <c r="Q36" s="81">
        <v>1</v>
      </c>
      <c r="R36" s="81">
        <v>1</v>
      </c>
      <c r="S36" s="81">
        <v>1</v>
      </c>
      <c r="T36" s="81">
        <v>0.5</v>
      </c>
      <c r="U36" s="81"/>
      <c r="V36" s="78"/>
      <c r="W36" s="117">
        <f t="shared" si="8"/>
        <v>2</v>
      </c>
      <c r="X36" s="117">
        <f t="shared" si="1"/>
        <v>4.5</v>
      </c>
      <c r="Y36" s="70">
        <f>W36+X36</f>
        <v>6.5</v>
      </c>
      <c r="Z36" s="71">
        <f>'[1]cálculos teóricos'!I182</f>
        <v>10.548133830385645</v>
      </c>
      <c r="AA36" s="72">
        <f t="shared" si="3"/>
        <v>61.622274655595234</v>
      </c>
      <c r="AB36" s="3"/>
    </row>
    <row r="37" spans="1:28" ht="18" customHeight="1">
      <c r="A37" s="85">
        <v>29</v>
      </c>
      <c r="B37" s="76">
        <v>19.600000000000001</v>
      </c>
      <c r="C37" s="74">
        <f>'[1]cálculos teóricos'!K183</f>
        <v>0.94883091157817412</v>
      </c>
      <c r="D37" s="59">
        <f t="shared" si="4"/>
        <v>270.83866002306735</v>
      </c>
      <c r="E37" s="60">
        <f t="shared" si="5"/>
        <v>11.339473017845783</v>
      </c>
      <c r="F37" s="61">
        <f t="shared" si="6"/>
        <v>14.503423752307231</v>
      </c>
      <c r="G37" s="62">
        <f>'[1]cálculos teóricos'!T183</f>
        <v>22.069880052644166</v>
      </c>
      <c r="H37" s="75">
        <f t="shared" si="7"/>
        <v>65.715915617627445</v>
      </c>
      <c r="I37" s="170"/>
      <c r="J37" s="82"/>
      <c r="K37" s="81">
        <v>0.9</v>
      </c>
      <c r="L37" s="81">
        <v>1</v>
      </c>
      <c r="M37" s="81">
        <v>1</v>
      </c>
      <c r="N37" s="81">
        <v>1</v>
      </c>
      <c r="O37" s="78">
        <v>1</v>
      </c>
      <c r="P37" s="82">
        <v>1</v>
      </c>
      <c r="Q37" s="81">
        <v>1</v>
      </c>
      <c r="R37" s="81">
        <v>1</v>
      </c>
      <c r="S37" s="81">
        <v>1</v>
      </c>
      <c r="T37" s="81">
        <v>0.4</v>
      </c>
      <c r="U37" s="81"/>
      <c r="V37" s="78"/>
      <c r="W37" s="117">
        <f t="shared" si="8"/>
        <v>4.9000000000000004</v>
      </c>
      <c r="X37" s="117">
        <f t="shared" si="1"/>
        <v>4.4000000000000004</v>
      </c>
      <c r="Y37" s="70">
        <f>W37+X37</f>
        <v>9.3000000000000007</v>
      </c>
      <c r="Z37" s="71">
        <f>'[1]cálculos teóricos'!I183</f>
        <v>10.551285231625181</v>
      </c>
      <c r="AA37" s="72">
        <f t="shared" si="3"/>
        <v>88.14092118489296</v>
      </c>
      <c r="AB37" s="3"/>
    </row>
    <row r="38" spans="1:28" ht="18" customHeight="1">
      <c r="A38" s="80">
        <v>30</v>
      </c>
      <c r="B38" s="76">
        <v>9.1</v>
      </c>
      <c r="C38" s="74">
        <f>'[1]cálculos teóricos'!K184</f>
        <v>0.94901468458220362</v>
      </c>
      <c r="D38" s="59">
        <f t="shared" si="4"/>
        <v>125.77087576610761</v>
      </c>
      <c r="E38" s="60">
        <f t="shared" si="5"/>
        <v>5.2657750265753931</v>
      </c>
      <c r="F38" s="61">
        <f t="shared" si="6"/>
        <v>6.9113012632192419</v>
      </c>
      <c r="G38" s="62">
        <f>'[1]cálculos teóricos'!T184</f>
        <v>22.097056487674202</v>
      </c>
      <c r="H38" s="75">
        <f t="shared" si="7"/>
        <v>31.277022200103371</v>
      </c>
      <c r="I38" s="170"/>
      <c r="J38" s="82"/>
      <c r="K38" s="81"/>
      <c r="L38" s="81"/>
      <c r="M38" s="81"/>
      <c r="N38" s="81"/>
      <c r="O38" s="78"/>
      <c r="P38" s="82">
        <v>0.4</v>
      </c>
      <c r="Q38" s="81">
        <v>0.1</v>
      </c>
      <c r="R38" s="81"/>
      <c r="S38" s="81"/>
      <c r="T38" s="81"/>
      <c r="U38" s="81"/>
      <c r="V38" s="78"/>
      <c r="W38" s="117">
        <f t="shared" si="8"/>
        <v>0</v>
      </c>
      <c r="X38" s="117">
        <f t="shared" si="1"/>
        <v>0.5</v>
      </c>
      <c r="Y38" s="70">
        <f>W38+X38</f>
        <v>0.5</v>
      </c>
      <c r="Z38" s="71">
        <f>'[1]cálculos teóricos'!I184</f>
        <v>10.554915388407521</v>
      </c>
      <c r="AA38" s="72">
        <f t="shared" si="3"/>
        <v>4.7371293999111614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185"/>
      <c r="W39" s="117"/>
      <c r="X39" s="186"/>
      <c r="Y39" s="99"/>
      <c r="Z39" s="187"/>
      <c r="AA39" s="128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-99</v>
      </c>
      <c r="J40" s="104">
        <f t="shared" ref="J40:AA40" si="10">SUM(J9:J39)</f>
        <v>-99</v>
      </c>
      <c r="K40" s="104">
        <f t="shared" si="10"/>
        <v>-91.799999999999983</v>
      </c>
      <c r="L40" s="104">
        <f t="shared" si="10"/>
        <v>-86.1</v>
      </c>
      <c r="M40" s="104">
        <f t="shared" si="10"/>
        <v>-84.1</v>
      </c>
      <c r="N40" s="104">
        <f t="shared" si="10"/>
        <v>-81.000000000000014</v>
      </c>
      <c r="O40" s="104">
        <f t="shared" si="10"/>
        <v>-79.900000000000006</v>
      </c>
      <c r="P40" s="104">
        <f t="shared" si="10"/>
        <v>-79.199999999999989</v>
      </c>
      <c r="Q40" s="104">
        <f t="shared" si="10"/>
        <v>-80.300000000000011</v>
      </c>
      <c r="R40" s="104">
        <f t="shared" si="10"/>
        <v>-79.999999999999986</v>
      </c>
      <c r="S40" s="104">
        <f t="shared" si="10"/>
        <v>-82.1</v>
      </c>
      <c r="T40" s="104">
        <f t="shared" si="10"/>
        <v>-92.5</v>
      </c>
      <c r="U40" s="104">
        <f t="shared" si="10"/>
        <v>-99</v>
      </c>
      <c r="V40" s="104">
        <f t="shared" si="10"/>
        <v>-99</v>
      </c>
      <c r="W40" s="104">
        <f>SUM(I40:O40)</f>
        <v>-620.9</v>
      </c>
      <c r="X40" s="104">
        <f>SUM(P40:V40)</f>
        <v>-612.1</v>
      </c>
      <c r="Y40" s="104">
        <f>W40+X40</f>
        <v>-1233</v>
      </c>
      <c r="Z40" s="104">
        <f t="shared" si="10"/>
        <v>317.02861542367316</v>
      </c>
      <c r="AA40" s="104">
        <f t="shared" si="10"/>
        <v>510.16260549917968</v>
      </c>
      <c r="AB40" s="102"/>
    </row>
    <row r="41" spans="1:28" s="106" customFormat="1" ht="1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 t="s">
        <v>51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 t="s">
        <v>52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 t="s">
        <v>53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 t="s">
        <v>54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 ht="15">
      <c r="A50" s="3"/>
      <c r="B50" s="102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2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A54" s="3"/>
      <c r="B54" s="102" t="s">
        <v>57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scale="50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71</v>
      </c>
      <c r="B1" s="2"/>
      <c r="C1" s="3"/>
      <c r="D1" s="188"/>
      <c r="E1" s="189"/>
      <c r="F1" s="150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190"/>
      <c r="S1" s="190"/>
      <c r="T1" s="190"/>
      <c r="U1" s="190"/>
      <c r="V1" s="7"/>
      <c r="W1" s="7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188"/>
      <c r="F2" s="189"/>
      <c r="G2" s="150"/>
      <c r="H2" s="3"/>
      <c r="I2" s="3"/>
      <c r="J2" s="3"/>
      <c r="K2" s="3"/>
      <c r="L2" s="3"/>
      <c r="M2" s="3"/>
      <c r="N2" s="3"/>
      <c r="O2" s="3"/>
      <c r="P2" s="190"/>
      <c r="Q2" s="190"/>
      <c r="R2" s="190"/>
      <c r="S2" s="190"/>
      <c r="T2" s="190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152"/>
      <c r="Y3" s="6"/>
      <c r="Z3" s="6"/>
      <c r="AA3" s="6"/>
      <c r="AB3" s="3"/>
    </row>
    <row r="4" spans="1:28" ht="18" customHeight="1" thickBot="1">
      <c r="A4" s="3"/>
      <c r="B4" s="3"/>
      <c r="C4" s="3"/>
      <c r="D4" s="188"/>
      <c r="E4" s="189"/>
      <c r="F4" s="15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110" t="s">
        <v>39</v>
      </c>
      <c r="O8" s="191" t="s">
        <v>40</v>
      </c>
      <c r="P8" s="192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165" t="s">
        <v>50</v>
      </c>
      <c r="Z8" s="54" t="s">
        <v>50</v>
      </c>
      <c r="AA8" s="55" t="s">
        <v>50</v>
      </c>
      <c r="AB8" s="190"/>
    </row>
    <row r="9" spans="1:28" ht="18" customHeight="1">
      <c r="A9" s="111">
        <v>1</v>
      </c>
      <c r="B9" s="57">
        <v>7.3</v>
      </c>
      <c r="C9" s="74">
        <f>'[1]cálculos teóricos'!K185</f>
        <v>0.94922253208705598</v>
      </c>
      <c r="D9" s="59">
        <f>IF(B9&gt;0,B9*C9*14.25*1.022,-999)</f>
        <v>100.91521712616384</v>
      </c>
      <c r="E9" s="60">
        <f>IF(B9&gt;0,D9*4.1868/100,-999)</f>
        <v>4.2251183106382273</v>
      </c>
      <c r="F9" s="61">
        <f>IF(B9&gt;0,(7.86+1.25*D9)*4.1868/100,-999)</f>
        <v>5.6104803682977851</v>
      </c>
      <c r="G9" s="62">
        <f>'[1]cálculos teóricos'!T185</f>
        <v>22.12816277484286</v>
      </c>
      <c r="H9" s="63">
        <f>IF(B9&gt;0,100*F9/G9,-999)</f>
        <v>25.354478929792794</v>
      </c>
      <c r="I9" s="166"/>
      <c r="J9" s="64"/>
      <c r="K9" s="167"/>
      <c r="L9" s="167"/>
      <c r="M9" s="167"/>
      <c r="N9" s="193"/>
      <c r="O9" s="194"/>
      <c r="P9" s="195"/>
      <c r="Q9" s="167"/>
      <c r="R9" s="167"/>
      <c r="S9" s="167"/>
      <c r="T9" s="167"/>
      <c r="U9" s="64"/>
      <c r="V9" s="65"/>
      <c r="W9" s="59">
        <f t="shared" ref="W9:W40" si="0">SUM(I9:O9)</f>
        <v>0</v>
      </c>
      <c r="X9" s="117">
        <f>SUM(P9:V9)</f>
        <v>0</v>
      </c>
      <c r="Y9" s="118">
        <f>W9+X9</f>
        <v>0</v>
      </c>
      <c r="Z9" s="71">
        <f>'[1]cálculos teóricos'!I185</f>
        <v>10.559021498963354</v>
      </c>
      <c r="AA9" s="72">
        <f>100*Y9/Z9</f>
        <v>0</v>
      </c>
      <c r="AB9" s="3"/>
    </row>
    <row r="10" spans="1:28" ht="18" customHeight="1">
      <c r="A10" s="111">
        <v>2</v>
      </c>
      <c r="B10" s="196">
        <v>5.6</v>
      </c>
      <c r="C10" s="74">
        <f>'[1]cálculos teóricos'!K186</f>
        <v>0.94945428691235023</v>
      </c>
      <c r="D10" s="59">
        <f>IF(B10&gt;0,B10*C10*14.25*1.022,-999)</f>
        <v>77.433314041708869</v>
      </c>
      <c r="E10" s="60">
        <f>IF(B10&gt;0,D10*4.1868/100,-999)</f>
        <v>3.2419779922982666</v>
      </c>
      <c r="F10" s="61">
        <f>IF(B10&gt;0,(7.86+1.25*D10)*4.1868/100,-999)</f>
        <v>4.3815549703728331</v>
      </c>
      <c r="G10" s="62">
        <f>'[1]cálculos teóricos'!T186</f>
        <v>22.16318090088307</v>
      </c>
      <c r="H10" s="75">
        <f>IF(B10&gt;0,100*F10/G10,-999)</f>
        <v>19.769522208783012</v>
      </c>
      <c r="I10" s="169"/>
      <c r="J10" s="79"/>
      <c r="K10" s="76"/>
      <c r="L10" s="76"/>
      <c r="M10" s="79"/>
      <c r="N10" s="76"/>
      <c r="O10" s="197"/>
      <c r="P10" s="198"/>
      <c r="Q10" s="79"/>
      <c r="R10" s="79"/>
      <c r="S10" s="79"/>
      <c r="T10" s="79"/>
      <c r="U10" s="82"/>
      <c r="V10" s="78"/>
      <c r="W10" s="59">
        <f t="shared" si="0"/>
        <v>0</v>
      </c>
      <c r="X10" s="117">
        <f>SUM(P10:V10)</f>
        <v>0</v>
      </c>
      <c r="Y10" s="70">
        <f>W10+X10</f>
        <v>0</v>
      </c>
      <c r="Z10" s="71">
        <f>'[1]cálculos teóricos'!I186</f>
        <v>10.563600427107158</v>
      </c>
      <c r="AA10" s="72">
        <f t="shared" ref="AA10:AA39" si="1">100*Y10/Z10</f>
        <v>0</v>
      </c>
      <c r="AB10" s="190"/>
    </row>
    <row r="11" spans="1:28" ht="18" customHeight="1">
      <c r="A11" s="111">
        <v>3</v>
      </c>
      <c r="B11" s="196">
        <v>4.7</v>
      </c>
      <c r="C11" s="74">
        <f>'[1]cálculos teóricos'!K187</f>
        <v>0.94970976387893824</v>
      </c>
      <c r="D11" s="59">
        <f t="shared" ref="D11:D39" si="2">IF(B11&gt;0,B11*C11*14.25*1.022,-999)</f>
        <v>65.006161287379314</v>
      </c>
      <c r="E11" s="60">
        <f t="shared" ref="E11:E39" si="3">IF(B11&gt;0,D11*4.1868/100,-999)</f>
        <v>2.721677960779997</v>
      </c>
      <c r="F11" s="61">
        <f t="shared" ref="F11:F39" si="4">IF(B11&gt;0,(7.86+1.25*D11)*4.1868/100,-999)</f>
        <v>3.7311799309749962</v>
      </c>
      <c r="G11" s="62">
        <f>'[1]cálculos teóricos'!T187</f>
        <v>22.20209100334764</v>
      </c>
      <c r="H11" s="75">
        <f t="shared" ref="H11:H39" si="5">IF(B11&gt;0,100*F11/G11,-999)</f>
        <v>16.805533904047177</v>
      </c>
      <c r="I11" s="169"/>
      <c r="J11" s="79"/>
      <c r="K11" s="76"/>
      <c r="L11" s="79"/>
      <c r="M11" s="79"/>
      <c r="N11" s="76"/>
      <c r="O11" s="197"/>
      <c r="P11" s="198"/>
      <c r="Q11" s="79"/>
      <c r="R11" s="79"/>
      <c r="S11" s="79"/>
      <c r="T11" s="82"/>
      <c r="U11" s="82"/>
      <c r="V11" s="78"/>
      <c r="W11" s="59">
        <f t="shared" si="0"/>
        <v>0</v>
      </c>
      <c r="X11" s="117">
        <f t="shared" ref="X11:X16" si="6">SUM(P11:V11)</f>
        <v>0</v>
      </c>
      <c r="Y11" s="70">
        <f t="shared" ref="Y11:Y16" si="7">W11+X11</f>
        <v>0</v>
      </c>
      <c r="Z11" s="71">
        <f>'[1]cálculos teóricos'!I187</f>
        <v>10.568648710207977</v>
      </c>
      <c r="AA11" s="72">
        <f t="shared" si="1"/>
        <v>0</v>
      </c>
      <c r="AB11" s="190"/>
    </row>
    <row r="12" spans="1:28" ht="18" customHeight="1">
      <c r="A12" s="73">
        <v>4</v>
      </c>
      <c r="B12" s="57">
        <v>12.6</v>
      </c>
      <c r="C12" s="74">
        <f>'[1]cálculos teóricos'!K188</f>
        <v>0.9499887601007182</v>
      </c>
      <c r="D12" s="59">
        <f t="shared" si="2"/>
        <v>174.32303247735777</v>
      </c>
      <c r="E12" s="60">
        <f t="shared" si="3"/>
        <v>7.2985567237620153</v>
      </c>
      <c r="F12" s="61">
        <f t="shared" si="4"/>
        <v>9.4522783847025185</v>
      </c>
      <c r="G12" s="62">
        <f>'[1]cálculos teóricos'!T188</f>
        <v>22.244871387745548</v>
      </c>
      <c r="H12" s="75">
        <f t="shared" si="5"/>
        <v>42.49194441245308</v>
      </c>
      <c r="I12" s="169"/>
      <c r="J12" s="79"/>
      <c r="K12" s="76"/>
      <c r="L12" s="76"/>
      <c r="M12" s="79"/>
      <c r="N12" s="76"/>
      <c r="O12" s="197">
        <v>0.3</v>
      </c>
      <c r="P12" s="198">
        <v>0.6</v>
      </c>
      <c r="Q12" s="79">
        <v>0.8</v>
      </c>
      <c r="R12" s="79">
        <v>0.8</v>
      </c>
      <c r="S12" s="76">
        <v>0.7</v>
      </c>
      <c r="T12" s="82"/>
      <c r="U12" s="82"/>
      <c r="V12" s="78"/>
      <c r="W12" s="59">
        <f t="shared" si="0"/>
        <v>0.3</v>
      </c>
      <c r="X12" s="117">
        <f t="shared" si="6"/>
        <v>2.9000000000000004</v>
      </c>
      <c r="Y12" s="70">
        <f t="shared" si="7"/>
        <v>3.2</v>
      </c>
      <c r="Z12" s="71">
        <f>'[1]cálculos teóricos'!I188</f>
        <v>10.57416256793211</v>
      </c>
      <c r="AA12" s="72">
        <f t="shared" si="1"/>
        <v>30.262443758000536</v>
      </c>
      <c r="AB12" s="190"/>
    </row>
    <row r="13" spans="1:28" ht="18" customHeight="1">
      <c r="A13" s="73">
        <v>5</v>
      </c>
      <c r="B13" s="57">
        <v>19.899999999999999</v>
      </c>
      <c r="C13" s="74">
        <f>'[1]cálculos teóricos'!K189</f>
        <v>0.95029105530266378</v>
      </c>
      <c r="D13" s="59">
        <f t="shared" si="2"/>
        <v>275.40731929961686</v>
      </c>
      <c r="E13" s="60">
        <f t="shared" si="3"/>
        <v>11.530753644436359</v>
      </c>
      <c r="F13" s="61">
        <f t="shared" si="4"/>
        <v>14.742524535545448</v>
      </c>
      <c r="G13" s="62">
        <f>'[1]cálculos teóricos'!T189</f>
        <v>22.291498546096314</v>
      </c>
      <c r="H13" s="75">
        <f t="shared" si="5"/>
        <v>66.135188287407246</v>
      </c>
      <c r="I13" s="169"/>
      <c r="J13" s="79"/>
      <c r="K13" s="76">
        <v>1</v>
      </c>
      <c r="L13" s="76">
        <v>1</v>
      </c>
      <c r="M13" s="79">
        <v>1</v>
      </c>
      <c r="N13" s="76">
        <v>1</v>
      </c>
      <c r="O13" s="197">
        <v>1</v>
      </c>
      <c r="P13" s="198">
        <v>1</v>
      </c>
      <c r="Q13" s="79">
        <v>1</v>
      </c>
      <c r="R13" s="79">
        <v>1</v>
      </c>
      <c r="S13" s="76">
        <v>1</v>
      </c>
      <c r="T13" s="82">
        <v>0.5</v>
      </c>
      <c r="U13" s="82"/>
      <c r="V13" s="78"/>
      <c r="W13" s="59">
        <f t="shared" si="0"/>
        <v>5</v>
      </c>
      <c r="X13" s="117">
        <f t="shared" si="6"/>
        <v>4.5</v>
      </c>
      <c r="Y13" s="70">
        <f t="shared" si="7"/>
        <v>9.5</v>
      </c>
      <c r="Z13" s="71">
        <f>'[1]cálculos teóricos'!I189</f>
        <v>10.580137911715219</v>
      </c>
      <c r="AA13" s="72">
        <f t="shared" si="1"/>
        <v>89.790890055230761</v>
      </c>
      <c r="AB13" s="190"/>
    </row>
    <row r="14" spans="1:28" ht="18" customHeight="1">
      <c r="A14" s="73">
        <v>6</v>
      </c>
      <c r="B14" s="199">
        <v>-99</v>
      </c>
      <c r="C14" s="173">
        <f>'[1]cálculos teóricos'!K190</f>
        <v>0.95061641216417903</v>
      </c>
      <c r="D14" s="174">
        <f t="shared" si="2"/>
        <v>-999</v>
      </c>
      <c r="E14" s="175">
        <f t="shared" si="3"/>
        <v>-999</v>
      </c>
      <c r="F14" s="176">
        <f t="shared" si="4"/>
        <v>-999</v>
      </c>
      <c r="G14" s="177">
        <f>'[1]cálculos teóricos'!T190</f>
        <v>22.341947176896817</v>
      </c>
      <c r="H14" s="178">
        <f t="shared" si="5"/>
        <v>-999</v>
      </c>
      <c r="I14" s="169"/>
      <c r="J14" s="79"/>
      <c r="K14" s="76"/>
      <c r="L14" s="76">
        <v>0.6</v>
      </c>
      <c r="M14" s="79">
        <v>0.8</v>
      </c>
      <c r="N14" s="76">
        <v>1</v>
      </c>
      <c r="O14" s="197">
        <v>1</v>
      </c>
      <c r="P14" s="198">
        <v>1</v>
      </c>
      <c r="Q14" s="79">
        <v>0.7</v>
      </c>
      <c r="R14" s="79">
        <v>0.7</v>
      </c>
      <c r="S14" s="76">
        <v>0.9</v>
      </c>
      <c r="T14" s="82">
        <v>0.8</v>
      </c>
      <c r="U14" s="82"/>
      <c r="V14" s="78"/>
      <c r="W14" s="59">
        <f t="shared" si="0"/>
        <v>3.4</v>
      </c>
      <c r="X14" s="117">
        <f t="shared" si="6"/>
        <v>4.0999999999999996</v>
      </c>
      <c r="Y14" s="70">
        <f t="shared" si="7"/>
        <v>7.5</v>
      </c>
      <c r="Z14" s="71">
        <f>'[1]cálculos teóricos'!I190</f>
        <v>10.586570354918337</v>
      </c>
      <c r="AA14" s="72">
        <f t="shared" si="1"/>
        <v>70.844473219937854</v>
      </c>
      <c r="AB14" s="190"/>
    </row>
    <row r="15" spans="1:28" ht="18" customHeight="1">
      <c r="A15" s="73">
        <v>7</v>
      </c>
      <c r="B15" s="199">
        <v>-99</v>
      </c>
      <c r="C15" s="173">
        <f>'[1]cálculos teóricos'!K191</f>
        <v>0.95096457668682222</v>
      </c>
      <c r="D15" s="174">
        <f t="shared" si="2"/>
        <v>-999</v>
      </c>
      <c r="E15" s="175">
        <f t="shared" si="3"/>
        <v>-999</v>
      </c>
      <c r="F15" s="176">
        <f t="shared" si="4"/>
        <v>-999</v>
      </c>
      <c r="G15" s="177">
        <f>'[1]cálculos teóricos'!T191</f>
        <v>22.396190206493252</v>
      </c>
      <c r="H15" s="178">
        <f t="shared" si="5"/>
        <v>-999</v>
      </c>
      <c r="I15" s="169"/>
      <c r="J15" s="79"/>
      <c r="K15" s="76">
        <v>0.7</v>
      </c>
      <c r="L15" s="76">
        <v>1</v>
      </c>
      <c r="M15" s="76">
        <v>1</v>
      </c>
      <c r="N15" s="76">
        <v>1</v>
      </c>
      <c r="O15" s="197">
        <v>1</v>
      </c>
      <c r="P15" s="198">
        <v>1</v>
      </c>
      <c r="Q15" s="79">
        <v>1</v>
      </c>
      <c r="R15" s="76">
        <v>1</v>
      </c>
      <c r="S15" s="82">
        <v>1</v>
      </c>
      <c r="T15" s="82">
        <v>0.5</v>
      </c>
      <c r="U15" s="82"/>
      <c r="V15" s="78"/>
      <c r="W15" s="59">
        <f t="shared" si="0"/>
        <v>4.7</v>
      </c>
      <c r="X15" s="117">
        <f t="shared" si="6"/>
        <v>4.5</v>
      </c>
      <c r="Y15" s="70">
        <f t="shared" si="7"/>
        <v>9.1999999999999993</v>
      </c>
      <c r="Z15" s="71">
        <f>'[1]cálculos teóricos'!I191</f>
        <v>10.593455223619625</v>
      </c>
      <c r="AA15" s="72">
        <f t="shared" si="1"/>
        <v>86.846074352466999</v>
      </c>
      <c r="AB15" s="190"/>
    </row>
    <row r="16" spans="1:28" ht="18" customHeight="1">
      <c r="A16" s="80">
        <v>8</v>
      </c>
      <c r="B16" s="172">
        <v>-99</v>
      </c>
      <c r="C16" s="173">
        <f>'[1]cálculos teóricos'!K192</f>
        <v>0.95133527858537681</v>
      </c>
      <c r="D16" s="174">
        <f t="shared" si="2"/>
        <v>-999</v>
      </c>
      <c r="E16" s="175">
        <f t="shared" si="3"/>
        <v>-999</v>
      </c>
      <c r="F16" s="176">
        <f t="shared" si="4"/>
        <v>-999</v>
      </c>
      <c r="G16" s="177">
        <f>'[1]cálculos teóricos'!T192</f>
        <v>22.454198811849096</v>
      </c>
      <c r="H16" s="178">
        <f t="shared" si="5"/>
        <v>-999</v>
      </c>
      <c r="I16" s="170"/>
      <c r="J16" s="82"/>
      <c r="K16" s="76">
        <v>0.1</v>
      </c>
      <c r="L16" s="76">
        <v>1</v>
      </c>
      <c r="M16" s="79">
        <v>1</v>
      </c>
      <c r="N16" s="76">
        <v>1</v>
      </c>
      <c r="O16" s="197">
        <v>1</v>
      </c>
      <c r="P16" s="198">
        <v>1</v>
      </c>
      <c r="Q16" s="79">
        <v>1</v>
      </c>
      <c r="R16" s="79">
        <v>1</v>
      </c>
      <c r="S16" s="76">
        <v>1</v>
      </c>
      <c r="T16" s="81">
        <v>0.2</v>
      </c>
      <c r="U16" s="81"/>
      <c r="V16" s="78"/>
      <c r="W16" s="59">
        <f t="shared" si="0"/>
        <v>4.0999999999999996</v>
      </c>
      <c r="X16" s="117">
        <f t="shared" si="6"/>
        <v>4.2</v>
      </c>
      <c r="Y16" s="70">
        <f t="shared" si="7"/>
        <v>8.3000000000000007</v>
      </c>
      <c r="Z16" s="71">
        <f>'[1]cálculos teóricos'!I192</f>
        <v>10.600787567991276</v>
      </c>
      <c r="AA16" s="72">
        <f t="shared" si="1"/>
        <v>78.296069483191744</v>
      </c>
      <c r="AB16" s="190"/>
    </row>
    <row r="17" spans="1:28" ht="18" customHeight="1">
      <c r="A17" s="80">
        <v>9</v>
      </c>
      <c r="B17" s="76">
        <v>15</v>
      </c>
      <c r="C17" s="74">
        <f>'[1]cálculos teóricos'!K193</f>
        <v>0.95172823170119347</v>
      </c>
      <c r="D17" s="59">
        <f t="shared" si="2"/>
        <v>207.90741153570497</v>
      </c>
      <c r="E17" s="60">
        <f t="shared" si="3"/>
        <v>8.7046675061768948</v>
      </c>
      <c r="F17" s="61">
        <f t="shared" si="4"/>
        <v>11.209916862721121</v>
      </c>
      <c r="G17" s="62">
        <f>'[1]cálculos teóricos'!T193</f>
        <v>22.515942444697764</v>
      </c>
      <c r="H17" s="75">
        <f t="shared" si="5"/>
        <v>49.786576290351647</v>
      </c>
      <c r="I17" s="170"/>
      <c r="J17" s="82"/>
      <c r="K17" s="81"/>
      <c r="L17" s="76">
        <v>0.3</v>
      </c>
      <c r="M17" s="79"/>
      <c r="N17" s="76">
        <v>0.8</v>
      </c>
      <c r="O17" s="197">
        <v>0.9</v>
      </c>
      <c r="P17" s="198">
        <v>0.8</v>
      </c>
      <c r="Q17" s="79">
        <v>0.8</v>
      </c>
      <c r="R17" s="79">
        <v>0.5</v>
      </c>
      <c r="S17" s="76">
        <v>0.5</v>
      </c>
      <c r="T17" s="81">
        <v>0.2</v>
      </c>
      <c r="U17" s="81"/>
      <c r="V17" s="78"/>
      <c r="W17" s="59">
        <f t="shared" si="0"/>
        <v>2</v>
      </c>
      <c r="X17" s="117">
        <f>SUM(P17:V17)</f>
        <v>2.8000000000000003</v>
      </c>
      <c r="Y17" s="70">
        <f>W17+X17</f>
        <v>4.8000000000000007</v>
      </c>
      <c r="Z17" s="71">
        <f>'[1]cálculos teóricos'!I193</f>
        <v>10.608562174209084</v>
      </c>
      <c r="AA17" s="72">
        <f t="shared" si="1"/>
        <v>45.24647092769537</v>
      </c>
      <c r="AB17" s="190"/>
    </row>
    <row r="18" spans="1:28" ht="18" customHeight="1">
      <c r="A18" s="80">
        <v>10</v>
      </c>
      <c r="B18" s="76">
        <v>17.600000000000001</v>
      </c>
      <c r="C18" s="74">
        <f>'[1]cálculos teóricos'!K194</f>
        <v>0.95214313443666077</v>
      </c>
      <c r="D18" s="59">
        <f t="shared" si="2"/>
        <v>244.05104307528225</v>
      </c>
      <c r="E18" s="60">
        <f t="shared" si="3"/>
        <v>10.217929071475917</v>
      </c>
      <c r="F18" s="61">
        <f t="shared" si="4"/>
        <v>13.101493819344899</v>
      </c>
      <c r="G18" s="62">
        <f>'[1]cálculos teóricos'!T194</f>
        <v>22.581388857066401</v>
      </c>
      <c r="H18" s="75">
        <f t="shared" si="5"/>
        <v>58.018990338785315</v>
      </c>
      <c r="I18" s="170"/>
      <c r="J18" s="82"/>
      <c r="K18" s="81"/>
      <c r="L18" s="81"/>
      <c r="M18" s="81">
        <v>0.1</v>
      </c>
      <c r="N18" s="81">
        <v>0.9</v>
      </c>
      <c r="O18" s="200">
        <v>1</v>
      </c>
      <c r="P18" s="201">
        <v>1</v>
      </c>
      <c r="Q18" s="82">
        <v>1</v>
      </c>
      <c r="R18" s="81">
        <v>1</v>
      </c>
      <c r="S18" s="81">
        <v>0.5</v>
      </c>
      <c r="T18" s="81">
        <v>0.2</v>
      </c>
      <c r="U18" s="81"/>
      <c r="V18" s="78"/>
      <c r="W18" s="59">
        <f t="shared" si="0"/>
        <v>2</v>
      </c>
      <c r="X18" s="117">
        <f>SUM(P18:V18)</f>
        <v>3.7</v>
      </c>
      <c r="Y18" s="70">
        <f>W18+X18</f>
        <v>5.7</v>
      </c>
      <c r="Z18" s="71">
        <f>'[1]cálculos teóricos'!I194</f>
        <v>10.616773576840487</v>
      </c>
      <c r="AA18" s="72">
        <f t="shared" si="1"/>
        <v>53.688627328683218</v>
      </c>
      <c r="AB18" s="190"/>
    </row>
    <row r="19" spans="1:28" ht="18" customHeight="1">
      <c r="A19" s="80">
        <v>11</v>
      </c>
      <c r="B19" s="76">
        <v>16.600000000000001</v>
      </c>
      <c r="C19" s="74">
        <f>'[1]cálculos teóricos'!K195</f>
        <v>0.95257967020962231</v>
      </c>
      <c r="D19" s="59">
        <f t="shared" si="2"/>
        <v>230.29004084982407</v>
      </c>
      <c r="E19" s="60">
        <f t="shared" si="3"/>
        <v>9.6417834303004337</v>
      </c>
      <c r="F19" s="61">
        <f t="shared" si="4"/>
        <v>12.381311767875543</v>
      </c>
      <c r="G19" s="62">
        <f>'[1]cálculos teóricos'!T195</f>
        <v>22.650504128154459</v>
      </c>
      <c r="H19" s="75">
        <f t="shared" si="5"/>
        <v>54.662411475803033</v>
      </c>
      <c r="I19" s="170"/>
      <c r="J19" s="82"/>
      <c r="K19" s="81"/>
      <c r="L19" s="81">
        <v>0.1</v>
      </c>
      <c r="M19" s="81">
        <v>0.7</v>
      </c>
      <c r="N19" s="81">
        <v>1</v>
      </c>
      <c r="O19" s="200">
        <v>1</v>
      </c>
      <c r="P19" s="201">
        <v>1</v>
      </c>
      <c r="Q19" s="81">
        <v>0.6</v>
      </c>
      <c r="R19" s="81">
        <v>0.2</v>
      </c>
      <c r="S19" s="81">
        <v>0.1</v>
      </c>
      <c r="T19" s="81"/>
      <c r="U19" s="81"/>
      <c r="V19" s="78"/>
      <c r="W19" s="59">
        <f t="shared" si="0"/>
        <v>2.8</v>
      </c>
      <c r="X19" s="117">
        <f>SUM(P19:V19)</f>
        <v>1.9000000000000001</v>
      </c>
      <c r="Y19" s="70">
        <f>W19+X19</f>
        <v>4.7</v>
      </c>
      <c r="Z19" s="71">
        <f>'[1]cálculos teóricos'!I195</f>
        <v>10.625416071655851</v>
      </c>
      <c r="AA19" s="72">
        <f t="shared" si="1"/>
        <v>44.233561945283505</v>
      </c>
      <c r="AB19" s="190"/>
    </row>
    <row r="20" spans="1:28" ht="18" customHeight="1">
      <c r="A20" s="80">
        <v>12</v>
      </c>
      <c r="B20" s="76">
        <v>14.6</v>
      </c>
      <c r="C20" s="74">
        <f>'[1]cálculos teóricos'!K196</f>
        <v>0.95303750792650499</v>
      </c>
      <c r="D20" s="59">
        <f t="shared" si="2"/>
        <v>202.64160150163977</v>
      </c>
      <c r="E20" s="60">
        <f t="shared" si="3"/>
        <v>8.4841985716706532</v>
      </c>
      <c r="F20" s="61">
        <f t="shared" si="4"/>
        <v>10.934330694588317</v>
      </c>
      <c r="G20" s="62">
        <f>'[1]cálculos teóricos'!T196</f>
        <v>22.723252692547995</v>
      </c>
      <c r="H20" s="75">
        <f t="shared" si="5"/>
        <v>48.119566518635729</v>
      </c>
      <c r="I20" s="170"/>
      <c r="J20" s="82"/>
      <c r="K20" s="81"/>
      <c r="L20" s="81"/>
      <c r="M20" s="81"/>
      <c r="N20" s="81"/>
      <c r="O20" s="200">
        <v>0.4</v>
      </c>
      <c r="P20" s="201">
        <v>0.8</v>
      </c>
      <c r="Q20" s="81">
        <v>0.8</v>
      </c>
      <c r="R20" s="81">
        <v>0.4</v>
      </c>
      <c r="S20" s="81">
        <v>0.1</v>
      </c>
      <c r="T20" s="81">
        <v>0.5</v>
      </c>
      <c r="U20" s="81"/>
      <c r="V20" s="78"/>
      <c r="W20" s="59">
        <f t="shared" si="0"/>
        <v>0.4</v>
      </c>
      <c r="X20" s="117">
        <f>SUM(P20:V20)</f>
        <v>2.6</v>
      </c>
      <c r="Y20" s="70">
        <f>W20+X20</f>
        <v>3</v>
      </c>
      <c r="Z20" s="71">
        <f>'[1]cálculos teóricos'!I196</f>
        <v>10.634483728806718</v>
      </c>
      <c r="AA20" s="72">
        <f t="shared" si="1"/>
        <v>28.21011415790305</v>
      </c>
      <c r="AB20" s="190"/>
    </row>
    <row r="21" spans="1:28" ht="18" customHeight="1">
      <c r="A21" s="80">
        <v>13</v>
      </c>
      <c r="B21" s="76">
        <v>21.6</v>
      </c>
      <c r="C21" s="74">
        <f>'[1]cálculos teóricos'!K197</f>
        <v>0.95351630247288299</v>
      </c>
      <c r="D21" s="59">
        <f t="shared" si="2"/>
        <v>299.94914889497886</v>
      </c>
      <c r="E21" s="60">
        <f t="shared" si="3"/>
        <v>12.558270965934973</v>
      </c>
      <c r="F21" s="61">
        <f t="shared" si="4"/>
        <v>16.026921187418719</v>
      </c>
      <c r="G21" s="62">
        <f>'[1]cálculos teóricos'!T197</f>
        <v>22.79959736974741</v>
      </c>
      <c r="H21" s="75">
        <f t="shared" si="5"/>
        <v>70.294755330568691</v>
      </c>
      <c r="I21" s="170"/>
      <c r="J21" s="82"/>
      <c r="K21" s="81">
        <v>0.3</v>
      </c>
      <c r="L21" s="81">
        <v>0.7</v>
      </c>
      <c r="M21" s="81">
        <v>1</v>
      </c>
      <c r="N21" s="81">
        <v>1</v>
      </c>
      <c r="O21" s="200">
        <v>1</v>
      </c>
      <c r="P21" s="201">
        <v>1</v>
      </c>
      <c r="Q21" s="81">
        <v>1</v>
      </c>
      <c r="R21" s="81">
        <v>1</v>
      </c>
      <c r="S21" s="81">
        <v>0.5</v>
      </c>
      <c r="T21" s="81">
        <v>0.4</v>
      </c>
      <c r="U21" s="81"/>
      <c r="V21" s="78"/>
      <c r="W21" s="59">
        <f t="shared" si="0"/>
        <v>4</v>
      </c>
      <c r="X21" s="117">
        <f>SUM(P21:V21)</f>
        <v>3.9</v>
      </c>
      <c r="Y21" s="70">
        <f>W21+X21</f>
        <v>7.9</v>
      </c>
      <c r="Z21" s="71">
        <f>'[1]cálculos teóricos'!I197</f>
        <v>10.643970406314452</v>
      </c>
      <c r="AA21" s="72">
        <f t="shared" si="1"/>
        <v>74.220424319419251</v>
      </c>
      <c r="AB21" s="190"/>
    </row>
    <row r="22" spans="1:28" ht="18" customHeight="1">
      <c r="A22" s="80">
        <v>14</v>
      </c>
      <c r="B22" s="76">
        <v>21.9</v>
      </c>
      <c r="C22" s="74">
        <f>'[1]cálculos teóricos'!K198</f>
        <v>0.95401569522016727</v>
      </c>
      <c r="D22" s="59">
        <f t="shared" si="2"/>
        <v>304.274385943722</v>
      </c>
      <c r="E22" s="60">
        <f t="shared" si="3"/>
        <v>12.739359990691753</v>
      </c>
      <c r="F22" s="61">
        <f t="shared" si="4"/>
        <v>16.253282468364688</v>
      </c>
      <c r="G22" s="62">
        <f>'[1]cálculos teóricos'!T198</f>
        <v>22.879499394983263</v>
      </c>
      <c r="H22" s="75">
        <f t="shared" si="5"/>
        <v>71.038628021417765</v>
      </c>
      <c r="I22" s="170"/>
      <c r="J22" s="82"/>
      <c r="K22" s="81">
        <v>0.4</v>
      </c>
      <c r="L22" s="81">
        <v>1</v>
      </c>
      <c r="M22" s="81">
        <v>1</v>
      </c>
      <c r="N22" s="81">
        <v>1</v>
      </c>
      <c r="O22" s="200">
        <v>1</v>
      </c>
      <c r="P22" s="201">
        <v>1</v>
      </c>
      <c r="Q22" s="81">
        <v>1</v>
      </c>
      <c r="R22" s="81">
        <v>1</v>
      </c>
      <c r="S22" s="81">
        <v>1</v>
      </c>
      <c r="T22" s="81">
        <v>0.9</v>
      </c>
      <c r="U22" s="81"/>
      <c r="V22" s="78"/>
      <c r="W22" s="59">
        <f t="shared" si="0"/>
        <v>4.4000000000000004</v>
      </c>
      <c r="X22" s="117">
        <f t="shared" ref="X22:X36" si="8">SUM(P22:V22)</f>
        <v>4.9000000000000004</v>
      </c>
      <c r="Y22" s="70">
        <f t="shared" ref="Y22:Y36" si="9">W22+X22</f>
        <v>9.3000000000000007</v>
      </c>
      <c r="Z22" s="71">
        <f>'[1]cálculos teóricos'!I198</f>
        <v>10.653869763812521</v>
      </c>
      <c r="AA22" s="72">
        <f t="shared" si="1"/>
        <v>87.292225324443677</v>
      </c>
      <c r="AB22" s="190"/>
    </row>
    <row r="23" spans="1:28" ht="18" customHeight="1">
      <c r="A23" s="80">
        <v>15</v>
      </c>
      <c r="B23" s="76">
        <v>21.8</v>
      </c>
      <c r="C23" s="74">
        <f>'[1]cálculos teóricos'!K199</f>
        <v>0.95453531454708007</v>
      </c>
      <c r="D23" s="59">
        <f t="shared" si="2"/>
        <v>303.04997616425953</v>
      </c>
      <c r="E23" s="60">
        <f t="shared" si="3"/>
        <v>12.688096402045216</v>
      </c>
      <c r="F23" s="61">
        <f t="shared" si="4"/>
        <v>16.189202982556523</v>
      </c>
      <c r="G23" s="62">
        <f>'[1]cálculos teóricos'!T199</f>
        <v>22.962918451291131</v>
      </c>
      <c r="H23" s="75">
        <f t="shared" si="5"/>
        <v>70.50150448819042</v>
      </c>
      <c r="I23" s="170"/>
      <c r="J23" s="82"/>
      <c r="K23" s="81">
        <v>0.3</v>
      </c>
      <c r="L23" s="81">
        <v>1</v>
      </c>
      <c r="M23" s="81">
        <v>1</v>
      </c>
      <c r="N23" s="81">
        <v>1</v>
      </c>
      <c r="O23" s="200">
        <v>1</v>
      </c>
      <c r="P23" s="201">
        <v>1</v>
      </c>
      <c r="Q23" s="81">
        <v>1</v>
      </c>
      <c r="R23" s="81">
        <v>1</v>
      </c>
      <c r="S23" s="81">
        <v>1</v>
      </c>
      <c r="T23" s="81">
        <v>0.9</v>
      </c>
      <c r="U23" s="81"/>
      <c r="V23" s="78"/>
      <c r="W23" s="59">
        <f t="shared" si="0"/>
        <v>4.3</v>
      </c>
      <c r="X23" s="117">
        <f t="shared" si="8"/>
        <v>4.9000000000000004</v>
      </c>
      <c r="Y23" s="70">
        <f t="shared" si="9"/>
        <v>9.1999999999999993</v>
      </c>
      <c r="Z23" s="71">
        <f>'[1]cálculos teóricos'!I199</f>
        <v>10.664175276485974</v>
      </c>
      <c r="AA23" s="72">
        <f t="shared" si="1"/>
        <v>86.270149931664989</v>
      </c>
      <c r="AB23" s="190"/>
    </row>
    <row r="24" spans="1:28" ht="18" customHeight="1">
      <c r="A24" s="80">
        <v>16</v>
      </c>
      <c r="B24" s="76">
        <v>21.9</v>
      </c>
      <c r="C24" s="74">
        <f>'[1]cálculos teóricos'!K200</f>
        <v>0.95507477637454152</v>
      </c>
      <c r="D24" s="59">
        <f t="shared" si="2"/>
        <v>304.61216997550093</v>
      </c>
      <c r="E24" s="60">
        <f t="shared" si="3"/>
        <v>12.753502332534271</v>
      </c>
      <c r="F24" s="61">
        <f t="shared" si="4"/>
        <v>16.270960395667839</v>
      </c>
      <c r="G24" s="62">
        <f>'[1]cálculos teóricos'!T200</f>
        <v>23.049812702813032</v>
      </c>
      <c r="H24" s="75">
        <f t="shared" si="5"/>
        <v>70.590423468743012</v>
      </c>
      <c r="I24" s="170"/>
      <c r="J24" s="82"/>
      <c r="K24" s="81">
        <v>0.6</v>
      </c>
      <c r="L24" s="81">
        <v>1</v>
      </c>
      <c r="M24" s="81">
        <v>1</v>
      </c>
      <c r="N24" s="81">
        <v>1</v>
      </c>
      <c r="O24" s="200">
        <v>1</v>
      </c>
      <c r="P24" s="201">
        <v>1</v>
      </c>
      <c r="Q24" s="81">
        <v>1</v>
      </c>
      <c r="R24" s="81">
        <v>1</v>
      </c>
      <c r="S24" s="81">
        <v>1</v>
      </c>
      <c r="T24" s="81">
        <v>0.5</v>
      </c>
      <c r="U24" s="81"/>
      <c r="V24" s="78"/>
      <c r="W24" s="59">
        <f t="shared" si="0"/>
        <v>4.5999999999999996</v>
      </c>
      <c r="X24" s="117">
        <f t="shared" si="8"/>
        <v>4.5</v>
      </c>
      <c r="Y24" s="70">
        <f t="shared" si="9"/>
        <v>9.1</v>
      </c>
      <c r="Z24" s="71">
        <f>'[1]cálculos teóricos'!I200</f>
        <v>10.674880249152137</v>
      </c>
      <c r="AA24" s="72">
        <f t="shared" si="1"/>
        <v>85.246857928198082</v>
      </c>
      <c r="AB24" s="190"/>
    </row>
    <row r="25" spans="1:28" ht="18" customHeight="1">
      <c r="A25" s="80">
        <v>17</v>
      </c>
      <c r="B25" s="76">
        <v>22.5</v>
      </c>
      <c r="C25" s="74">
        <f>'[1]cálculos teóricos'!K201</f>
        <v>0.9556336847125847</v>
      </c>
      <c r="D25" s="59">
        <f t="shared" si="2"/>
        <v>313.14085126451386</v>
      </c>
      <c r="E25" s="60">
        <f t="shared" si="3"/>
        <v>13.110581160742665</v>
      </c>
      <c r="F25" s="61">
        <f t="shared" si="4"/>
        <v>16.717308930928333</v>
      </c>
      <c r="G25" s="62">
        <f>'[1]cálculos teóricos'!T201</f>
        <v>23.140138829289349</v>
      </c>
      <c r="H25" s="75">
        <f t="shared" si="5"/>
        <v>72.243771112421342</v>
      </c>
      <c r="I25" s="170"/>
      <c r="J25" s="82">
        <v>0.2</v>
      </c>
      <c r="K25" s="81">
        <v>1</v>
      </c>
      <c r="L25" s="81">
        <v>1</v>
      </c>
      <c r="M25" s="81">
        <v>1</v>
      </c>
      <c r="N25" s="81">
        <v>1</v>
      </c>
      <c r="O25" s="200">
        <v>1</v>
      </c>
      <c r="P25" s="201">
        <v>1</v>
      </c>
      <c r="Q25" s="81">
        <v>1</v>
      </c>
      <c r="R25" s="81">
        <v>1</v>
      </c>
      <c r="S25" s="81">
        <v>1</v>
      </c>
      <c r="T25" s="81">
        <v>0.7</v>
      </c>
      <c r="U25" s="81"/>
      <c r="V25" s="78"/>
      <c r="W25" s="59">
        <f t="shared" si="0"/>
        <v>5.2</v>
      </c>
      <c r="X25" s="117">
        <f t="shared" si="8"/>
        <v>4.7</v>
      </c>
      <c r="Y25" s="70">
        <f t="shared" si="9"/>
        <v>9.9</v>
      </c>
      <c r="Z25" s="71">
        <f>'[1]cálculos teóricos'!I201</f>
        <v>10.685977830427753</v>
      </c>
      <c r="AA25" s="72">
        <f t="shared" si="1"/>
        <v>92.64477389996334</v>
      </c>
      <c r="AB25" s="190"/>
    </row>
    <row r="26" spans="1:28" ht="18" customHeight="1">
      <c r="A26" s="85">
        <v>18</v>
      </c>
      <c r="B26" s="76">
        <v>19</v>
      </c>
      <c r="C26" s="74">
        <f>'[1]cálculos teóricos'!K202</f>
        <v>0.95621163221789329</v>
      </c>
      <c r="D26" s="59">
        <f t="shared" si="2"/>
        <v>264.58997401030047</v>
      </c>
      <c r="E26" s="60">
        <f t="shared" si="3"/>
        <v>11.07785303186326</v>
      </c>
      <c r="F26" s="61">
        <f t="shared" si="4"/>
        <v>14.176398769829074</v>
      </c>
      <c r="G26" s="62">
        <f>'[1]cálculos teóricos'!T202</f>
        <v>23.233852061700922</v>
      </c>
      <c r="H26" s="75">
        <f t="shared" si="5"/>
        <v>61.016135990629344</v>
      </c>
      <c r="I26" s="170"/>
      <c r="J26" s="82"/>
      <c r="K26" s="81">
        <v>0.6</v>
      </c>
      <c r="L26" s="81">
        <v>0.2</v>
      </c>
      <c r="M26" s="81">
        <v>0.3</v>
      </c>
      <c r="N26" s="81">
        <v>1</v>
      </c>
      <c r="O26" s="200">
        <v>1</v>
      </c>
      <c r="P26" s="201">
        <v>1</v>
      </c>
      <c r="Q26" s="81">
        <v>1</v>
      </c>
      <c r="R26" s="81">
        <v>1</v>
      </c>
      <c r="S26" s="81">
        <v>0.9</v>
      </c>
      <c r="T26" s="81">
        <v>0.1</v>
      </c>
      <c r="U26" s="81"/>
      <c r="V26" s="78"/>
      <c r="W26" s="59">
        <f t="shared" si="0"/>
        <v>3.1</v>
      </c>
      <c r="X26" s="117">
        <f t="shared" si="8"/>
        <v>4</v>
      </c>
      <c r="Y26" s="70">
        <f t="shared" si="9"/>
        <v>7.1</v>
      </c>
      <c r="Z26" s="71">
        <f>'[1]cálculos teóricos'!I202</f>
        <v>10.69746102692859</v>
      </c>
      <c r="AA26" s="72">
        <f t="shared" si="1"/>
        <v>66.370889149558536</v>
      </c>
      <c r="AB26" s="190"/>
    </row>
    <row r="27" spans="1:28" ht="18" customHeight="1">
      <c r="A27" s="85">
        <v>19</v>
      </c>
      <c r="B27" s="76">
        <v>23</v>
      </c>
      <c r="C27" s="74">
        <f>'[1]cálculos teóricos'!K203</f>
        <v>0.95680820076054496</v>
      </c>
      <c r="D27" s="59">
        <f t="shared" si="2"/>
        <v>320.49295333085252</v>
      </c>
      <c r="E27" s="60">
        <f t="shared" si="3"/>
        <v>13.418398970056133</v>
      </c>
      <c r="F27" s="61">
        <f t="shared" si="4"/>
        <v>17.102081192570168</v>
      </c>
      <c r="G27" s="62">
        <f>'[1]cálculos teóricos'!T203</f>
        <v>23.330906219017812</v>
      </c>
      <c r="H27" s="75">
        <f t="shared" si="5"/>
        <v>73.302258523630258</v>
      </c>
      <c r="I27" s="170"/>
      <c r="J27" s="82"/>
      <c r="K27" s="81">
        <v>0.8</v>
      </c>
      <c r="L27" s="81">
        <v>1</v>
      </c>
      <c r="M27" s="81">
        <v>1</v>
      </c>
      <c r="N27" s="81">
        <v>1</v>
      </c>
      <c r="O27" s="200">
        <v>1</v>
      </c>
      <c r="P27" s="201">
        <v>1</v>
      </c>
      <c r="Q27" s="81">
        <v>1</v>
      </c>
      <c r="R27" s="81">
        <v>1</v>
      </c>
      <c r="S27" s="81">
        <v>1</v>
      </c>
      <c r="T27" s="81">
        <v>0.7</v>
      </c>
      <c r="U27" s="81"/>
      <c r="V27" s="78"/>
      <c r="W27" s="59">
        <f t="shared" si="0"/>
        <v>4.8</v>
      </c>
      <c r="X27" s="117">
        <f t="shared" si="8"/>
        <v>4.7</v>
      </c>
      <c r="Y27" s="70">
        <f t="shared" si="9"/>
        <v>9.5</v>
      </c>
      <c r="Z27" s="71">
        <f>'[1]cálculos teóricos'!I203</f>
        <v>10.709322717449501</v>
      </c>
      <c r="AA27" s="72">
        <f t="shared" si="1"/>
        <v>88.70775725640371</v>
      </c>
      <c r="AB27" s="190"/>
    </row>
    <row r="28" spans="1:28" ht="18" customHeight="1">
      <c r="A28" s="85">
        <v>20</v>
      </c>
      <c r="B28" s="76">
        <v>16.7</v>
      </c>
      <c r="C28" s="74">
        <f>'[1]cálculos teóricos'!K204</f>
        <v>0.95742296199854815</v>
      </c>
      <c r="D28" s="59">
        <f t="shared" si="2"/>
        <v>232.85526942799981</v>
      </c>
      <c r="E28" s="60">
        <f t="shared" si="3"/>
        <v>9.7491844204114955</v>
      </c>
      <c r="F28" s="61">
        <f t="shared" si="4"/>
        <v>12.515563005514368</v>
      </c>
      <c r="G28" s="62">
        <f>'[1]cálculos teóricos'!T204</f>
        <v>23.431253746006767</v>
      </c>
      <c r="H28" s="75">
        <f t="shared" si="5"/>
        <v>53.413970678574181</v>
      </c>
      <c r="I28" s="170"/>
      <c r="J28" s="82"/>
      <c r="K28" s="81"/>
      <c r="L28" s="81"/>
      <c r="M28" s="81"/>
      <c r="N28" s="81"/>
      <c r="O28" s="200">
        <v>0.8</v>
      </c>
      <c r="P28" s="201">
        <v>1</v>
      </c>
      <c r="Q28" s="81">
        <v>0.8</v>
      </c>
      <c r="R28" s="81">
        <v>0.7</v>
      </c>
      <c r="S28" s="81">
        <v>0.4</v>
      </c>
      <c r="T28" s="81">
        <v>0.4</v>
      </c>
      <c r="U28" s="81"/>
      <c r="V28" s="78"/>
      <c r="W28" s="59">
        <f t="shared" si="0"/>
        <v>0.8</v>
      </c>
      <c r="X28" s="117">
        <f t="shared" si="8"/>
        <v>3.3</v>
      </c>
      <c r="Y28" s="70">
        <f t="shared" si="9"/>
        <v>4.0999999999999996</v>
      </c>
      <c r="Z28" s="71">
        <f>'[1]cálculos teóricos'!I204</f>
        <v>10.721555667074277</v>
      </c>
      <c r="AA28" s="72">
        <f t="shared" si="1"/>
        <v>38.240719232480721</v>
      </c>
      <c r="AB28" s="190"/>
    </row>
    <row r="29" spans="1:28" ht="18" customHeight="1">
      <c r="A29" s="85">
        <v>21</v>
      </c>
      <c r="B29" s="76">
        <v>19.2</v>
      </c>
      <c r="C29" s="74">
        <f>'[1]cálculos teóricos'!K205</f>
        <v>0.95805547795874668</v>
      </c>
      <c r="D29" s="59">
        <f t="shared" si="2"/>
        <v>267.89070630244237</v>
      </c>
      <c r="E29" s="60">
        <f t="shared" si="3"/>
        <v>11.216048091470658</v>
      </c>
      <c r="F29" s="61">
        <f t="shared" si="4"/>
        <v>14.349142594338321</v>
      </c>
      <c r="G29" s="62">
        <f>'[1]cálculos teóricos'!T205</f>
        <v>23.534845752045989</v>
      </c>
      <c r="H29" s="75">
        <f t="shared" si="5"/>
        <v>60.969775393964014</v>
      </c>
      <c r="I29" s="170"/>
      <c r="J29" s="82"/>
      <c r="K29" s="81"/>
      <c r="L29" s="81"/>
      <c r="M29" s="81">
        <v>0.2</v>
      </c>
      <c r="N29" s="81">
        <v>1</v>
      </c>
      <c r="O29" s="200">
        <v>1</v>
      </c>
      <c r="P29" s="201">
        <v>1</v>
      </c>
      <c r="Q29" s="81">
        <v>1</v>
      </c>
      <c r="R29" s="81">
        <v>1</v>
      </c>
      <c r="S29" s="81">
        <v>0.7</v>
      </c>
      <c r="T29" s="81">
        <v>0.5</v>
      </c>
      <c r="U29" s="81"/>
      <c r="V29" s="78"/>
      <c r="W29" s="59">
        <f t="shared" si="0"/>
        <v>2.2000000000000002</v>
      </c>
      <c r="X29" s="117">
        <f t="shared" si="8"/>
        <v>4.2</v>
      </c>
      <c r="Y29" s="70">
        <f t="shared" si="9"/>
        <v>6.4</v>
      </c>
      <c r="Z29" s="71">
        <f>'[1]cálculos teóricos'!I205</f>
        <v>10.734152541166916</v>
      </c>
      <c r="AA29" s="72">
        <f t="shared" si="1"/>
        <v>59.622778560814567</v>
      </c>
      <c r="AB29" s="3"/>
    </row>
    <row r="30" spans="1:28" ht="18" customHeight="1">
      <c r="A30" s="85">
        <v>22</v>
      </c>
      <c r="B30" s="76">
        <v>21.9</v>
      </c>
      <c r="C30" s="74">
        <f>'[1]cálculos teóricos'!K206</f>
        <v>0.9587053016226873</v>
      </c>
      <c r="D30" s="59">
        <f t="shared" si="2"/>
        <v>305.77009205798595</v>
      </c>
      <c r="E30" s="60">
        <f t="shared" si="3"/>
        <v>12.801982214283756</v>
      </c>
      <c r="F30" s="61">
        <f t="shared" si="4"/>
        <v>16.331560247854696</v>
      </c>
      <c r="G30" s="62">
        <f>'[1]cálculos teóricos'!T206</f>
        <v>23.641632050891843</v>
      </c>
      <c r="H30" s="75">
        <f t="shared" si="5"/>
        <v>69.079665112369483</v>
      </c>
      <c r="I30" s="170"/>
      <c r="J30" s="82"/>
      <c r="K30" s="81"/>
      <c r="L30" s="81">
        <v>0.9</v>
      </c>
      <c r="M30" s="81">
        <v>1</v>
      </c>
      <c r="N30" s="81">
        <v>1</v>
      </c>
      <c r="O30" s="200">
        <v>1</v>
      </c>
      <c r="P30" s="201">
        <v>1</v>
      </c>
      <c r="Q30" s="81">
        <v>1</v>
      </c>
      <c r="R30" s="81">
        <v>1</v>
      </c>
      <c r="S30" s="81">
        <v>1</v>
      </c>
      <c r="T30" s="81">
        <v>0.7</v>
      </c>
      <c r="U30" s="81"/>
      <c r="V30" s="78"/>
      <c r="W30" s="59">
        <f t="shared" si="0"/>
        <v>3.9</v>
      </c>
      <c r="X30" s="117">
        <f t="shared" si="8"/>
        <v>4.7</v>
      </c>
      <c r="Y30" s="70">
        <f t="shared" si="9"/>
        <v>8.6</v>
      </c>
      <c r="Z30" s="71">
        <f>'[1]cálculos teóricos'!I206</f>
        <v>10.747105919197939</v>
      </c>
      <c r="AA30" s="72">
        <f t="shared" si="1"/>
        <v>80.021543145280759</v>
      </c>
      <c r="AB30" s="3"/>
    </row>
    <row r="31" spans="1:28" ht="18" customHeight="1">
      <c r="A31" s="85">
        <v>23</v>
      </c>
      <c r="B31" s="76">
        <v>22.6</v>
      </c>
      <c r="C31" s="74">
        <f>'[1]cálculos teóricos'!K207</f>
        <v>0.95937197751604364</v>
      </c>
      <c r="D31" s="59">
        <f t="shared" si="2"/>
        <v>315.76299175694078</v>
      </c>
      <c r="E31" s="60">
        <f t="shared" si="3"/>
        <v>13.220364938879595</v>
      </c>
      <c r="F31" s="61">
        <f t="shared" si="4"/>
        <v>16.854538653599494</v>
      </c>
      <c r="G31" s="62">
        <f>'[1]cálculos teóricos'!T207</f>
        <v>23.751561201338504</v>
      </c>
      <c r="H31" s="75">
        <f t="shared" si="5"/>
        <v>70.96181388131096</v>
      </c>
      <c r="I31" s="170"/>
      <c r="J31" s="82"/>
      <c r="K31" s="81">
        <v>0.5</v>
      </c>
      <c r="L31" s="81">
        <v>1</v>
      </c>
      <c r="M31" s="81">
        <v>1</v>
      </c>
      <c r="N31" s="81">
        <v>1</v>
      </c>
      <c r="O31" s="200">
        <v>1</v>
      </c>
      <c r="P31" s="201">
        <v>1</v>
      </c>
      <c r="Q31" s="81">
        <v>1</v>
      </c>
      <c r="R31" s="81">
        <v>1</v>
      </c>
      <c r="S31" s="81">
        <v>1</v>
      </c>
      <c r="T31" s="81">
        <v>0.9</v>
      </c>
      <c r="U31" s="81"/>
      <c r="V31" s="78"/>
      <c r="W31" s="59">
        <f t="shared" si="0"/>
        <v>4.5</v>
      </c>
      <c r="X31" s="117">
        <f t="shared" si="8"/>
        <v>4.9000000000000004</v>
      </c>
      <c r="Y31" s="70">
        <f t="shared" si="9"/>
        <v>9.4</v>
      </c>
      <c r="Z31" s="71">
        <f>'[1]cálculos teóricos'!I207</f>
        <v>10.760408308361818</v>
      </c>
      <c r="AA31" s="72">
        <f t="shared" si="1"/>
        <v>87.357279859866878</v>
      </c>
      <c r="AB31" s="3"/>
    </row>
    <row r="32" spans="1:28" ht="18" customHeight="1">
      <c r="A32" s="85">
        <v>24</v>
      </c>
      <c r="B32" s="76">
        <v>13.3</v>
      </c>
      <c r="C32" s="74">
        <f>'[1]cálculos teóricos'!K208</f>
        <v>0.96005504230021532</v>
      </c>
      <c r="D32" s="59">
        <f t="shared" si="2"/>
        <v>185.95742939357118</v>
      </c>
      <c r="E32" s="60">
        <f t="shared" si="3"/>
        <v>7.7856656538500371</v>
      </c>
      <c r="F32" s="61">
        <f t="shared" si="4"/>
        <v>10.061164547312547</v>
      </c>
      <c r="G32" s="62">
        <f>'[1]cálculos teóricos'!T208</f>
        <v>23.864580548707934</v>
      </c>
      <c r="H32" s="75">
        <f t="shared" si="5"/>
        <v>42.159402411358428</v>
      </c>
      <c r="I32" s="170"/>
      <c r="J32" s="82"/>
      <c r="K32" s="81"/>
      <c r="L32" s="81">
        <v>0.1</v>
      </c>
      <c r="M32" s="81">
        <v>0.5</v>
      </c>
      <c r="N32" s="81">
        <v>0.2</v>
      </c>
      <c r="O32" s="200">
        <v>0.4</v>
      </c>
      <c r="P32" s="201">
        <v>1</v>
      </c>
      <c r="Q32" s="81">
        <v>0.5</v>
      </c>
      <c r="R32" s="81">
        <v>0.4</v>
      </c>
      <c r="S32" s="81">
        <v>0.5</v>
      </c>
      <c r="T32" s="81"/>
      <c r="U32" s="81"/>
      <c r="V32" s="78"/>
      <c r="W32" s="59">
        <f t="shared" si="0"/>
        <v>1.2000000000000002</v>
      </c>
      <c r="X32" s="117">
        <f t="shared" si="8"/>
        <v>2.4</v>
      </c>
      <c r="Y32" s="70">
        <f t="shared" si="9"/>
        <v>3.6</v>
      </c>
      <c r="Z32" s="71">
        <f>'[1]cálculos teóricos'!I208</f>
        <v>10.774052156944194</v>
      </c>
      <c r="AA32" s="72">
        <f t="shared" si="1"/>
        <v>33.413612144801938</v>
      </c>
      <c r="AB32" s="3"/>
    </row>
    <row r="33" spans="1:28" ht="18" customHeight="1">
      <c r="A33" s="85">
        <v>25</v>
      </c>
      <c r="B33" s="76">
        <v>8.9</v>
      </c>
      <c r="C33" s="74">
        <f>'[1]cálculos teóricos'!K209</f>
        <v>0.96075402536473475</v>
      </c>
      <c r="D33" s="59">
        <f t="shared" si="2"/>
        <v>124.52827711075392</v>
      </c>
      <c r="E33" s="60">
        <f t="shared" si="3"/>
        <v>5.213749906073045</v>
      </c>
      <c r="F33" s="61">
        <f t="shared" si="4"/>
        <v>6.8462698625913072</v>
      </c>
      <c r="G33" s="62">
        <f>'[1]cálculos teóricos'!T209</f>
        <v>23.980636267104472</v>
      </c>
      <c r="H33" s="75">
        <f t="shared" si="5"/>
        <v>28.549158522464658</v>
      </c>
      <c r="I33" s="170"/>
      <c r="J33" s="82"/>
      <c r="K33" s="81"/>
      <c r="L33" s="81"/>
      <c r="M33" s="81"/>
      <c r="N33" s="81"/>
      <c r="O33" s="200"/>
      <c r="P33" s="201"/>
      <c r="Q33" s="81"/>
      <c r="R33" s="81">
        <v>0.4</v>
      </c>
      <c r="S33" s="81">
        <v>0.5</v>
      </c>
      <c r="T33" s="81">
        <v>0.4</v>
      </c>
      <c r="U33" s="81"/>
      <c r="V33" s="78"/>
      <c r="W33" s="59">
        <f t="shared" si="0"/>
        <v>0</v>
      </c>
      <c r="X33" s="117">
        <f t="shared" si="8"/>
        <v>1.3</v>
      </c>
      <c r="Y33" s="70">
        <f t="shared" si="9"/>
        <v>1.3</v>
      </c>
      <c r="Z33" s="71">
        <f>'[1]cálculos teóricos'!I209</f>
        <v>10.788029867400006</v>
      </c>
      <c r="AA33" s="72">
        <f t="shared" si="1"/>
        <v>12.050393037272055</v>
      </c>
      <c r="AB33" s="3"/>
    </row>
    <row r="34" spans="1:28" ht="18" customHeight="1">
      <c r="A34" s="85">
        <v>26</v>
      </c>
      <c r="B34" s="76">
        <v>22.8</v>
      </c>
      <c r="C34" s="74">
        <f>'[1]cálculos teóricos'!K210</f>
        <v>0.96146844941914744</v>
      </c>
      <c r="D34" s="59">
        <f t="shared" si="2"/>
        <v>319.25348339903923</v>
      </c>
      <c r="E34" s="60">
        <f t="shared" si="3"/>
        <v>13.366504842950974</v>
      </c>
      <c r="F34" s="61">
        <f t="shared" si="4"/>
        <v>17.037213533688718</v>
      </c>
      <c r="G34" s="62">
        <f>'[1]cálculos teóricos'!T210</f>
        <v>24.099673402364708</v>
      </c>
      <c r="H34" s="75">
        <f t="shared" si="5"/>
        <v>70.694790129467037</v>
      </c>
      <c r="I34" s="170"/>
      <c r="J34" s="82"/>
      <c r="K34" s="81"/>
      <c r="L34" s="81">
        <v>0.4</v>
      </c>
      <c r="M34" s="81">
        <v>1</v>
      </c>
      <c r="N34" s="81">
        <v>1</v>
      </c>
      <c r="O34" s="200">
        <v>1</v>
      </c>
      <c r="P34" s="201">
        <v>1</v>
      </c>
      <c r="Q34" s="81">
        <v>1</v>
      </c>
      <c r="R34" s="81">
        <v>1</v>
      </c>
      <c r="S34" s="81">
        <v>1</v>
      </c>
      <c r="T34" s="81">
        <v>1</v>
      </c>
      <c r="U34" s="81"/>
      <c r="V34" s="78"/>
      <c r="W34" s="59">
        <f t="shared" si="0"/>
        <v>3.4</v>
      </c>
      <c r="X34" s="117">
        <f t="shared" si="8"/>
        <v>5</v>
      </c>
      <c r="Y34" s="70">
        <f t="shared" si="9"/>
        <v>8.4</v>
      </c>
      <c r="Z34" s="71">
        <f>'[1]cálculos teóricos'!I210</f>
        <v>10.802333809106663</v>
      </c>
      <c r="AA34" s="72">
        <f t="shared" si="1"/>
        <v>77.760974141704168</v>
      </c>
      <c r="AB34" s="7"/>
    </row>
    <row r="35" spans="1:28" ht="18" customHeight="1">
      <c r="A35" s="85">
        <v>27</v>
      </c>
      <c r="B35" s="76">
        <v>23.8</v>
      </c>
      <c r="C35" s="74">
        <f>'[1]cálculos teóricos'!K211</f>
        <v>0.96219783108305346</v>
      </c>
      <c r="D35" s="59">
        <f t="shared" si="2"/>
        <v>333.5086410888776</v>
      </c>
      <c r="E35" s="60">
        <f t="shared" si="3"/>
        <v>13.963339785109126</v>
      </c>
      <c r="F35" s="61">
        <f t="shared" si="4"/>
        <v>17.78325721138641</v>
      </c>
      <c r="G35" s="62">
        <f>'[1]cálculos teóricos'!T211</f>
        <v>24.221635915630831</v>
      </c>
      <c r="H35" s="75">
        <f t="shared" si="5"/>
        <v>73.418894055419386</v>
      </c>
      <c r="I35" s="170"/>
      <c r="J35" s="82"/>
      <c r="K35" s="81">
        <v>0.9</v>
      </c>
      <c r="L35" s="81">
        <v>1</v>
      </c>
      <c r="M35" s="81">
        <v>1</v>
      </c>
      <c r="N35" s="81">
        <v>1</v>
      </c>
      <c r="O35" s="200">
        <v>1</v>
      </c>
      <c r="P35" s="201">
        <v>1</v>
      </c>
      <c r="Q35" s="81">
        <v>1</v>
      </c>
      <c r="R35" s="81">
        <v>1</v>
      </c>
      <c r="S35" s="81">
        <v>1</v>
      </c>
      <c r="T35" s="81">
        <v>0.9</v>
      </c>
      <c r="U35" s="81"/>
      <c r="V35" s="78"/>
      <c r="W35" s="59">
        <f t="shared" si="0"/>
        <v>4.9000000000000004</v>
      </c>
      <c r="X35" s="117">
        <f t="shared" si="8"/>
        <v>4.9000000000000004</v>
      </c>
      <c r="Y35" s="70">
        <f t="shared" si="9"/>
        <v>9.8000000000000007</v>
      </c>
      <c r="Z35" s="71">
        <f>'[1]cálculos teóricos'!I211</f>
        <v>10.81695633075898</v>
      </c>
      <c r="AA35" s="72">
        <f t="shared" si="1"/>
        <v>90.598498323718161</v>
      </c>
      <c r="AB35" s="3"/>
    </row>
    <row r="36" spans="1:28" ht="18" customHeight="1">
      <c r="A36" s="85">
        <v>28</v>
      </c>
      <c r="B36" s="76">
        <v>20.3</v>
      </c>
      <c r="C36" s="74">
        <f>'[1]cálculos teóricos'!K212</f>
        <v>0.96294168147303771</v>
      </c>
      <c r="D36" s="59">
        <f t="shared" si="2"/>
        <v>284.68316391609153</v>
      </c>
      <c r="E36" s="60">
        <f t="shared" si="3"/>
        <v>11.91911470683892</v>
      </c>
      <c r="F36" s="61">
        <f t="shared" si="4"/>
        <v>15.22797586354865</v>
      </c>
      <c r="G36" s="62">
        <f>'[1]cálculos teóricos'!T212</f>
        <v>24.346466727472635</v>
      </c>
      <c r="H36" s="75">
        <f t="shared" si="5"/>
        <v>62.546964346022953</v>
      </c>
      <c r="I36" s="170"/>
      <c r="J36" s="82"/>
      <c r="K36" s="81"/>
      <c r="L36" s="81">
        <v>0.1</v>
      </c>
      <c r="M36" s="81">
        <v>0.3</v>
      </c>
      <c r="N36" s="81">
        <v>1</v>
      </c>
      <c r="O36" s="200">
        <v>1</v>
      </c>
      <c r="P36" s="201">
        <v>1</v>
      </c>
      <c r="Q36" s="81">
        <v>0.9</v>
      </c>
      <c r="R36" s="81">
        <v>0.9</v>
      </c>
      <c r="S36" s="81">
        <v>0.5</v>
      </c>
      <c r="T36" s="81">
        <v>0.9</v>
      </c>
      <c r="U36" s="81"/>
      <c r="V36" s="78"/>
      <c r="W36" s="59">
        <f t="shared" si="0"/>
        <v>2.4</v>
      </c>
      <c r="X36" s="117">
        <f t="shared" si="8"/>
        <v>4.2</v>
      </c>
      <c r="Y36" s="70">
        <f t="shared" si="9"/>
        <v>6.6</v>
      </c>
      <c r="Z36" s="71">
        <f>'[1]cálculos teóricos'!I212</f>
        <v>10.831889772375648</v>
      </c>
      <c r="AA36" s="72">
        <f t="shared" si="1"/>
        <v>60.931196113459798</v>
      </c>
      <c r="AB36" s="3"/>
    </row>
    <row r="37" spans="1:28" ht="18" customHeight="1">
      <c r="A37" s="85">
        <v>29</v>
      </c>
      <c r="B37" s="76">
        <v>25.2</v>
      </c>
      <c r="C37" s="74">
        <f>'[1]cálculos teóricos'!K213</f>
        <v>0.96369950678525729</v>
      </c>
      <c r="D37" s="59">
        <f t="shared" si="2"/>
        <v>353.67791173009078</v>
      </c>
      <c r="E37" s="60">
        <f t="shared" si="3"/>
        <v>14.807786808315441</v>
      </c>
      <c r="F37" s="61">
        <f t="shared" si="4"/>
        <v>18.838815990394302</v>
      </c>
      <c r="G37" s="62">
        <f>'[1]cálculos teóricos'!T213</f>
        <v>24.474107762481303</v>
      </c>
      <c r="H37" s="75">
        <f t="shared" si="5"/>
        <v>76.974475119677791</v>
      </c>
      <c r="I37" s="170"/>
      <c r="J37" s="82">
        <v>0.3</v>
      </c>
      <c r="K37" s="81">
        <v>1</v>
      </c>
      <c r="L37" s="81">
        <v>1</v>
      </c>
      <c r="M37" s="81">
        <v>1</v>
      </c>
      <c r="N37" s="81">
        <v>1</v>
      </c>
      <c r="O37" s="200">
        <v>1</v>
      </c>
      <c r="P37" s="201">
        <v>1</v>
      </c>
      <c r="Q37" s="81">
        <v>1</v>
      </c>
      <c r="R37" s="81">
        <v>1</v>
      </c>
      <c r="S37" s="81">
        <v>1</v>
      </c>
      <c r="T37" s="81">
        <v>1</v>
      </c>
      <c r="U37" s="81"/>
      <c r="V37" s="78"/>
      <c r="W37" s="59">
        <f t="shared" si="0"/>
        <v>5.3</v>
      </c>
      <c r="X37" s="117">
        <f>SUM(P37:V37)</f>
        <v>5</v>
      </c>
      <c r="Y37" s="70">
        <f>W37+X37</f>
        <v>10.3</v>
      </c>
      <c r="Z37" s="71">
        <f>'[1]cálculos teóricos'!I213</f>
        <v>10.84712647688978</v>
      </c>
      <c r="AA37" s="72">
        <f t="shared" si="1"/>
        <v>94.956023809112452</v>
      </c>
      <c r="AB37" s="3"/>
    </row>
    <row r="38" spans="1:28" ht="18" customHeight="1">
      <c r="A38" s="80">
        <v>30</v>
      </c>
      <c r="B38" s="76">
        <v>21.5</v>
      </c>
      <c r="C38" s="74">
        <f>'[1]cálculos teóricos'!K214</f>
        <v>0.96447080887248837</v>
      </c>
      <c r="D38" s="59">
        <f t="shared" si="2"/>
        <v>301.99051843781137</v>
      </c>
      <c r="E38" s="60">
        <f t="shared" si="3"/>
        <v>12.643739025954288</v>
      </c>
      <c r="F38" s="61">
        <f t="shared" si="4"/>
        <v>16.133756262442859</v>
      </c>
      <c r="G38" s="62">
        <f>'[1]cálculos teóricos'!T214</f>
        <v>24.60449999425596</v>
      </c>
      <c r="H38" s="75">
        <f t="shared" si="5"/>
        <v>65.572380118309098</v>
      </c>
      <c r="I38" s="170"/>
      <c r="J38" s="82"/>
      <c r="K38" s="81">
        <v>0.5</v>
      </c>
      <c r="L38" s="81">
        <v>0.8</v>
      </c>
      <c r="M38" s="81">
        <v>0.5</v>
      </c>
      <c r="N38" s="81">
        <v>0.6</v>
      </c>
      <c r="O38" s="200">
        <v>1</v>
      </c>
      <c r="P38" s="201">
        <v>1</v>
      </c>
      <c r="Q38" s="81">
        <v>1</v>
      </c>
      <c r="R38" s="81">
        <v>1</v>
      </c>
      <c r="S38" s="81">
        <v>1</v>
      </c>
      <c r="T38" s="81">
        <v>1</v>
      </c>
      <c r="U38" s="81"/>
      <c r="V38" s="78"/>
      <c r="W38" s="59">
        <f t="shared" si="0"/>
        <v>3.4</v>
      </c>
      <c r="X38" s="117">
        <f>SUM(P38:V38)</f>
        <v>5</v>
      </c>
      <c r="Y38" s="70">
        <f>W38+X38</f>
        <v>8.4</v>
      </c>
      <c r="Z38" s="71">
        <f>'[1]cálculos teóricos'!I214</f>
        <v>10.86265880129913</v>
      </c>
      <c r="AA38" s="72">
        <f t="shared" si="1"/>
        <v>77.329134180256077</v>
      </c>
      <c r="AB38" s="3"/>
    </row>
    <row r="39" spans="1:28" ht="18" customHeight="1" thickBot="1">
      <c r="A39" s="86">
        <v>31</v>
      </c>
      <c r="B39" s="87">
        <v>25.3</v>
      </c>
      <c r="C39" s="88">
        <f>'[1]cálculos teóricos'!K215</f>
        <v>0.96525508581449126</v>
      </c>
      <c r="D39" s="89">
        <f t="shared" si="2"/>
        <v>355.6545587891614</v>
      </c>
      <c r="E39" s="90">
        <f t="shared" si="3"/>
        <v>14.890545067384609</v>
      </c>
      <c r="F39" s="91">
        <f t="shared" si="4"/>
        <v>18.942263814230763</v>
      </c>
      <c r="G39" s="92">
        <f>'[1]cálculos teóricos'!T215</f>
        <v>24.7375834907022</v>
      </c>
      <c r="H39" s="93">
        <f t="shared" si="5"/>
        <v>76.572814080042832</v>
      </c>
      <c r="I39" s="202"/>
      <c r="J39" s="94">
        <v>0.2</v>
      </c>
      <c r="K39" s="87">
        <v>0.9</v>
      </c>
      <c r="L39" s="87">
        <v>1</v>
      </c>
      <c r="M39" s="87">
        <v>1</v>
      </c>
      <c r="N39" s="87">
        <v>1</v>
      </c>
      <c r="O39" s="203">
        <v>1</v>
      </c>
      <c r="P39" s="204">
        <v>1</v>
      </c>
      <c r="Q39" s="87">
        <v>1</v>
      </c>
      <c r="R39" s="87">
        <v>1</v>
      </c>
      <c r="S39" s="87">
        <v>1</v>
      </c>
      <c r="T39" s="87">
        <v>0.8</v>
      </c>
      <c r="U39" s="87"/>
      <c r="V39" s="78"/>
      <c r="W39" s="59">
        <f t="shared" si="0"/>
        <v>5.0999999999999996</v>
      </c>
      <c r="X39" s="117">
        <f>SUM(P39:V39)</f>
        <v>4.8</v>
      </c>
      <c r="Y39" s="70">
        <f>W39+X39</f>
        <v>9.8999999999999986</v>
      </c>
      <c r="Z39" s="100">
        <f>'[1]cálculos teóricos'!I215</f>
        <v>10.87847912735425</v>
      </c>
      <c r="AA39" s="101">
        <f t="shared" si="1"/>
        <v>91.00536834332074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0</v>
      </c>
      <c r="J40" s="104">
        <f t="shared" ref="J40:V40" si="10">SUM(J9:J39)</f>
        <v>0.7</v>
      </c>
      <c r="K40" s="104">
        <f t="shared" si="10"/>
        <v>9.6</v>
      </c>
      <c r="L40" s="104">
        <f t="shared" si="10"/>
        <v>16.2</v>
      </c>
      <c r="M40" s="104">
        <f t="shared" si="10"/>
        <v>18.399999999999999</v>
      </c>
      <c r="N40" s="104">
        <f t="shared" si="10"/>
        <v>22.5</v>
      </c>
      <c r="O40" s="104">
        <f t="shared" si="10"/>
        <v>24.8</v>
      </c>
      <c r="P40" s="104">
        <f t="shared" si="10"/>
        <v>26.2</v>
      </c>
      <c r="Q40" s="104">
        <f t="shared" si="10"/>
        <v>24.9</v>
      </c>
      <c r="R40" s="104">
        <f t="shared" si="10"/>
        <v>23.999999999999996</v>
      </c>
      <c r="S40" s="104">
        <f t="shared" si="10"/>
        <v>21.799999999999997</v>
      </c>
      <c r="T40" s="104">
        <f t="shared" si="10"/>
        <v>15.600000000000001</v>
      </c>
      <c r="U40" s="104">
        <f t="shared" si="10"/>
        <v>0</v>
      </c>
      <c r="V40" s="130">
        <f t="shared" si="10"/>
        <v>0</v>
      </c>
      <c r="W40" s="130">
        <f t="shared" si="0"/>
        <v>92.2</v>
      </c>
      <c r="X40" s="130">
        <f>SUM(P40:V40)</f>
        <v>112.5</v>
      </c>
      <c r="Y40" s="130">
        <f>W40+X40</f>
        <v>204.7</v>
      </c>
      <c r="Z40" s="130">
        <f>SUM(Z9:Z39)</f>
        <v>331.40602586246763</v>
      </c>
      <c r="AA40" s="130">
        <f>SUM(AA9:AA39)</f>
        <v>1911.4593239301321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205"/>
      <c r="C54" s="20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90"/>
      <c r="S2" s="190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63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1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25.3</v>
      </c>
      <c r="C9" s="74">
        <f>'[1]cálculos teóricos'!K216</f>
        <v>0.96605183248059556</v>
      </c>
      <c r="D9" s="59">
        <f>IF(B9&gt;0,B9*C9*14.25*1.022,-999)</f>
        <v>355.94812531697818</v>
      </c>
      <c r="E9" s="60">
        <f>IF(B9&gt;0,D9*4.1868/100,-999)</f>
        <v>14.90283611077124</v>
      </c>
      <c r="F9" s="61">
        <f>IF(B9&gt;0,(7.86+1.25*D9)*4.1868/100,-999)</f>
        <v>18.957627618464052</v>
      </c>
      <c r="G9" s="62">
        <f>'[1]cálculos teóricos'!T216</f>
        <v>24.873297459560863</v>
      </c>
      <c r="H9" s="63">
        <f>IF(B9&gt;0,100*F9/G9,-999)</f>
        <v>76.216784884615578</v>
      </c>
      <c r="I9" s="57"/>
      <c r="J9" s="64"/>
      <c r="K9" s="64">
        <v>0.3</v>
      </c>
      <c r="L9" s="64">
        <v>1</v>
      </c>
      <c r="M9" s="64">
        <v>1</v>
      </c>
      <c r="N9" s="64">
        <v>1</v>
      </c>
      <c r="O9" s="65">
        <v>1</v>
      </c>
      <c r="P9" s="64">
        <v>1</v>
      </c>
      <c r="Q9" s="64">
        <v>1</v>
      </c>
      <c r="R9" s="64">
        <v>1</v>
      </c>
      <c r="S9" s="64">
        <v>1</v>
      </c>
      <c r="T9" s="64">
        <v>1</v>
      </c>
      <c r="U9" s="64">
        <v>0.3</v>
      </c>
      <c r="V9" s="65"/>
      <c r="W9" s="59">
        <f t="shared" ref="W9:W40" si="0">SUM(I9:O9)</f>
        <v>4.3</v>
      </c>
      <c r="X9" s="206">
        <f>SUM(P9:V9)</f>
        <v>5.3</v>
      </c>
      <c r="Y9" s="118">
        <f>W9+X9</f>
        <v>9.6</v>
      </c>
      <c r="Z9" s="71">
        <f>'[1]cálculos teóricos'!I216</f>
        <v>10.894579871765924</v>
      </c>
      <c r="AA9" s="72">
        <f>100*Y9/Z9</f>
        <v>88.117211613447168</v>
      </c>
      <c r="AB9" s="3"/>
    </row>
    <row r="10" spans="1:28" ht="18" customHeight="1">
      <c r="A10" s="73">
        <v>2</v>
      </c>
      <c r="B10" s="57">
        <v>22.8</v>
      </c>
      <c r="C10" s="74">
        <f>'[1]cálculos teóricos'!K217</f>
        <v>0.96686054108346287</v>
      </c>
      <c r="D10" s="59">
        <f>IF(B10&gt;0,B10*C10*14.25*1.022,-999)</f>
        <v>321.04391557357349</v>
      </c>
      <c r="E10" s="60">
        <f>IF(B10&gt;0,D10*4.1868/100,-999)</f>
        <v>13.441466657234376</v>
      </c>
      <c r="F10" s="61">
        <f>IF(B10&gt;0,(7.86+1.25*D10)*4.1868/100,-999)</f>
        <v>17.130915801542969</v>
      </c>
      <c r="G10" s="62">
        <f>'[1]cálculos teóricos'!T217</f>
        <v>25.01158029408397</v>
      </c>
      <c r="H10" s="75">
        <f>IF(B10&gt;0,100*F10/G10,-999)</f>
        <v>68.491936935288223</v>
      </c>
      <c r="I10" s="57"/>
      <c r="J10" s="79"/>
      <c r="K10" s="76">
        <v>1</v>
      </c>
      <c r="L10" s="76">
        <v>1</v>
      </c>
      <c r="M10" s="76">
        <v>1</v>
      </c>
      <c r="N10" s="76">
        <v>1</v>
      </c>
      <c r="O10" s="77">
        <v>1</v>
      </c>
      <c r="P10" s="79">
        <v>1</v>
      </c>
      <c r="Q10" s="76">
        <v>1</v>
      </c>
      <c r="R10" s="76">
        <v>1</v>
      </c>
      <c r="S10" s="76">
        <v>0.7</v>
      </c>
      <c r="T10" s="82"/>
      <c r="U10" s="82"/>
      <c r="V10" s="78"/>
      <c r="W10" s="59">
        <f t="shared" si="0"/>
        <v>5</v>
      </c>
      <c r="X10" s="117">
        <f t="shared" ref="X10:X36" si="1">SUM(P10:V10)</f>
        <v>3.7</v>
      </c>
      <c r="Y10" s="126">
        <f t="shared" ref="Y10:Y36" si="2">W10+X10</f>
        <v>8.6999999999999993</v>
      </c>
      <c r="Z10" s="71">
        <f>'[1]cálculos teóricos'!I217</f>
        <v>10.910953495915864</v>
      </c>
      <c r="AA10" s="72">
        <f t="shared" ref="AA10:AA39" si="3">100*Y10/Z10</f>
        <v>79.736386038640362</v>
      </c>
      <c r="AB10" s="3"/>
    </row>
    <row r="11" spans="1:28" ht="18" customHeight="1">
      <c r="A11" s="73">
        <v>3</v>
      </c>
      <c r="B11" s="57">
        <v>23.5</v>
      </c>
      <c r="C11" s="74">
        <f>'[1]cálculos teóricos'!K218</f>
        <v>0.96768070172304144</v>
      </c>
      <c r="D11" s="59">
        <f t="shared" ref="D11:D39" si="4">IF(B11&gt;0,B11*C11*14.25*1.022,-999)</f>
        <v>331.18122063927262</v>
      </c>
      <c r="E11" s="60">
        <f t="shared" ref="E11:E39" si="5">IF(B11&gt;0,D11*4.1868/100,-999)</f>
        <v>13.865895345725066</v>
      </c>
      <c r="F11" s="61">
        <f t="shared" ref="F11:F39" si="6">IF(B11&gt;0,(7.86+1.25*D11)*4.1868/100,-999)</f>
        <v>17.661451662156331</v>
      </c>
      <c r="G11" s="62">
        <f>'[1]cálculos teóricos'!T218</f>
        <v>25.152369618774994</v>
      </c>
      <c r="H11" s="75">
        <f t="shared" ref="H11:H39" si="7">IF(B11&gt;0,100*F11/G11,-999)</f>
        <v>70.217844003743224</v>
      </c>
      <c r="I11" s="57"/>
      <c r="J11" s="79"/>
      <c r="K11" s="76">
        <v>1</v>
      </c>
      <c r="L11" s="76">
        <v>1</v>
      </c>
      <c r="M11" s="76">
        <v>1</v>
      </c>
      <c r="N11" s="76">
        <v>1</v>
      </c>
      <c r="O11" s="77">
        <v>1</v>
      </c>
      <c r="P11" s="79">
        <v>1</v>
      </c>
      <c r="Q11" s="79">
        <v>1</v>
      </c>
      <c r="R11" s="76">
        <v>1</v>
      </c>
      <c r="S11" s="82">
        <v>1</v>
      </c>
      <c r="T11" s="82">
        <v>0.6</v>
      </c>
      <c r="U11" s="82"/>
      <c r="V11" s="78"/>
      <c r="W11" s="59">
        <f t="shared" si="0"/>
        <v>5</v>
      </c>
      <c r="X11" s="117">
        <f t="shared" si="1"/>
        <v>4.5999999999999996</v>
      </c>
      <c r="Y11" s="70">
        <f t="shared" si="2"/>
        <v>9.6</v>
      </c>
      <c r="Z11" s="71">
        <f>'[1]cálculos teóricos'!I218</f>
        <v>10.927592515057382</v>
      </c>
      <c r="AA11" s="72">
        <f t="shared" si="3"/>
        <v>87.851006402114081</v>
      </c>
      <c r="AB11" s="3"/>
    </row>
    <row r="12" spans="1:28" ht="18" customHeight="1">
      <c r="A12" s="73">
        <v>4</v>
      </c>
      <c r="B12" s="57">
        <v>13.5</v>
      </c>
      <c r="C12" s="74">
        <f>'[1]cálculos teóricos'!K219</f>
        <v>0.96851180291978101</v>
      </c>
      <c r="D12" s="59">
        <f t="shared" si="4"/>
        <v>190.41644216460014</v>
      </c>
      <c r="E12" s="60">
        <f t="shared" si="5"/>
        <v>7.9723556005474778</v>
      </c>
      <c r="F12" s="61">
        <f t="shared" si="6"/>
        <v>10.294526980684347</v>
      </c>
      <c r="G12" s="62">
        <f>'[1]cálculos teóricos'!T219</f>
        <v>25.295602335109727</v>
      </c>
      <c r="H12" s="75">
        <f t="shared" si="7"/>
        <v>40.696903929406638</v>
      </c>
      <c r="I12" s="57"/>
      <c r="J12" s="79"/>
      <c r="K12" s="76"/>
      <c r="L12" s="76"/>
      <c r="M12" s="76"/>
      <c r="N12" s="76"/>
      <c r="O12" s="77">
        <v>0.2</v>
      </c>
      <c r="P12" s="79">
        <v>0.4</v>
      </c>
      <c r="Q12" s="79">
        <v>0.7</v>
      </c>
      <c r="R12" s="76"/>
      <c r="S12" s="76"/>
      <c r="T12" s="82"/>
      <c r="U12" s="82"/>
      <c r="V12" s="78"/>
      <c r="W12" s="59">
        <f t="shared" si="0"/>
        <v>0.2</v>
      </c>
      <c r="X12" s="117">
        <f t="shared" si="1"/>
        <v>1.1000000000000001</v>
      </c>
      <c r="Y12" s="207">
        <f t="shared" si="2"/>
        <v>1.3</v>
      </c>
      <c r="Z12" s="71">
        <f>'[1]cálculos teóricos'!I219</f>
        <v>10.944489506995499</v>
      </c>
      <c r="AA12" s="72">
        <f t="shared" si="3"/>
        <v>11.878123681959455</v>
      </c>
      <c r="AB12" s="3"/>
    </row>
    <row r="13" spans="1:28" ht="18" customHeight="1">
      <c r="A13" s="73">
        <v>5</v>
      </c>
      <c r="B13" s="57">
        <v>13.5</v>
      </c>
      <c r="C13" s="74">
        <f>'[1]cálculos teóricos'!K220</f>
        <v>0.96935333213624431</v>
      </c>
      <c r="D13" s="59">
        <f t="shared" si="4"/>
        <v>190.58189290964361</v>
      </c>
      <c r="E13" s="60">
        <f t="shared" si="5"/>
        <v>7.9792826923409583</v>
      </c>
      <c r="F13" s="61">
        <f t="shared" si="6"/>
        <v>10.303185845426199</v>
      </c>
      <c r="G13" s="62">
        <f>'[1]cálculos teóricos'!T220</f>
        <v>25.441214667155272</v>
      </c>
      <c r="H13" s="75">
        <f t="shared" si="7"/>
        <v>40.498010728739537</v>
      </c>
      <c r="I13" s="57"/>
      <c r="J13" s="79"/>
      <c r="K13" s="76"/>
      <c r="L13" s="76"/>
      <c r="M13" s="76"/>
      <c r="N13" s="76">
        <v>0.6</v>
      </c>
      <c r="O13" s="77">
        <v>0.8</v>
      </c>
      <c r="P13" s="79">
        <v>0.1</v>
      </c>
      <c r="Q13" s="79"/>
      <c r="R13" s="76"/>
      <c r="S13" s="82"/>
      <c r="T13" s="82"/>
      <c r="U13" s="82"/>
      <c r="V13" s="78"/>
      <c r="W13" s="59">
        <f t="shared" si="0"/>
        <v>1.4</v>
      </c>
      <c r="X13" s="117">
        <f t="shared" si="1"/>
        <v>0.1</v>
      </c>
      <c r="Y13" s="126">
        <f t="shared" si="2"/>
        <v>1.5</v>
      </c>
      <c r="Z13" s="71">
        <f>'[1]cálculos teóricos'!I220</f>
        <v>10.961637120238258</v>
      </c>
      <c r="AA13" s="72">
        <f t="shared" si="3"/>
        <v>13.684087363470363</v>
      </c>
      <c r="AB13" s="3"/>
    </row>
    <row r="14" spans="1:28" ht="18" customHeight="1">
      <c r="A14" s="73">
        <v>6</v>
      </c>
      <c r="B14" s="57">
        <v>12</v>
      </c>
      <c r="C14" s="74">
        <f>'[1]cálculos teóricos'!K221</f>
        <v>0.9702047762863053</v>
      </c>
      <c r="D14" s="59">
        <f t="shared" si="4"/>
        <v>169.55492711334728</v>
      </c>
      <c r="E14" s="60">
        <f t="shared" si="5"/>
        <v>7.0989256883816232</v>
      </c>
      <c r="F14" s="61">
        <f t="shared" si="6"/>
        <v>9.2027395904770302</v>
      </c>
      <c r="G14" s="62">
        <f>'[1]cálculos teóricos'!T221</f>
        <v>25.589142207004898</v>
      </c>
      <c r="H14" s="75">
        <f t="shared" si="7"/>
        <v>35.963454796690399</v>
      </c>
      <c r="I14" s="57"/>
      <c r="J14" s="79"/>
      <c r="K14" s="76"/>
      <c r="L14" s="76"/>
      <c r="M14" s="76"/>
      <c r="N14" s="76"/>
      <c r="O14" s="77"/>
      <c r="P14" s="79"/>
      <c r="Q14" s="79"/>
      <c r="R14" s="76"/>
      <c r="S14" s="82"/>
      <c r="T14" s="82"/>
      <c r="U14" s="82"/>
      <c r="V14" s="78"/>
      <c r="W14" s="59">
        <f t="shared" si="0"/>
        <v>0</v>
      </c>
      <c r="X14" s="117">
        <f t="shared" si="1"/>
        <v>0</v>
      </c>
      <c r="Y14" s="126">
        <f t="shared" si="2"/>
        <v>0</v>
      </c>
      <c r="Z14" s="71">
        <f>'[1]cálculos teóricos'!I221</f>
        <v>10.979028081613723</v>
      </c>
      <c r="AA14" s="72">
        <f t="shared" si="3"/>
        <v>0</v>
      </c>
      <c r="AB14" s="3"/>
    </row>
    <row r="15" spans="1:28" ht="18" customHeight="1">
      <c r="A15" s="73">
        <v>7</v>
      </c>
      <c r="B15" s="57">
        <v>21.8</v>
      </c>
      <c r="C15" s="74">
        <f>'[1]cálculos teóricos'!K222</f>
        <v>0.97106562223120196</v>
      </c>
      <c r="D15" s="59">
        <f t="shared" si="4"/>
        <v>308.29808932813756</v>
      </c>
      <c r="E15" s="60">
        <f t="shared" si="5"/>
        <v>12.907824403990462</v>
      </c>
      <c r="F15" s="61">
        <f t="shared" si="6"/>
        <v>16.463862984988079</v>
      </c>
      <c r="G15" s="62">
        <f>'[1]cálculos teóricos'!T222</f>
        <v>25.7393199599484</v>
      </c>
      <c r="H15" s="75">
        <f t="shared" si="7"/>
        <v>63.963861557362932</v>
      </c>
      <c r="I15" s="57"/>
      <c r="J15" s="82"/>
      <c r="K15" s="81">
        <v>0.3</v>
      </c>
      <c r="L15" s="81">
        <v>1</v>
      </c>
      <c r="M15" s="81">
        <v>0.8</v>
      </c>
      <c r="N15" s="81">
        <v>1</v>
      </c>
      <c r="O15" s="78">
        <v>1</v>
      </c>
      <c r="P15" s="82">
        <v>1</v>
      </c>
      <c r="Q15" s="82">
        <v>1</v>
      </c>
      <c r="R15" s="81">
        <v>1</v>
      </c>
      <c r="S15" s="81">
        <v>1</v>
      </c>
      <c r="T15" s="81">
        <v>0.8</v>
      </c>
      <c r="U15" s="81"/>
      <c r="V15" s="78"/>
      <c r="W15" s="59">
        <f t="shared" si="0"/>
        <v>4.0999999999999996</v>
      </c>
      <c r="X15" s="117">
        <f t="shared" si="1"/>
        <v>4.8</v>
      </c>
      <c r="Y15" s="126">
        <f t="shared" si="2"/>
        <v>8.8999999999999986</v>
      </c>
      <c r="Z15" s="71">
        <f>'[1]cálculos teóricos'!I222</f>
        <v>10.996655203349142</v>
      </c>
      <c r="AA15" s="72">
        <f t="shared" si="3"/>
        <v>80.933700615523648</v>
      </c>
      <c r="AB15" s="3"/>
    </row>
    <row r="16" spans="1:28" ht="18" customHeight="1">
      <c r="A16" s="80">
        <v>8</v>
      </c>
      <c r="B16" s="76">
        <v>15.5</v>
      </c>
      <c r="C16" s="74">
        <f>'[1]cálculos teóricos'!K223</f>
        <v>0.97193535726175861</v>
      </c>
      <c r="D16" s="59">
        <f t="shared" si="4"/>
        <v>219.39909891996513</v>
      </c>
      <c r="E16" s="60">
        <f t="shared" si="5"/>
        <v>9.1858014735810993</v>
      </c>
      <c r="F16" s="61">
        <f t="shared" si="6"/>
        <v>11.811334321976377</v>
      </c>
      <c r="G16" s="62">
        <f>'[1]cálculos teóricos'!T223</f>
        <v>25.891682389298744</v>
      </c>
      <c r="H16" s="75">
        <f t="shared" si="7"/>
        <v>45.618257417131389</v>
      </c>
      <c r="I16" s="76"/>
      <c r="J16" s="82"/>
      <c r="K16" s="81"/>
      <c r="L16" s="81">
        <v>0.8</v>
      </c>
      <c r="M16" s="81">
        <v>1</v>
      </c>
      <c r="N16" s="81">
        <v>0.5</v>
      </c>
      <c r="O16" s="78">
        <v>0.6</v>
      </c>
      <c r="P16" s="82">
        <v>1</v>
      </c>
      <c r="Q16" s="82">
        <v>0.8</v>
      </c>
      <c r="R16" s="81">
        <v>0.1</v>
      </c>
      <c r="S16" s="81"/>
      <c r="T16" s="81"/>
      <c r="U16" s="81"/>
      <c r="V16" s="78"/>
      <c r="W16" s="59">
        <f t="shared" si="0"/>
        <v>2.9</v>
      </c>
      <c r="X16" s="117">
        <f t="shared" si="1"/>
        <v>1.9000000000000001</v>
      </c>
      <c r="Y16" s="126">
        <f t="shared" si="2"/>
        <v>4.8</v>
      </c>
      <c r="Z16" s="71">
        <f>'[1]cálculos teóricos'!I223</f>
        <v>11.014511389611176</v>
      </c>
      <c r="AA16" s="72">
        <f t="shared" si="3"/>
        <v>43.578873635078651</v>
      </c>
      <c r="AB16" s="3"/>
    </row>
    <row r="17" spans="1:28" ht="18" customHeight="1">
      <c r="A17" s="80">
        <v>9</v>
      </c>
      <c r="B17" s="76">
        <v>16.5</v>
      </c>
      <c r="C17" s="74">
        <f>'[1]cálculos teóricos'!K224</f>
        <v>0.97281346956618042</v>
      </c>
      <c r="D17" s="59">
        <f t="shared" si="4"/>
        <v>233.76488790644666</v>
      </c>
      <c r="E17" s="60">
        <f t="shared" si="5"/>
        <v>9.7872683268671086</v>
      </c>
      <c r="F17" s="61">
        <f t="shared" si="6"/>
        <v>12.563167888583887</v>
      </c>
      <c r="G17" s="62">
        <f>'[1]cálculos teóricos'!T224</f>
        <v>26.046163460798493</v>
      </c>
      <c r="H17" s="75">
        <f t="shared" si="7"/>
        <v>48.234235754115701</v>
      </c>
      <c r="I17" s="76"/>
      <c r="J17" s="82"/>
      <c r="K17" s="81"/>
      <c r="L17" s="81"/>
      <c r="M17" s="81">
        <v>0.3</v>
      </c>
      <c r="N17" s="81"/>
      <c r="O17" s="78">
        <v>0.7</v>
      </c>
      <c r="P17" s="79">
        <v>1</v>
      </c>
      <c r="Q17" s="82">
        <v>1</v>
      </c>
      <c r="R17" s="81">
        <v>1</v>
      </c>
      <c r="S17" s="81">
        <v>1</v>
      </c>
      <c r="T17" s="81">
        <v>0.6</v>
      </c>
      <c r="U17" s="81"/>
      <c r="V17" s="78"/>
      <c r="W17" s="59">
        <f t="shared" si="0"/>
        <v>1</v>
      </c>
      <c r="X17" s="117">
        <f t="shared" si="1"/>
        <v>4.5999999999999996</v>
      </c>
      <c r="Y17" s="126">
        <f t="shared" si="2"/>
        <v>5.6</v>
      </c>
      <c r="Z17" s="71">
        <f>'[1]cálculos teóricos'!I224</f>
        <v>11.032589642507965</v>
      </c>
      <c r="AA17" s="72">
        <f t="shared" si="3"/>
        <v>50.758708349157722</v>
      </c>
      <c r="AB17" s="3"/>
    </row>
    <row r="18" spans="1:28" ht="18" customHeight="1">
      <c r="A18" s="80">
        <v>10</v>
      </c>
      <c r="B18" s="76">
        <v>9.9</v>
      </c>
      <c r="C18" s="74">
        <f>'[1]cálculos teóricos'!K225</f>
        <v>0.97369944868287672</v>
      </c>
      <c r="D18" s="59">
        <f t="shared" si="4"/>
        <v>140.38667201684146</v>
      </c>
      <c r="E18" s="60">
        <f t="shared" si="5"/>
        <v>5.8777091840011177</v>
      </c>
      <c r="F18" s="61">
        <f t="shared" si="6"/>
        <v>7.6762189600013979</v>
      </c>
      <c r="G18" s="62">
        <f>'[1]cálculos teóricos'!T225</f>
        <v>26.202696686531851</v>
      </c>
      <c r="H18" s="75">
        <f t="shared" si="7"/>
        <v>29.295530348778811</v>
      </c>
      <c r="I18" s="76"/>
      <c r="J18" s="82"/>
      <c r="K18" s="81"/>
      <c r="L18" s="81"/>
      <c r="M18" s="81"/>
      <c r="N18" s="81"/>
      <c r="O18" s="78"/>
      <c r="P18" s="82"/>
      <c r="Q18" s="81"/>
      <c r="R18" s="81"/>
      <c r="S18" s="81"/>
      <c r="T18" s="81"/>
      <c r="U18" s="81"/>
      <c r="V18" s="78"/>
      <c r="W18" s="59">
        <f t="shared" si="0"/>
        <v>0</v>
      </c>
      <c r="X18" s="117">
        <f t="shared" si="1"/>
        <v>0</v>
      </c>
      <c r="Y18" s="126">
        <f t="shared" si="2"/>
        <v>0</v>
      </c>
      <c r="Z18" s="71">
        <f>'[1]cálculos teóricos'!I225</f>
        <v>11.050883067555807</v>
      </c>
      <c r="AA18" s="72">
        <f t="shared" si="3"/>
        <v>0</v>
      </c>
      <c r="AB18" s="3"/>
    </row>
    <row r="19" spans="1:28" ht="18" customHeight="1">
      <c r="A19" s="80">
        <v>11</v>
      </c>
      <c r="B19" s="76">
        <v>19</v>
      </c>
      <c r="C19" s="74">
        <f>'[1]cálculos teóricos'!K226</f>
        <v>0.97459278593784082</v>
      </c>
      <c r="D19" s="59">
        <f t="shared" si="4"/>
        <v>269.67615872210922</v>
      </c>
      <c r="E19" s="60">
        <f t="shared" si="5"/>
        <v>11.290801413377269</v>
      </c>
      <c r="F19" s="61">
        <f t="shared" si="6"/>
        <v>14.442584246721585</v>
      </c>
      <c r="G19" s="62">
        <f>'[1]cálculos teóricos'!T226</f>
        <v>26.361215168271393</v>
      </c>
      <c r="H19" s="75">
        <f t="shared" si="7"/>
        <v>54.787247683880736</v>
      </c>
      <c r="I19" s="76"/>
      <c r="J19" s="82"/>
      <c r="K19" s="81">
        <v>0.2</v>
      </c>
      <c r="L19" s="81">
        <v>0.5</v>
      </c>
      <c r="M19" s="81"/>
      <c r="N19" s="81">
        <v>0.4</v>
      </c>
      <c r="O19" s="78">
        <v>1</v>
      </c>
      <c r="P19" s="82">
        <v>1</v>
      </c>
      <c r="Q19" s="81">
        <v>0.9</v>
      </c>
      <c r="R19" s="81">
        <v>0.7</v>
      </c>
      <c r="S19" s="81">
        <v>1</v>
      </c>
      <c r="T19" s="81">
        <v>1</v>
      </c>
      <c r="U19" s="81">
        <v>0.1</v>
      </c>
      <c r="V19" s="78"/>
      <c r="W19" s="59">
        <f t="shared" si="0"/>
        <v>2.1</v>
      </c>
      <c r="X19" s="117">
        <f t="shared" si="1"/>
        <v>4.6999999999999993</v>
      </c>
      <c r="Y19" s="126">
        <f t="shared" si="2"/>
        <v>6.7999999999999989</v>
      </c>
      <c r="Z19" s="71">
        <f>'[1]cálculos teóricos'!I226</f>
        <v>11.069384878614876</v>
      </c>
      <c r="AA19" s="72">
        <f t="shared" si="3"/>
        <v>61.430694429435086</v>
      </c>
      <c r="AB19" s="3"/>
    </row>
    <row r="20" spans="1:28" ht="18" customHeight="1">
      <c r="A20" s="80">
        <v>12</v>
      </c>
      <c r="B20" s="76">
        <v>22.6</v>
      </c>
      <c r="C20" s="74">
        <f>'[1]cálculos teóricos'!K227</f>
        <v>0.97549297486618836</v>
      </c>
      <c r="D20" s="59">
        <f t="shared" si="4"/>
        <v>321.06897783188043</v>
      </c>
      <c r="E20" s="60">
        <f t="shared" si="5"/>
        <v>13.442515963865169</v>
      </c>
      <c r="F20" s="61">
        <f t="shared" si="6"/>
        <v>17.13222743483146</v>
      </c>
      <c r="G20" s="62">
        <f>'[1]cálculos teóricos'!T227</f>
        <v>26.521651640191784</v>
      </c>
      <c r="H20" s="75">
        <f t="shared" si="7"/>
        <v>64.597136208774856</v>
      </c>
      <c r="I20" s="76"/>
      <c r="J20" s="82"/>
      <c r="K20" s="81">
        <v>0.3</v>
      </c>
      <c r="L20" s="81">
        <v>0.4</v>
      </c>
      <c r="M20" s="81">
        <v>0.8</v>
      </c>
      <c r="N20" s="81">
        <v>1</v>
      </c>
      <c r="O20" s="78">
        <v>1</v>
      </c>
      <c r="P20" s="82">
        <v>1</v>
      </c>
      <c r="Q20" s="81">
        <v>1</v>
      </c>
      <c r="R20" s="81">
        <v>1</v>
      </c>
      <c r="S20" s="81">
        <v>1</v>
      </c>
      <c r="T20" s="81">
        <v>1</v>
      </c>
      <c r="U20" s="81"/>
      <c r="V20" s="78"/>
      <c r="W20" s="59">
        <f t="shared" si="0"/>
        <v>3.5</v>
      </c>
      <c r="X20" s="117">
        <f t="shared" si="1"/>
        <v>5</v>
      </c>
      <c r="Y20" s="70">
        <f t="shared" si="2"/>
        <v>8.5</v>
      </c>
      <c r="Z20" s="71">
        <f>'[1]cálculos teóricos'!I227</f>
        <v>11.088088402300205</v>
      </c>
      <c r="AA20" s="72">
        <f t="shared" si="3"/>
        <v>76.658840474582519</v>
      </c>
      <c r="AB20" s="3"/>
    </row>
    <row r="21" spans="1:28" ht="18" customHeight="1">
      <c r="A21" s="80">
        <v>13</v>
      </c>
      <c r="B21" s="76">
        <v>26</v>
      </c>
      <c r="C21" s="74">
        <f>'[1]cálculos teóricos'!K228</f>
        <v>0.97639951161751659</v>
      </c>
      <c r="D21" s="59">
        <f t="shared" si="4"/>
        <v>369.71465147348431</v>
      </c>
      <c r="E21" s="60">
        <f t="shared" si="5"/>
        <v>15.47921302789184</v>
      </c>
      <c r="F21" s="61">
        <f t="shared" si="6"/>
        <v>19.678098764864799</v>
      </c>
      <c r="G21" s="62">
        <f>'[1]cálculos teóricos'!T228</f>
        <v>26.683938510886904</v>
      </c>
      <c r="H21" s="75">
        <f t="shared" si="7"/>
        <v>73.745106093825839</v>
      </c>
      <c r="I21" s="76"/>
      <c r="J21" s="82"/>
      <c r="K21" s="81">
        <v>0.3</v>
      </c>
      <c r="L21" s="81">
        <v>1</v>
      </c>
      <c r="M21" s="81">
        <v>1</v>
      </c>
      <c r="N21" s="81">
        <v>1</v>
      </c>
      <c r="O21" s="78">
        <v>1</v>
      </c>
      <c r="P21" s="82">
        <v>1</v>
      </c>
      <c r="Q21" s="81">
        <v>1</v>
      </c>
      <c r="R21" s="81">
        <v>1</v>
      </c>
      <c r="S21" s="81">
        <v>1</v>
      </c>
      <c r="T21" s="81">
        <v>1</v>
      </c>
      <c r="U21" s="81">
        <v>0.1</v>
      </c>
      <c r="V21" s="78"/>
      <c r="W21" s="59">
        <f t="shared" si="0"/>
        <v>4.3</v>
      </c>
      <c r="X21" s="117">
        <f t="shared" si="1"/>
        <v>5.0999999999999996</v>
      </c>
      <c r="Y21" s="208">
        <f t="shared" si="2"/>
        <v>9.3999999999999986</v>
      </c>
      <c r="Z21" s="71">
        <f>'[1]cálculos teóricos'!I228</f>
        <v>11.106987081875399</v>
      </c>
      <c r="AA21" s="72">
        <f t="shared" si="3"/>
        <v>84.631412017567797</v>
      </c>
      <c r="AB21" s="3"/>
    </row>
    <row r="22" spans="1:28" ht="18" customHeight="1">
      <c r="A22" s="80">
        <v>14</v>
      </c>
      <c r="B22" s="76">
        <v>22</v>
      </c>
      <c r="C22" s="74">
        <f>'[1]cálculos teóricos'!K229</f>
        <v>0.97731189534482377</v>
      </c>
      <c r="D22" s="59">
        <f t="shared" si="4"/>
        <v>313.12779933279552</v>
      </c>
      <c r="E22" s="60">
        <f t="shared" si="5"/>
        <v>13.110034702465482</v>
      </c>
      <c r="F22" s="61">
        <f t="shared" si="6"/>
        <v>16.716625858081855</v>
      </c>
      <c r="G22" s="62">
        <f>'[1]cálculos teóricos'!T229</f>
        <v>26.848007904630741</v>
      </c>
      <c r="H22" s="75">
        <f t="shared" si="7"/>
        <v>62.263933761724545</v>
      </c>
      <c r="I22" s="76"/>
      <c r="J22" s="82"/>
      <c r="K22" s="81">
        <v>0.7</v>
      </c>
      <c r="L22" s="81">
        <v>0.8</v>
      </c>
      <c r="M22" s="81">
        <v>0.3</v>
      </c>
      <c r="N22" s="81">
        <v>0.8</v>
      </c>
      <c r="O22" s="78">
        <v>1</v>
      </c>
      <c r="P22" s="82">
        <v>1</v>
      </c>
      <c r="Q22" s="81">
        <v>1</v>
      </c>
      <c r="R22" s="81">
        <v>1</v>
      </c>
      <c r="S22" s="81">
        <v>0.8</v>
      </c>
      <c r="T22" s="81">
        <v>0.4</v>
      </c>
      <c r="U22" s="81"/>
      <c r="V22" s="78"/>
      <c r="W22" s="59">
        <f t="shared" si="0"/>
        <v>3.6</v>
      </c>
      <c r="X22" s="69">
        <f t="shared" si="1"/>
        <v>4.2</v>
      </c>
      <c r="Y22" s="208">
        <f t="shared" si="2"/>
        <v>7.8000000000000007</v>
      </c>
      <c r="Z22" s="71">
        <f>'[1]cálculos teóricos'!I229</f>
        <v>11.126074480638078</v>
      </c>
      <c r="AA22" s="72">
        <f t="shared" si="3"/>
        <v>70.105588575501542</v>
      </c>
      <c r="AB22" s="3"/>
    </row>
    <row r="23" spans="1:28" ht="18" customHeight="1">
      <c r="A23" s="80">
        <v>15</v>
      </c>
      <c r="B23" s="76">
        <v>21</v>
      </c>
      <c r="C23" s="74">
        <f>'[1]cálculos teóricos'!K230</f>
        <v>0.97822962857678464</v>
      </c>
      <c r="D23" s="59">
        <f t="shared" si="4"/>
        <v>299.17539111133812</v>
      </c>
      <c r="E23" s="60">
        <f t="shared" si="5"/>
        <v>12.525875275049504</v>
      </c>
      <c r="F23" s="61">
        <f t="shared" si="6"/>
        <v>15.98642657381188</v>
      </c>
      <c r="G23" s="62">
        <f>'[1]cálculos teóricos'!T230</f>
        <v>27.01379170182711</v>
      </c>
      <c r="H23" s="75">
        <f t="shared" si="7"/>
        <v>59.1787585773478</v>
      </c>
      <c r="I23" s="76"/>
      <c r="J23" s="82"/>
      <c r="K23" s="81">
        <v>0.7</v>
      </c>
      <c r="L23" s="81">
        <v>1</v>
      </c>
      <c r="M23" s="81">
        <v>0.8</v>
      </c>
      <c r="N23" s="81">
        <v>0.9</v>
      </c>
      <c r="O23" s="78">
        <v>0.9</v>
      </c>
      <c r="P23" s="82">
        <v>1</v>
      </c>
      <c r="Q23" s="82">
        <v>0.8</v>
      </c>
      <c r="R23" s="82">
        <v>0.9</v>
      </c>
      <c r="S23" s="82">
        <v>0.4</v>
      </c>
      <c r="T23" s="81"/>
      <c r="U23" s="81"/>
      <c r="V23" s="78"/>
      <c r="W23" s="59">
        <f t="shared" si="0"/>
        <v>4.3</v>
      </c>
      <c r="X23" s="117">
        <f t="shared" si="1"/>
        <v>3.1</v>
      </c>
      <c r="Y23" s="208">
        <f t="shared" si="2"/>
        <v>7.4</v>
      </c>
      <c r="Z23" s="71">
        <f>'[1]cálculos teóricos'!I230</f>
        <v>11.145344284807122</v>
      </c>
      <c r="AA23" s="72">
        <f t="shared" si="3"/>
        <v>66.395436613720207</v>
      </c>
      <c r="AB23" s="3"/>
    </row>
    <row r="24" spans="1:28" ht="18" customHeight="1">
      <c r="A24" s="80">
        <v>16</v>
      </c>
      <c r="B24" s="76">
        <v>18.2</v>
      </c>
      <c r="C24" s="74">
        <f>'[1]cálculos teóricos'!K231</f>
        <v>0.97915221757325832</v>
      </c>
      <c r="D24" s="59">
        <f t="shared" si="4"/>
        <v>259.5298764354323</v>
      </c>
      <c r="E24" s="60">
        <f t="shared" si="5"/>
        <v>10.86599686659868</v>
      </c>
      <c r="F24" s="61">
        <f t="shared" si="6"/>
        <v>13.91157856324835</v>
      </c>
      <c r="G24" s="62">
        <f>'[1]cálculos teóricos'!T231</f>
        <v>27.181221578598191</v>
      </c>
      <c r="H24" s="75">
        <f t="shared" si="7"/>
        <v>51.180843815356617</v>
      </c>
      <c r="I24" s="76"/>
      <c r="J24" s="82"/>
      <c r="K24" s="81"/>
      <c r="L24" s="81"/>
      <c r="M24" s="81">
        <v>0.3</v>
      </c>
      <c r="N24" s="81">
        <v>0.7</v>
      </c>
      <c r="O24" s="78">
        <v>0.6</v>
      </c>
      <c r="P24" s="82">
        <v>0.9</v>
      </c>
      <c r="Q24" s="81">
        <v>0.8</v>
      </c>
      <c r="R24" s="81">
        <v>0.6</v>
      </c>
      <c r="S24" s="81"/>
      <c r="T24" s="81"/>
      <c r="U24" s="81"/>
      <c r="V24" s="78"/>
      <c r="W24" s="59">
        <f t="shared" si="0"/>
        <v>1.6</v>
      </c>
      <c r="X24" s="117">
        <f t="shared" si="1"/>
        <v>2.3000000000000003</v>
      </c>
      <c r="Y24" s="208">
        <f t="shared" si="2"/>
        <v>3.9000000000000004</v>
      </c>
      <c r="Z24" s="71">
        <f>'[1]cálculos teóricos'!I231</f>
        <v>11.16479030592296</v>
      </c>
      <c r="AA24" s="72">
        <f t="shared" si="3"/>
        <v>34.931242711571905</v>
      </c>
      <c r="AB24" s="3"/>
    </row>
    <row r="25" spans="1:28" ht="18" customHeight="1">
      <c r="A25" s="85">
        <v>17</v>
      </c>
      <c r="B25" s="76">
        <v>22.5</v>
      </c>
      <c r="C25" s="74">
        <f>'[1]cálculos teóricos'!K232</f>
        <v>0.98007917266395439</v>
      </c>
      <c r="D25" s="59">
        <f t="shared" si="4"/>
        <v>321.15111819955871</v>
      </c>
      <c r="E25" s="60">
        <f t="shared" si="5"/>
        <v>13.445955016779124</v>
      </c>
      <c r="F25" s="61">
        <f t="shared" si="6"/>
        <v>17.136526250973908</v>
      </c>
      <c r="G25" s="62">
        <f>'[1]cálculos teóricos'!T232</f>
        <v>27.350229045466691</v>
      </c>
      <c r="H25" s="75">
        <f t="shared" si="7"/>
        <v>62.655878393143816</v>
      </c>
      <c r="I25" s="76"/>
      <c r="J25" s="82"/>
      <c r="K25" s="81"/>
      <c r="L25" s="81">
        <v>0.2</v>
      </c>
      <c r="M25" s="81">
        <v>0.9</v>
      </c>
      <c r="N25" s="81">
        <v>1</v>
      </c>
      <c r="O25" s="77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0.1</v>
      </c>
      <c r="U25" s="81"/>
      <c r="V25" s="78"/>
      <c r="W25" s="59">
        <f t="shared" si="0"/>
        <v>3.1</v>
      </c>
      <c r="X25" s="117">
        <f t="shared" si="1"/>
        <v>4.0999999999999996</v>
      </c>
      <c r="Y25" s="207">
        <f t="shared" si="2"/>
        <v>7.1999999999999993</v>
      </c>
      <c r="Z25" s="71">
        <f>'[1]cálculos teóricos'!I232</f>
        <v>11.184406482772879</v>
      </c>
      <c r="AA25" s="72">
        <f t="shared" si="3"/>
        <v>64.375342679917949</v>
      </c>
      <c r="AB25" s="3"/>
    </row>
    <row r="26" spans="1:28" ht="18" customHeight="1">
      <c r="A26" s="85">
        <v>18</v>
      </c>
      <c r="B26" s="76">
        <v>22</v>
      </c>
      <c r="C26" s="74">
        <f>'[1]cálculos teóricos'!K233</f>
        <v>0.98101000857026255</v>
      </c>
      <c r="D26" s="59">
        <f t="shared" si="4"/>
        <v>314.31266371588646</v>
      </c>
      <c r="E26" s="60">
        <f t="shared" si="5"/>
        <v>13.159642604456733</v>
      </c>
      <c r="F26" s="61">
        <f t="shared" si="6"/>
        <v>16.778635735570916</v>
      </c>
      <c r="G26" s="62">
        <f>'[1]cálculos teóricos'!T233</f>
        <v>27.520745485092121</v>
      </c>
      <c r="H26" s="75">
        <f t="shared" si="7"/>
        <v>60.967228321121738</v>
      </c>
      <c r="I26" s="76"/>
      <c r="J26" s="82"/>
      <c r="K26" s="81"/>
      <c r="L26" s="81"/>
      <c r="M26" s="81"/>
      <c r="N26" s="81">
        <v>0.8</v>
      </c>
      <c r="O26" s="77">
        <v>1</v>
      </c>
      <c r="P26" s="82">
        <v>1</v>
      </c>
      <c r="Q26" s="81">
        <v>1</v>
      </c>
      <c r="R26" s="81">
        <v>1</v>
      </c>
      <c r="S26" s="81">
        <v>1</v>
      </c>
      <c r="T26" s="81">
        <v>0.8</v>
      </c>
      <c r="U26" s="81"/>
      <c r="V26" s="78"/>
      <c r="W26" s="59">
        <f t="shared" si="0"/>
        <v>1.8</v>
      </c>
      <c r="X26" s="117">
        <f t="shared" si="1"/>
        <v>4.8</v>
      </c>
      <c r="Y26" s="70">
        <f t="shared" si="2"/>
        <v>6.6</v>
      </c>
      <c r="Z26" s="71">
        <f>'[1]cálculos teóricos'!I233</f>
        <v>11.204186882854412</v>
      </c>
      <c r="AA26" s="72">
        <f t="shared" si="3"/>
        <v>58.906550461951632</v>
      </c>
      <c r="AB26" s="3"/>
    </row>
    <row r="27" spans="1:28" ht="18" customHeight="1">
      <c r="A27" s="85">
        <v>19</v>
      </c>
      <c r="B27" s="76">
        <v>20.2</v>
      </c>
      <c r="C27" s="74">
        <f>'[1]cálculos teóricos'!K234</f>
        <v>0.98194424471029895</v>
      </c>
      <c r="D27" s="59">
        <f t="shared" si="4"/>
        <v>288.87100915833645</v>
      </c>
      <c r="E27" s="60">
        <f t="shared" si="5"/>
        <v>12.094451411441231</v>
      </c>
      <c r="F27" s="61">
        <f t="shared" si="6"/>
        <v>15.447146744301538</v>
      </c>
      <c r="G27" s="62">
        <f>'[1]cálculos teóricos'!T234</f>
        <v>27.692702189027393</v>
      </c>
      <c r="H27" s="75">
        <f t="shared" si="7"/>
        <v>55.780568609234962</v>
      </c>
      <c r="I27" s="76"/>
      <c r="J27" s="82"/>
      <c r="K27" s="81"/>
      <c r="L27" s="81">
        <v>0.4</v>
      </c>
      <c r="M27" s="81">
        <v>0.5</v>
      </c>
      <c r="N27" s="81">
        <v>0.7</v>
      </c>
      <c r="O27" s="77">
        <v>1</v>
      </c>
      <c r="P27" s="82">
        <v>0.6</v>
      </c>
      <c r="Q27" s="81">
        <v>0.8</v>
      </c>
      <c r="R27" s="81">
        <v>1</v>
      </c>
      <c r="S27" s="81">
        <v>1</v>
      </c>
      <c r="T27" s="81">
        <v>0.1</v>
      </c>
      <c r="U27" s="81"/>
      <c r="V27" s="78"/>
      <c r="W27" s="59">
        <f t="shared" si="0"/>
        <v>2.6</v>
      </c>
      <c r="X27" s="117">
        <f t="shared" si="1"/>
        <v>3.5</v>
      </c>
      <c r="Y27" s="70">
        <f t="shared" si="2"/>
        <v>6.1</v>
      </c>
      <c r="Z27" s="71">
        <f>'[1]cálculos teóricos'!I234</f>
        <v>11.224125703390222</v>
      </c>
      <c r="AA27" s="72">
        <f t="shared" si="3"/>
        <v>54.347217424315808</v>
      </c>
      <c r="AB27" s="3"/>
    </row>
    <row r="28" spans="1:28" ht="18" customHeight="1">
      <c r="A28" s="85">
        <v>20</v>
      </c>
      <c r="B28" s="76">
        <v>19.5</v>
      </c>
      <c r="C28" s="74">
        <f>'[1]cálculos teóricos'!K235</f>
        <v>0.98288140548729619</v>
      </c>
      <c r="D28" s="59">
        <f t="shared" si="4"/>
        <v>279.12677030187768</v>
      </c>
      <c r="E28" s="60">
        <f t="shared" si="5"/>
        <v>11.686479618999014</v>
      </c>
      <c r="F28" s="61">
        <f t="shared" si="6"/>
        <v>14.937182003748768</v>
      </c>
      <c r="G28" s="62">
        <f>'[1]cálculos teóricos'!T235</f>
        <v>27.866030393466986</v>
      </c>
      <c r="H28" s="75">
        <f t="shared" si="7"/>
        <v>53.603551682232776</v>
      </c>
      <c r="I28" s="76"/>
      <c r="J28" s="82">
        <v>0.1</v>
      </c>
      <c r="K28" s="81">
        <v>0.9</v>
      </c>
      <c r="L28" s="81">
        <v>1</v>
      </c>
      <c r="M28" s="81">
        <v>1</v>
      </c>
      <c r="N28" s="81">
        <v>1</v>
      </c>
      <c r="O28" s="77">
        <v>0.8</v>
      </c>
      <c r="P28" s="82">
        <v>0.3</v>
      </c>
      <c r="Q28" s="81"/>
      <c r="R28" s="81">
        <v>0.2</v>
      </c>
      <c r="S28" s="81">
        <v>0.4</v>
      </c>
      <c r="T28" s="81"/>
      <c r="U28" s="81"/>
      <c r="V28" s="78"/>
      <c r="W28" s="59">
        <f t="shared" si="0"/>
        <v>4.8</v>
      </c>
      <c r="X28" s="117">
        <f t="shared" si="1"/>
        <v>0.9</v>
      </c>
      <c r="Y28" s="70">
        <f t="shared" si="2"/>
        <v>5.7</v>
      </c>
      <c r="Z28" s="71">
        <f>'[1]cálculos teóricos'!I235</f>
        <v>11.244217271908742</v>
      </c>
      <c r="AA28" s="72">
        <f t="shared" si="3"/>
        <v>50.692723754460204</v>
      </c>
      <c r="AB28" s="3"/>
    </row>
    <row r="29" spans="1:28" ht="18" customHeight="1">
      <c r="A29" s="85">
        <v>21</v>
      </c>
      <c r="B29" s="76">
        <v>21.2</v>
      </c>
      <c r="C29" s="74">
        <f>'[1]cálculos teóricos'!K236</f>
        <v>0.98382102056150911</v>
      </c>
      <c r="D29" s="59">
        <f t="shared" si="4"/>
        <v>303.75100157848777</v>
      </c>
      <c r="E29" s="60">
        <f t="shared" si="5"/>
        <v>12.717446934088125</v>
      </c>
      <c r="F29" s="61">
        <f t="shared" si="6"/>
        <v>16.225891147610159</v>
      </c>
      <c r="G29" s="62">
        <f>'[1]cálculos teóricos'!T236</f>
        <v>28.040661313965174</v>
      </c>
      <c r="H29" s="75">
        <f t="shared" si="7"/>
        <v>57.865579438132336</v>
      </c>
      <c r="I29" s="76"/>
      <c r="J29" s="82">
        <v>0.1</v>
      </c>
      <c r="K29" s="81">
        <v>0.9</v>
      </c>
      <c r="L29" s="81">
        <v>1</v>
      </c>
      <c r="M29" s="81">
        <v>1</v>
      </c>
      <c r="N29" s="81">
        <v>0.9</v>
      </c>
      <c r="O29" s="77">
        <v>0.8</v>
      </c>
      <c r="P29" s="82">
        <v>1</v>
      </c>
      <c r="Q29" s="81">
        <v>0.7</v>
      </c>
      <c r="R29" s="81">
        <v>1</v>
      </c>
      <c r="S29" s="81">
        <v>1</v>
      </c>
      <c r="T29" s="81">
        <v>0.5</v>
      </c>
      <c r="U29" s="81"/>
      <c r="V29" s="78"/>
      <c r="W29" s="59">
        <f t="shared" si="0"/>
        <v>4.7</v>
      </c>
      <c r="X29" s="117">
        <f t="shared" si="1"/>
        <v>4.2</v>
      </c>
      <c r="Y29" s="70">
        <f t="shared" si="2"/>
        <v>8.9</v>
      </c>
      <c r="Z29" s="71">
        <f>'[1]cálculos teóricos'!I236</f>
        <v>11.264456046405073</v>
      </c>
      <c r="AA29" s="72">
        <f t="shared" si="3"/>
        <v>79.009585223960613</v>
      </c>
      <c r="AB29" s="3"/>
    </row>
    <row r="30" spans="1:28" ht="18" customHeight="1">
      <c r="A30" s="85">
        <v>22</v>
      </c>
      <c r="B30" s="76">
        <v>24.9</v>
      </c>
      <c r="C30" s="74">
        <f>'[1]cálculos teóricos'!K237</f>
        <v>0.98476262510587231</v>
      </c>
      <c r="D30" s="59">
        <f t="shared" si="4"/>
        <v>357.10560321916131</v>
      </c>
      <c r="E30" s="60">
        <f t="shared" si="5"/>
        <v>14.951297395579845</v>
      </c>
      <c r="F30" s="61">
        <f t="shared" si="6"/>
        <v>19.018204224474808</v>
      </c>
      <c r="G30" s="62">
        <f>'[1]cálculos teóricos'!T237</f>
        <v>28.216526179107174</v>
      </c>
      <c r="H30" s="75">
        <f t="shared" si="7"/>
        <v>67.400941220598483</v>
      </c>
      <c r="I30" s="76"/>
      <c r="J30" s="82">
        <v>0.3</v>
      </c>
      <c r="K30" s="81">
        <v>1</v>
      </c>
      <c r="L30" s="81">
        <v>1</v>
      </c>
      <c r="M30" s="81">
        <v>1</v>
      </c>
      <c r="N30" s="81">
        <v>1</v>
      </c>
      <c r="O30" s="78">
        <v>1</v>
      </c>
      <c r="P30" s="82">
        <v>1</v>
      </c>
      <c r="Q30" s="81">
        <v>1</v>
      </c>
      <c r="R30" s="81">
        <v>1</v>
      </c>
      <c r="S30" s="81">
        <v>1</v>
      </c>
      <c r="T30" s="81">
        <v>0.9</v>
      </c>
      <c r="U30" s="81"/>
      <c r="V30" s="78"/>
      <c r="W30" s="59">
        <f t="shared" si="0"/>
        <v>5.3</v>
      </c>
      <c r="X30" s="117">
        <f t="shared" si="1"/>
        <v>4.9000000000000004</v>
      </c>
      <c r="Y30" s="70">
        <f t="shared" si="2"/>
        <v>10.199999999999999</v>
      </c>
      <c r="Z30" s="71">
        <f>'[1]cálculos teóricos'!I237</f>
        <v>11.284836615097095</v>
      </c>
      <c r="AA30" s="72">
        <f t="shared" si="3"/>
        <v>90.386776059781155</v>
      </c>
      <c r="AB30" s="3"/>
    </row>
    <row r="31" spans="1:28" ht="18" customHeight="1">
      <c r="A31" s="85">
        <v>23</v>
      </c>
      <c r="B31" s="76">
        <v>25.8</v>
      </c>
      <c r="C31" s="74">
        <f>'[1]cálculos teóricos'!K238</f>
        <v>0.98570576004569876</v>
      </c>
      <c r="D31" s="59">
        <f t="shared" si="4"/>
        <v>370.36740657977879</v>
      </c>
      <c r="E31" s="60">
        <f t="shared" si="5"/>
        <v>15.506542578682179</v>
      </c>
      <c r="F31" s="61">
        <f t="shared" si="6"/>
        <v>19.712260703352726</v>
      </c>
      <c r="G31" s="62">
        <f>'[1]cálculos teóricos'!T238</f>
        <v>28.393556263123799</v>
      </c>
      <c r="H31" s="75">
        <f t="shared" si="7"/>
        <v>69.425120688224865</v>
      </c>
      <c r="I31" s="76"/>
      <c r="J31" s="82"/>
      <c r="K31" s="81">
        <v>0.9</v>
      </c>
      <c r="L31" s="81">
        <v>1</v>
      </c>
      <c r="M31" s="81">
        <v>1</v>
      </c>
      <c r="N31" s="81">
        <v>1</v>
      </c>
      <c r="O31" s="78">
        <v>1</v>
      </c>
      <c r="P31" s="82">
        <v>1</v>
      </c>
      <c r="Q31" s="81">
        <v>1</v>
      </c>
      <c r="R31" s="81">
        <v>0.7</v>
      </c>
      <c r="S31" s="81">
        <v>0.9</v>
      </c>
      <c r="T31" s="81"/>
      <c r="U31" s="81"/>
      <c r="V31" s="78"/>
      <c r="W31" s="59">
        <f t="shared" si="0"/>
        <v>4.9000000000000004</v>
      </c>
      <c r="X31" s="117">
        <f t="shared" si="1"/>
        <v>3.6</v>
      </c>
      <c r="Y31" s="70">
        <f t="shared" si="2"/>
        <v>8.5</v>
      </c>
      <c r="Z31" s="71">
        <f>'[1]cálculos teóricos'!I238</f>
        <v>11.30535369579199</v>
      </c>
      <c r="AA31" s="72">
        <f t="shared" si="3"/>
        <v>75.185617617287093</v>
      </c>
      <c r="AB31" s="3"/>
    </row>
    <row r="32" spans="1:28" ht="18" customHeight="1">
      <c r="A32" s="80">
        <v>24</v>
      </c>
      <c r="B32" s="76">
        <v>13.2</v>
      </c>
      <c r="C32" s="74">
        <f>'[1]cálculos teóricos'!K239</f>
        <v>0.98664997228275131</v>
      </c>
      <c r="D32" s="59">
        <f t="shared" si="4"/>
        <v>189.671814701686</v>
      </c>
      <c r="E32" s="60">
        <f t="shared" si="5"/>
        <v>7.9411795379301893</v>
      </c>
      <c r="F32" s="61">
        <f t="shared" si="6"/>
        <v>10.255556902412737</v>
      </c>
      <c r="G32" s="62">
        <f>'[1]cálculos teóricos'!T239</f>
        <v>28.571682917445187</v>
      </c>
      <c r="H32" s="75">
        <f t="shared" si="7"/>
        <v>35.894129624933427</v>
      </c>
      <c r="I32" s="209"/>
      <c r="J32" s="82"/>
      <c r="K32" s="81"/>
      <c r="L32" s="81">
        <v>0.1</v>
      </c>
      <c r="M32" s="81"/>
      <c r="N32" s="81">
        <v>0.2</v>
      </c>
      <c r="O32" s="78">
        <v>0.4</v>
      </c>
      <c r="P32" s="82">
        <v>0.2</v>
      </c>
      <c r="Q32" s="81"/>
      <c r="R32" s="81"/>
      <c r="S32" s="81"/>
      <c r="T32" s="81"/>
      <c r="U32" s="81"/>
      <c r="V32" s="78"/>
      <c r="W32" s="59">
        <f t="shared" si="0"/>
        <v>0.70000000000000007</v>
      </c>
      <c r="X32" s="117">
        <f t="shared" si="1"/>
        <v>0.2</v>
      </c>
      <c r="Y32" s="70">
        <f t="shared" si="2"/>
        <v>0.90000000000000013</v>
      </c>
      <c r="Z32" s="71">
        <f>'[1]cálculos teóricos'!I239</f>
        <v>11.326002134878424</v>
      </c>
      <c r="AA32" s="72">
        <f t="shared" si="3"/>
        <v>7.9463167080681547</v>
      </c>
      <c r="AB32" s="3"/>
    </row>
    <row r="33" spans="1:28" ht="18" customHeight="1">
      <c r="A33" s="85">
        <v>25</v>
      </c>
      <c r="B33" s="76">
        <v>23.3</v>
      </c>
      <c r="C33" s="74">
        <f>'[1]cálculos teóricos'!K240</f>
        <v>0.98759481490407497</v>
      </c>
      <c r="D33" s="59">
        <f t="shared" si="4"/>
        <v>335.12010412373309</v>
      </c>
      <c r="E33" s="60">
        <f t="shared" si="5"/>
        <v>14.030808519452457</v>
      </c>
      <c r="F33" s="61">
        <f t="shared" si="6"/>
        <v>17.867593129315573</v>
      </c>
      <c r="G33" s="62">
        <f>'[1]cálculos teóricos'!T240</f>
        <v>28.750837601195709</v>
      </c>
      <c r="H33" s="75">
        <f t="shared" si="7"/>
        <v>62.146339446376629</v>
      </c>
      <c r="I33" s="209"/>
      <c r="J33" s="82"/>
      <c r="K33" s="81"/>
      <c r="L33" s="81">
        <v>0.3</v>
      </c>
      <c r="M33" s="81">
        <v>0.9</v>
      </c>
      <c r="N33" s="81">
        <v>0.9</v>
      </c>
      <c r="O33" s="78">
        <v>1</v>
      </c>
      <c r="P33" s="82">
        <v>1</v>
      </c>
      <c r="Q33" s="81">
        <v>1</v>
      </c>
      <c r="R33" s="81">
        <v>1</v>
      </c>
      <c r="S33" s="81">
        <v>0.4</v>
      </c>
      <c r="T33" s="81"/>
      <c r="U33" s="81"/>
      <c r="V33" s="78"/>
      <c r="W33" s="59">
        <f t="shared" si="0"/>
        <v>3.1</v>
      </c>
      <c r="X33" s="117">
        <f t="shared" si="1"/>
        <v>3.4</v>
      </c>
      <c r="Y33" s="70">
        <f t="shared" si="2"/>
        <v>6.5</v>
      </c>
      <c r="Z33" s="71">
        <f>'[1]cálculos teóricos'!I240</f>
        <v>11.346776905959914</v>
      </c>
      <c r="AA33" s="72">
        <f t="shared" si="3"/>
        <v>57.284989859859358</v>
      </c>
      <c r="AB33" s="3"/>
    </row>
    <row r="34" spans="1:28" ht="18" customHeight="1">
      <c r="A34" s="80">
        <v>26</v>
      </c>
      <c r="B34" s="76">
        <v>12.2</v>
      </c>
      <c r="C34" s="74">
        <f>'[1]cálculos teóricos'!K241</f>
        <v>0.98853984737601885</v>
      </c>
      <c r="D34" s="59">
        <f t="shared" si="4"/>
        <v>175.63852082057994</v>
      </c>
      <c r="E34" s="60">
        <f t="shared" si="5"/>
        <v>7.3536335897160408</v>
      </c>
      <c r="F34" s="61">
        <f t="shared" si="6"/>
        <v>9.5211244671450519</v>
      </c>
      <c r="G34" s="62">
        <f>'[1]cálculos teóricos'!T241</f>
        <v>28.930951910638235</v>
      </c>
      <c r="H34" s="75">
        <f t="shared" si="7"/>
        <v>32.909820930033163</v>
      </c>
      <c r="I34" s="209"/>
      <c r="J34" s="82"/>
      <c r="K34" s="81"/>
      <c r="L34" s="81"/>
      <c r="M34" s="81"/>
      <c r="N34" s="81"/>
      <c r="O34" s="78">
        <v>0.5</v>
      </c>
      <c r="P34" s="82"/>
      <c r="Q34" s="81"/>
      <c r="R34" s="81"/>
      <c r="S34" s="81"/>
      <c r="T34" s="81"/>
      <c r="U34" s="81"/>
      <c r="V34" s="78"/>
      <c r="W34" s="59">
        <f t="shared" si="0"/>
        <v>0.5</v>
      </c>
      <c r="X34" s="117">
        <f t="shared" si="1"/>
        <v>0</v>
      </c>
      <c r="Y34" s="70">
        <f t="shared" si="2"/>
        <v>0.5</v>
      </c>
      <c r="Z34" s="71">
        <f>'[1]cálculos teóricos'!I241</f>
        <v>11.367673108144633</v>
      </c>
      <c r="AA34" s="72">
        <f t="shared" si="3"/>
        <v>4.3984375275689747</v>
      </c>
      <c r="AB34" s="3"/>
    </row>
    <row r="35" spans="1:28" ht="18" customHeight="1">
      <c r="A35" s="85">
        <v>27</v>
      </c>
      <c r="B35" s="76">
        <v>21.4</v>
      </c>
      <c r="C35" s="74">
        <f>'[1]cálculos teóricos'!K242</f>
        <v>0.98948463572391299</v>
      </c>
      <c r="D35" s="59">
        <f t="shared" si="4"/>
        <v>308.38169313661541</v>
      </c>
      <c r="E35" s="60">
        <f t="shared" si="5"/>
        <v>12.911324728243814</v>
      </c>
      <c r="F35" s="61">
        <f t="shared" si="6"/>
        <v>16.468238390304769</v>
      </c>
      <c r="G35" s="62">
        <f>'[1]cálculos teóricos'!T242</f>
        <v>29.111957607581996</v>
      </c>
      <c r="H35" s="75">
        <f t="shared" si="7"/>
        <v>56.56863963698455</v>
      </c>
      <c r="I35" s="209"/>
      <c r="J35" s="82"/>
      <c r="K35" s="81">
        <v>0.4</v>
      </c>
      <c r="L35" s="81">
        <v>1</v>
      </c>
      <c r="M35" s="81">
        <v>0.8</v>
      </c>
      <c r="N35" s="81">
        <v>0.9</v>
      </c>
      <c r="O35" s="78">
        <v>0.4</v>
      </c>
      <c r="P35" s="82">
        <v>1</v>
      </c>
      <c r="Q35" s="81">
        <v>1</v>
      </c>
      <c r="R35" s="81">
        <v>1</v>
      </c>
      <c r="S35" s="81">
        <v>1</v>
      </c>
      <c r="T35" s="81">
        <v>0.1</v>
      </c>
      <c r="U35" s="81"/>
      <c r="V35" s="78"/>
      <c r="W35" s="59">
        <f t="shared" si="0"/>
        <v>3.5</v>
      </c>
      <c r="X35" s="117">
        <f t="shared" si="1"/>
        <v>4.0999999999999996</v>
      </c>
      <c r="Y35" s="70">
        <f t="shared" si="2"/>
        <v>7.6</v>
      </c>
      <c r="Z35" s="71">
        <f>'[1]cálculos teóricos'!I242</f>
        <v>11.388685964007152</v>
      </c>
      <c r="AA35" s="72">
        <f t="shared" si="3"/>
        <v>66.73289635010633</v>
      </c>
      <c r="AB35" s="3"/>
    </row>
    <row r="36" spans="1:28" ht="18" customHeight="1">
      <c r="A36" s="85">
        <v>28</v>
      </c>
      <c r="B36" s="76">
        <v>20.9</v>
      </c>
      <c r="C36" s="74">
        <f>'[1]cálculos teóricos'!K243</f>
        <v>0.99042875269791231</v>
      </c>
      <c r="D36" s="59">
        <f t="shared" si="4"/>
        <v>301.46388102424532</v>
      </c>
      <c r="E36" s="60">
        <f t="shared" si="5"/>
        <v>12.621689770723103</v>
      </c>
      <c r="F36" s="61">
        <f t="shared" si="6"/>
        <v>16.106194693403879</v>
      </c>
      <c r="G36" s="62">
        <f>'[1]cálculos teóricos'!T243</f>
        <v>29.29378664677364</v>
      </c>
      <c r="H36" s="75">
        <f t="shared" si="7"/>
        <v>54.981607149712012</v>
      </c>
      <c r="I36" s="209"/>
      <c r="J36" s="82"/>
      <c r="K36" s="81">
        <v>0.8</v>
      </c>
      <c r="L36" s="81">
        <v>1</v>
      </c>
      <c r="M36" s="81">
        <v>1</v>
      </c>
      <c r="N36" s="81">
        <v>1</v>
      </c>
      <c r="O36" s="78">
        <v>1</v>
      </c>
      <c r="P36" s="82">
        <v>1</v>
      </c>
      <c r="Q36" s="81">
        <v>1</v>
      </c>
      <c r="R36" s="81">
        <v>0.4</v>
      </c>
      <c r="S36" s="81"/>
      <c r="T36" s="81"/>
      <c r="U36" s="81"/>
      <c r="V36" s="78"/>
      <c r="W36" s="59">
        <f t="shared" si="0"/>
        <v>4.8</v>
      </c>
      <c r="X36" s="117">
        <f t="shared" si="1"/>
        <v>2.4</v>
      </c>
      <c r="Y36" s="70">
        <f t="shared" si="2"/>
        <v>7.1999999999999993</v>
      </c>
      <c r="Z36" s="71">
        <f>'[1]cálculos teóricos'!I243</f>
        <v>11.409810817237096</v>
      </c>
      <c r="AA36" s="72">
        <f t="shared" si="3"/>
        <v>63.103587915084205</v>
      </c>
      <c r="AB36" s="3"/>
    </row>
    <row r="37" spans="1:28" ht="18" customHeight="1">
      <c r="A37" s="85">
        <v>29</v>
      </c>
      <c r="B37" s="76">
        <v>10.5</v>
      </c>
      <c r="C37" s="74">
        <f>'[1]cálculos teóricos'!K244</f>
        <v>0.99137177792554487</v>
      </c>
      <c r="D37" s="59">
        <f t="shared" si="4"/>
        <v>151.59735032209605</v>
      </c>
      <c r="E37" s="60">
        <f t="shared" si="5"/>
        <v>6.3470778632855174</v>
      </c>
      <c r="F37" s="61">
        <f t="shared" si="6"/>
        <v>8.2629298091068968</v>
      </c>
      <c r="G37" s="62">
        <f>'[1]cálculos teóricos'!T244</f>
        <v>29.476371202297315</v>
      </c>
      <c r="H37" s="75">
        <f t="shared" si="7"/>
        <v>28.032384829184487</v>
      </c>
      <c r="I37" s="209"/>
      <c r="J37" s="82"/>
      <c r="K37" s="81"/>
      <c r="L37" s="81"/>
      <c r="M37" s="81"/>
      <c r="N37" s="81"/>
      <c r="O37" s="78"/>
      <c r="P37" s="82"/>
      <c r="Q37" s="81"/>
      <c r="R37" s="81"/>
      <c r="S37" s="81"/>
      <c r="T37" s="81"/>
      <c r="U37" s="81"/>
      <c r="V37" s="78"/>
      <c r="W37" s="59">
        <f t="shared" si="0"/>
        <v>0</v>
      </c>
      <c r="X37" s="117">
        <f>SUM(P37:V37)</f>
        <v>0</v>
      </c>
      <c r="Y37" s="70">
        <f>W37+X37</f>
        <v>0</v>
      </c>
      <c r="Z37" s="71">
        <f>'[1]cálculos teóricos'!I244</f>
        <v>11.431043129989952</v>
      </c>
      <c r="AA37" s="72">
        <f t="shared" si="3"/>
        <v>0</v>
      </c>
      <c r="AB37" s="3"/>
    </row>
    <row r="38" spans="1:28" ht="18" customHeight="1">
      <c r="A38" s="80">
        <v>30</v>
      </c>
      <c r="B38" s="76">
        <v>25.4</v>
      </c>
      <c r="C38" s="74">
        <f>'[1]cálculos teóricos'!K245</f>
        <v>0.9923132980515369</v>
      </c>
      <c r="D38" s="59">
        <f t="shared" si="4"/>
        <v>367.06948979080835</v>
      </c>
      <c r="E38" s="60">
        <f t="shared" si="5"/>
        <v>15.368465398561563</v>
      </c>
      <c r="F38" s="61">
        <f t="shared" si="6"/>
        <v>19.539664228201953</v>
      </c>
      <c r="G38" s="62">
        <f>'[1]cálculos teóricos'!T245</f>
        <v>29.659643693014726</v>
      </c>
      <c r="H38" s="75">
        <f t="shared" si="7"/>
        <v>65.879632373344478</v>
      </c>
      <c r="I38" s="209"/>
      <c r="J38" s="82">
        <v>0.1</v>
      </c>
      <c r="K38" s="81">
        <v>1</v>
      </c>
      <c r="L38" s="81">
        <v>1</v>
      </c>
      <c r="M38" s="81">
        <v>1</v>
      </c>
      <c r="N38" s="81">
        <v>1</v>
      </c>
      <c r="O38" s="78">
        <v>1</v>
      </c>
      <c r="P38" s="82">
        <v>1</v>
      </c>
      <c r="Q38" s="81">
        <v>1</v>
      </c>
      <c r="R38" s="81">
        <v>1</v>
      </c>
      <c r="S38" s="81">
        <v>1</v>
      </c>
      <c r="T38" s="81">
        <v>0.2</v>
      </c>
      <c r="U38" s="81"/>
      <c r="V38" s="78"/>
      <c r="W38" s="59">
        <f t="shared" si="0"/>
        <v>5.0999999999999996</v>
      </c>
      <c r="X38" s="117">
        <f>SUM(P38:V38)</f>
        <v>4.2</v>
      </c>
      <c r="Y38" s="70">
        <f>W38+X38</f>
        <v>9.3000000000000007</v>
      </c>
      <c r="Z38" s="71">
        <f>'[1]cálculos teóricos'!I245</f>
        <v>11.452378479954556</v>
      </c>
      <c r="AA38" s="72">
        <f t="shared" si="3"/>
        <v>81.205838737150302</v>
      </c>
      <c r="AB38" s="3"/>
    </row>
    <row r="39" spans="1:28" ht="18" customHeight="1" thickBot="1">
      <c r="A39" s="86">
        <v>31</v>
      </c>
      <c r="B39" s="87">
        <v>25.9</v>
      </c>
      <c r="C39" s="88">
        <f>'[1]cálculos teóricos'!K246</f>
        <v>0.99325290686551726</v>
      </c>
      <c r="D39" s="89">
        <f t="shared" si="4"/>
        <v>374.64968256662132</v>
      </c>
      <c r="E39" s="90">
        <f t="shared" si="5"/>
        <v>15.685832909699302</v>
      </c>
      <c r="F39" s="91">
        <f t="shared" si="6"/>
        <v>19.936373617124126</v>
      </c>
      <c r="G39" s="92">
        <f>'[1]cálculos teóricos'!T246</f>
        <v>29.843536807081268</v>
      </c>
      <c r="H39" s="93">
        <f t="shared" si="7"/>
        <v>66.802985671569687</v>
      </c>
      <c r="I39" s="210"/>
      <c r="J39" s="82">
        <v>0.4</v>
      </c>
      <c r="K39" s="81">
        <v>1</v>
      </c>
      <c r="L39" s="81">
        <v>1</v>
      </c>
      <c r="M39" s="81">
        <v>1</v>
      </c>
      <c r="N39" s="81">
        <v>1</v>
      </c>
      <c r="O39" s="211">
        <v>1</v>
      </c>
      <c r="P39" s="82">
        <v>1</v>
      </c>
      <c r="Q39" s="81">
        <v>1</v>
      </c>
      <c r="R39" s="81">
        <v>1</v>
      </c>
      <c r="S39" s="81">
        <v>1</v>
      </c>
      <c r="T39" s="81">
        <v>0.5</v>
      </c>
      <c r="U39" s="81"/>
      <c r="V39" s="78"/>
      <c r="W39" s="212">
        <f t="shared" si="0"/>
        <v>5.4</v>
      </c>
      <c r="X39" s="125">
        <f>SUM(P39:V39)</f>
        <v>4.5</v>
      </c>
      <c r="Y39" s="126">
        <f>W39+X39</f>
        <v>9.9</v>
      </c>
      <c r="Z39" s="100">
        <f>'[1]cálculos teóricos'!I246</f>
        <v>11.473812557151932</v>
      </c>
      <c r="AA39" s="101">
        <f t="shared" si="3"/>
        <v>86.283438488186448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30">
        <f>SUM(I9:I39)</f>
        <v>0</v>
      </c>
      <c r="J40" s="130">
        <f t="shared" ref="J40:AA40" si="8">SUM(J9:J39)</f>
        <v>1</v>
      </c>
      <c r="K40" s="130">
        <f t="shared" si="8"/>
        <v>11.700000000000001</v>
      </c>
      <c r="L40" s="130">
        <f t="shared" si="8"/>
        <v>17.5</v>
      </c>
      <c r="M40" s="130">
        <f t="shared" si="8"/>
        <v>18.399999999999999</v>
      </c>
      <c r="N40" s="130">
        <f t="shared" si="8"/>
        <v>21.299999999999997</v>
      </c>
      <c r="O40" s="130">
        <f t="shared" si="8"/>
        <v>23.7</v>
      </c>
      <c r="P40" s="130">
        <f t="shared" si="8"/>
        <v>23.5</v>
      </c>
      <c r="Q40" s="130">
        <f t="shared" si="8"/>
        <v>22.5</v>
      </c>
      <c r="R40" s="130">
        <f t="shared" si="8"/>
        <v>20.599999999999998</v>
      </c>
      <c r="S40" s="130">
        <f t="shared" si="8"/>
        <v>18.600000000000001</v>
      </c>
      <c r="T40" s="130">
        <f t="shared" si="8"/>
        <v>9.5999999999999979</v>
      </c>
      <c r="U40" s="130">
        <f t="shared" si="8"/>
        <v>0.5</v>
      </c>
      <c r="V40" s="130">
        <f t="shared" si="8"/>
        <v>0</v>
      </c>
      <c r="W40" s="104">
        <f t="shared" si="0"/>
        <v>93.600000000000009</v>
      </c>
      <c r="X40" s="104">
        <f>SUM(P40:V40)</f>
        <v>95.299999999999983</v>
      </c>
      <c r="Y40" s="104">
        <f>W40+X40</f>
        <v>188.89999999999998</v>
      </c>
      <c r="Z40" s="104">
        <f t="shared" si="8"/>
        <v>346.32135512431353</v>
      </c>
      <c r="AA40" s="104">
        <f t="shared" si="8"/>
        <v>1690.5506313294688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213"/>
      <c r="X41" s="213"/>
      <c r="Y41" s="213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2" width="12.7109375" style="8" customWidth="1"/>
    <col min="3" max="3" width="13.42578125" style="8" customWidth="1"/>
    <col min="4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73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50"/>
      <c r="S2" s="150"/>
      <c r="T2" s="150"/>
      <c r="U2" s="3"/>
      <c r="V2" s="9" t="s">
        <v>60</v>
      </c>
      <c r="W2" s="3"/>
      <c r="X2" s="109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50"/>
      <c r="E3" s="151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150"/>
      <c r="S3" s="150"/>
      <c r="T3" s="190"/>
      <c r="U3" s="3"/>
      <c r="V3" s="9" t="s">
        <v>63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165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24.5</v>
      </c>
      <c r="C9" s="74">
        <f>'[1]cálculos teóricos'!K247</f>
        <v>0.99419020541821523</v>
      </c>
      <c r="D9" s="59">
        <f>IF(B9&gt;0,B9*C9*14.25*1.022,-999)</f>
        <v>354.73278188690034</v>
      </c>
      <c r="E9" s="60">
        <f>IF(B9&gt;0,D9*4.1868/100,-999)</f>
        <v>14.851952112040742</v>
      </c>
      <c r="F9" s="61">
        <f>IF(B9&gt;0,(7.86+1.25*D9)*4.1868/100,-999)</f>
        <v>18.894022620050929</v>
      </c>
      <c r="G9" s="62">
        <f>'[1]cálculos teóricos'!T247</f>
        <v>30.02798352557965</v>
      </c>
      <c r="H9" s="63">
        <f>IF(B9&gt;0,100*F9/G9,-999)</f>
        <v>62.921383328840115</v>
      </c>
      <c r="I9" s="64"/>
      <c r="J9" s="64">
        <v>0.5</v>
      </c>
      <c r="K9" s="167">
        <v>0.6</v>
      </c>
      <c r="L9" s="167">
        <v>0.8</v>
      </c>
      <c r="M9" s="167">
        <v>1</v>
      </c>
      <c r="N9" s="167">
        <v>1</v>
      </c>
      <c r="O9" s="168">
        <v>1</v>
      </c>
      <c r="P9" s="167">
        <v>0.9</v>
      </c>
      <c r="Q9" s="167">
        <v>1</v>
      </c>
      <c r="R9" s="167">
        <v>1</v>
      </c>
      <c r="S9" s="167">
        <v>1</v>
      </c>
      <c r="T9" s="64">
        <v>0.8</v>
      </c>
      <c r="U9" s="64"/>
      <c r="V9" s="214"/>
      <c r="W9" s="59">
        <f t="shared" ref="W9:W38" si="0">SUM(I9:O9)</f>
        <v>4.9000000000000004</v>
      </c>
      <c r="X9" s="117">
        <f>SUM(P9:V9)</f>
        <v>4.7</v>
      </c>
      <c r="Y9" s="118">
        <f t="shared" ref="Y9:Y16" si="1">W9+X9</f>
        <v>9.6000000000000014</v>
      </c>
      <c r="Z9" s="71">
        <f>'[1]cálculos teóricos'!I247</f>
        <v>11.495341160479503</v>
      </c>
      <c r="AA9" s="72">
        <f>100*Y9/Z9</f>
        <v>83.512092994720291</v>
      </c>
      <c r="AB9" s="3"/>
    </row>
    <row r="10" spans="1:28" ht="18" customHeight="1">
      <c r="A10" s="111">
        <v>2</v>
      </c>
      <c r="B10" s="57">
        <v>27.2</v>
      </c>
      <c r="C10" s="74">
        <f>'[1]cálculos teóricos'!K248</f>
        <v>0.99512480212680143</v>
      </c>
      <c r="D10" s="59">
        <f>IF(B10&gt;0,B10*C10*14.25*1.022,-999)</f>
        <v>394.19600151704384</v>
      </c>
      <c r="E10" s="60">
        <f>IF(B10&gt;0,D10*4.1868/100,-999)</f>
        <v>16.504198191515592</v>
      </c>
      <c r="F10" s="61">
        <f>IF(B10&gt;0,(7.86+1.25*D10)*4.1868/100,-999)</f>
        <v>20.959330219394491</v>
      </c>
      <c r="G10" s="62">
        <f>'[1]cálculos teóricos'!T248</f>
        <v>30.21291714531624</v>
      </c>
      <c r="H10" s="75">
        <f>IF(B10&gt;0,100*F10/G10,-999)</f>
        <v>69.372083862625999</v>
      </c>
      <c r="I10" s="57"/>
      <c r="J10" s="76">
        <v>0.5</v>
      </c>
      <c r="K10" s="76">
        <v>1</v>
      </c>
      <c r="L10" s="79">
        <v>1</v>
      </c>
      <c r="M10" s="79">
        <v>1</v>
      </c>
      <c r="N10" s="79">
        <v>1</v>
      </c>
      <c r="O10" s="77">
        <v>1</v>
      </c>
      <c r="P10" s="79">
        <v>1</v>
      </c>
      <c r="Q10" s="79">
        <v>1</v>
      </c>
      <c r="R10" s="79">
        <v>1</v>
      </c>
      <c r="S10" s="79">
        <v>1</v>
      </c>
      <c r="T10" s="82">
        <v>1</v>
      </c>
      <c r="U10" s="82">
        <v>0.2</v>
      </c>
      <c r="V10" s="215"/>
      <c r="W10" s="59">
        <f t="shared" si="0"/>
        <v>5.5</v>
      </c>
      <c r="X10" s="117">
        <f t="shared" ref="X10:X38" si="2">SUM(P10:V10)</f>
        <v>5.2</v>
      </c>
      <c r="Y10" s="70">
        <f t="shared" si="1"/>
        <v>10.7</v>
      </c>
      <c r="Z10" s="71">
        <f>'[1]cálculos teóricos'!I248</f>
        <v>11.516960194014535</v>
      </c>
      <c r="AA10" s="72">
        <f t="shared" ref="AA10:AA38" si="3">100*Y10/Z10</f>
        <v>92.906459862220274</v>
      </c>
      <c r="AB10" s="3"/>
    </row>
    <row r="11" spans="1:28" ht="18" customHeight="1">
      <c r="A11" s="111">
        <v>3</v>
      </c>
      <c r="B11" s="57">
        <v>27.7</v>
      </c>
      <c r="C11" s="74">
        <f>'[1]cálculos teóricos'!K249</f>
        <v>0.99605631287002294</v>
      </c>
      <c r="D11" s="59">
        <f t="shared" ref="D11:D38" si="4">IF(B11&gt;0,B11*C11*14.25*1.022,-999)</f>
        <v>401.81803131576743</v>
      </c>
      <c r="E11" s="60">
        <f t="shared" ref="E11:E38" si="5">IF(B11&gt;0,D11*4.1868/100,-999)</f>
        <v>16.82331733512855</v>
      </c>
      <c r="F11" s="61">
        <f t="shared" ref="F11:F38" si="6">IF(B11&gt;0,(7.86+1.25*D11)*4.1868/100,-999)</f>
        <v>21.358229148910688</v>
      </c>
      <c r="G11" s="62">
        <f>'[1]cálculos teóricos'!T249</f>
        <v>30.398271300830679</v>
      </c>
      <c r="H11" s="75">
        <f t="shared" ref="H11:H38" si="7">IF(B11&gt;0,100*F11/G11,-999)</f>
        <v>70.261328144429839</v>
      </c>
      <c r="I11" s="57"/>
      <c r="J11" s="76">
        <v>0.5</v>
      </c>
      <c r="K11" s="76">
        <v>1</v>
      </c>
      <c r="L11" s="79">
        <v>1</v>
      </c>
      <c r="M11" s="79">
        <v>1</v>
      </c>
      <c r="N11" s="79">
        <v>1</v>
      </c>
      <c r="O11" s="77">
        <v>1</v>
      </c>
      <c r="P11" s="79">
        <v>1</v>
      </c>
      <c r="Q11" s="79">
        <v>1</v>
      </c>
      <c r="R11" s="79">
        <v>1</v>
      </c>
      <c r="S11" s="79">
        <v>1</v>
      </c>
      <c r="T11" s="82">
        <v>0.4</v>
      </c>
      <c r="U11" s="82"/>
      <c r="V11" s="215"/>
      <c r="W11" s="59">
        <f t="shared" si="0"/>
        <v>5.5</v>
      </c>
      <c r="X11" s="117">
        <f t="shared" si="2"/>
        <v>4.4000000000000004</v>
      </c>
      <c r="Y11" s="70">
        <f t="shared" si="1"/>
        <v>9.9</v>
      </c>
      <c r="Z11" s="71">
        <f>'[1]cálculos teóricos'!I249</f>
        <v>11.538665663090258</v>
      </c>
      <c r="AA11" s="72">
        <f t="shared" si="3"/>
        <v>85.798482156112712</v>
      </c>
      <c r="AB11" s="3"/>
    </row>
    <row r="12" spans="1:28" ht="18" customHeight="1">
      <c r="A12" s="111">
        <v>4</v>
      </c>
      <c r="B12" s="57">
        <v>25.8</v>
      </c>
      <c r="C12" s="74">
        <f>'[1]cálculos teóricos'!K250</f>
        <v>0.99698436107380495</v>
      </c>
      <c r="D12" s="59">
        <f t="shared" si="4"/>
        <v>374.60520895645772</v>
      </c>
      <c r="E12" s="60">
        <f t="shared" si="5"/>
        <v>15.683970888588972</v>
      </c>
      <c r="F12" s="61">
        <f t="shared" si="6"/>
        <v>19.934046090736214</v>
      </c>
      <c r="G12" s="62">
        <f>'[1]cálculos teóricos'!T250</f>
        <v>30.583979985672055</v>
      </c>
      <c r="H12" s="75">
        <f t="shared" si="7"/>
        <v>65.17806413709036</v>
      </c>
      <c r="I12" s="57"/>
      <c r="J12" s="76">
        <v>0.2</v>
      </c>
      <c r="K12" s="76">
        <v>0.6</v>
      </c>
      <c r="L12" s="79">
        <v>1</v>
      </c>
      <c r="M12" s="79">
        <v>1</v>
      </c>
      <c r="N12" s="79">
        <v>0.8</v>
      </c>
      <c r="O12" s="77">
        <v>0.9</v>
      </c>
      <c r="P12" s="79">
        <v>1</v>
      </c>
      <c r="Q12" s="79">
        <v>1</v>
      </c>
      <c r="R12" s="79">
        <v>0.8</v>
      </c>
      <c r="S12" s="79">
        <v>0.7</v>
      </c>
      <c r="T12" s="82">
        <v>0.5</v>
      </c>
      <c r="U12" s="82"/>
      <c r="V12" s="215"/>
      <c r="W12" s="59">
        <f t="shared" si="0"/>
        <v>4.5</v>
      </c>
      <c r="X12" s="117">
        <f t="shared" si="2"/>
        <v>4</v>
      </c>
      <c r="Y12" s="70">
        <f t="shared" si="1"/>
        <v>8.5</v>
      </c>
      <c r="Z12" s="71">
        <f>'[1]cálculos teóricos'!I250</f>
        <v>11.560453670157653</v>
      </c>
      <c r="AA12" s="72">
        <f t="shared" si="3"/>
        <v>73.526526229174223</v>
      </c>
      <c r="AB12" s="3"/>
    </row>
    <row r="13" spans="1:28" ht="18" customHeight="1">
      <c r="A13" s="73">
        <v>5</v>
      </c>
      <c r="B13" s="57">
        <v>23</v>
      </c>
      <c r="C13" s="74">
        <f>'[1]cálculos teóricos'!K251</f>
        <v>0.99790857778799535</v>
      </c>
      <c r="D13" s="59">
        <f t="shared" si="4"/>
        <v>334.25995617015582</v>
      </c>
      <c r="E13" s="60">
        <f t="shared" si="5"/>
        <v>13.994795844932082</v>
      </c>
      <c r="F13" s="61">
        <f t="shared" si="6"/>
        <v>17.822577286165107</v>
      </c>
      <c r="G13" s="62">
        <f>'[1]cálculos teóricos'!T251</f>
        <v>30.769977572999139</v>
      </c>
      <c r="H13" s="75">
        <f t="shared" si="7"/>
        <v>57.921970348800436</v>
      </c>
      <c r="I13" s="57"/>
      <c r="J13" s="76">
        <v>0.5</v>
      </c>
      <c r="K13" s="76">
        <v>1</v>
      </c>
      <c r="L13" s="76">
        <v>1</v>
      </c>
      <c r="M13" s="76">
        <v>1</v>
      </c>
      <c r="N13" s="76">
        <v>1</v>
      </c>
      <c r="O13" s="77">
        <v>1</v>
      </c>
      <c r="P13" s="79">
        <v>1</v>
      </c>
      <c r="Q13" s="79">
        <v>1</v>
      </c>
      <c r="R13" s="76">
        <v>0.5</v>
      </c>
      <c r="S13" s="76"/>
      <c r="T13" s="76"/>
      <c r="U13" s="82"/>
      <c r="V13" s="215"/>
      <c r="W13" s="59">
        <f t="shared" si="0"/>
        <v>5.5</v>
      </c>
      <c r="X13" s="117">
        <f t="shared" si="2"/>
        <v>2.5</v>
      </c>
      <c r="Y13" s="70">
        <f t="shared" si="1"/>
        <v>8</v>
      </c>
      <c r="Z13" s="71">
        <f>'[1]cálculos teóricos'!I251</f>
        <v>11.582320410445583</v>
      </c>
      <c r="AA13" s="72">
        <f t="shared" si="3"/>
        <v>69.070788205661742</v>
      </c>
      <c r="AB13" s="3"/>
    </row>
    <row r="14" spans="1:28" ht="18" customHeight="1">
      <c r="A14" s="111">
        <v>6</v>
      </c>
      <c r="B14" s="57">
        <v>11.2</v>
      </c>
      <c r="C14" s="74">
        <f>'[1]cálculos teóricos'!K252</f>
        <v>0.99882860175493227</v>
      </c>
      <c r="D14" s="59">
        <f t="shared" si="4"/>
        <v>162.9201318265691</v>
      </c>
      <c r="E14" s="60">
        <f t="shared" si="5"/>
        <v>6.8211400793147945</v>
      </c>
      <c r="F14" s="61">
        <f t="shared" si="6"/>
        <v>8.8555075791434952</v>
      </c>
      <c r="G14" s="62">
        <f>'[1]cálculos teóricos'!T252</f>
        <v>30.956198835564976</v>
      </c>
      <c r="H14" s="75">
        <f t="shared" si="7"/>
        <v>28.606572874734137</v>
      </c>
      <c r="I14" s="57"/>
      <c r="J14" s="76"/>
      <c r="K14" s="76"/>
      <c r="L14" s="76"/>
      <c r="M14" s="76"/>
      <c r="N14" s="76"/>
      <c r="O14" s="77"/>
      <c r="P14" s="79"/>
      <c r="Q14" s="79"/>
      <c r="R14" s="76"/>
      <c r="S14" s="76"/>
      <c r="T14" s="76"/>
      <c r="U14" s="82"/>
      <c r="V14" s="215"/>
      <c r="W14" s="59">
        <f t="shared" si="0"/>
        <v>0</v>
      </c>
      <c r="X14" s="117">
        <f t="shared" si="2"/>
        <v>0</v>
      </c>
      <c r="Y14" s="70">
        <f t="shared" si="1"/>
        <v>0</v>
      </c>
      <c r="Z14" s="71">
        <f>'[1]cálculos teóricos'!I252</f>
        <v>11.604262167431463</v>
      </c>
      <c r="AA14" s="72">
        <f t="shared" si="3"/>
        <v>0</v>
      </c>
      <c r="AB14" s="3"/>
    </row>
    <row r="15" spans="1:28" ht="18" customHeight="1">
      <c r="A15" s="73">
        <v>7</v>
      </c>
      <c r="B15" s="57">
        <v>10.5</v>
      </c>
      <c r="C15" s="74">
        <f>'[1]cálculos teóricos'!K253</f>
        <v>0.99974407947051991</v>
      </c>
      <c r="D15" s="59">
        <f t="shared" si="4"/>
        <v>152.87761546437363</v>
      </c>
      <c r="E15" s="60">
        <f t="shared" si="5"/>
        <v>6.4006800042623944</v>
      </c>
      <c r="F15" s="61">
        <f t="shared" si="6"/>
        <v>8.3299324853279941</v>
      </c>
      <c r="G15" s="62">
        <f>'[1]cálculos teóricos'!T253</f>
        <v>31.142578965148473</v>
      </c>
      <c r="H15" s="75">
        <f t="shared" si="7"/>
        <v>26.747728550837056</v>
      </c>
      <c r="I15" s="57"/>
      <c r="J15" s="76"/>
      <c r="K15" s="76"/>
      <c r="L15" s="76"/>
      <c r="M15" s="76"/>
      <c r="N15" s="76"/>
      <c r="O15" s="77"/>
      <c r="P15" s="79"/>
      <c r="Q15" s="79"/>
      <c r="R15" s="76"/>
      <c r="S15" s="76"/>
      <c r="T15" s="82"/>
      <c r="U15" s="82"/>
      <c r="V15" s="215"/>
      <c r="W15" s="59">
        <f t="shared" si="0"/>
        <v>0</v>
      </c>
      <c r="X15" s="117">
        <f t="shared" si="2"/>
        <v>0</v>
      </c>
      <c r="Y15" s="70">
        <f t="shared" si="1"/>
        <v>0</v>
      </c>
      <c r="Z15" s="71">
        <f>'[1]cálculos teóricos'!I253</f>
        <v>11.626275308134208</v>
      </c>
      <c r="AA15" s="72">
        <f t="shared" si="3"/>
        <v>0</v>
      </c>
      <c r="AB15" s="3"/>
    </row>
    <row r="16" spans="1:28" ht="18" customHeight="1">
      <c r="A16" s="80">
        <v>8</v>
      </c>
      <c r="B16" s="76">
        <v>22.9</v>
      </c>
      <c r="C16" s="74">
        <f>'[1]cálculos teóricos'!K254</f>
        <v>1.0006546652384873</v>
      </c>
      <c r="D16" s="59">
        <f t="shared" si="4"/>
        <v>333.72248357389623</v>
      </c>
      <c r="E16" s="60">
        <f t="shared" si="5"/>
        <v>13.972292942271885</v>
      </c>
      <c r="F16" s="61">
        <f t="shared" si="6"/>
        <v>17.794448657839858</v>
      </c>
      <c r="G16" s="62">
        <f>'[1]cálculos teóricos'!T254</f>
        <v>31.329053591497956</v>
      </c>
      <c r="H16" s="75">
        <f t="shared" si="7"/>
        <v>56.798551561317815</v>
      </c>
      <c r="I16" s="79"/>
      <c r="J16" s="81"/>
      <c r="K16" s="81"/>
      <c r="L16" s="81"/>
      <c r="M16" s="81">
        <v>0.2</v>
      </c>
      <c r="N16" s="81">
        <v>0.8</v>
      </c>
      <c r="O16" s="78">
        <v>1</v>
      </c>
      <c r="P16" s="82">
        <v>1</v>
      </c>
      <c r="Q16" s="82">
        <v>1</v>
      </c>
      <c r="R16" s="81">
        <v>1</v>
      </c>
      <c r="S16" s="81">
        <v>1</v>
      </c>
      <c r="T16" s="81">
        <v>1</v>
      </c>
      <c r="U16" s="81"/>
      <c r="V16" s="215"/>
      <c r="W16" s="59">
        <f t="shared" si="0"/>
        <v>2</v>
      </c>
      <c r="X16" s="117">
        <f t="shared" si="2"/>
        <v>5</v>
      </c>
      <c r="Y16" s="70">
        <f t="shared" si="1"/>
        <v>7</v>
      </c>
      <c r="Z16" s="71">
        <f>'[1]cálculos teóricos'!I254</f>
        <v>11.648356278240907</v>
      </c>
      <c r="AA16" s="72">
        <f t="shared" si="3"/>
        <v>60.094315736856174</v>
      </c>
      <c r="AB16" s="3"/>
    </row>
    <row r="17" spans="1:28" ht="18" customHeight="1">
      <c r="A17" s="80">
        <v>9</v>
      </c>
      <c r="B17" s="76">
        <v>18.8</v>
      </c>
      <c r="C17" s="74">
        <f>'[1]cálculos teóricos'!K255</f>
        <v>1.0015600212185085</v>
      </c>
      <c r="D17" s="59">
        <f t="shared" si="4"/>
        <v>274.22092413749613</v>
      </c>
      <c r="E17" s="60">
        <f t="shared" si="5"/>
        <v>11.481081651788688</v>
      </c>
      <c r="F17" s="61">
        <f t="shared" si="6"/>
        <v>14.68043454473586</v>
      </c>
      <c r="G17" s="62">
        <f>'[1]cálculos teóricos'!T255</f>
        <v>31.515558800853107</v>
      </c>
      <c r="H17" s="75">
        <f t="shared" si="7"/>
        <v>46.581546078562539</v>
      </c>
      <c r="I17" s="79"/>
      <c r="J17" s="81">
        <v>0.3</v>
      </c>
      <c r="K17" s="81">
        <v>1</v>
      </c>
      <c r="L17" s="81">
        <v>1</v>
      </c>
      <c r="M17" s="81">
        <v>0.9</v>
      </c>
      <c r="N17" s="81">
        <v>0.6</v>
      </c>
      <c r="O17" s="78">
        <v>1</v>
      </c>
      <c r="P17" s="82">
        <v>0.7</v>
      </c>
      <c r="Q17" s="82"/>
      <c r="R17" s="81"/>
      <c r="S17" s="81">
        <v>0.6</v>
      </c>
      <c r="T17" s="81">
        <v>0.6</v>
      </c>
      <c r="U17" s="81">
        <v>0.3</v>
      </c>
      <c r="V17" s="215"/>
      <c r="W17" s="59">
        <f t="shared" si="0"/>
        <v>4.8</v>
      </c>
      <c r="X17" s="117">
        <f t="shared" si="2"/>
        <v>2.1999999999999997</v>
      </c>
      <c r="Y17" s="70">
        <f>W17+X17</f>
        <v>7</v>
      </c>
      <c r="Z17" s="71">
        <f>'[1]cálculos teóricos'!I255</f>
        <v>11.670501597078111</v>
      </c>
      <c r="AA17" s="72">
        <f t="shared" si="3"/>
        <v>59.980283981560461</v>
      </c>
      <c r="AB17" s="3"/>
    </row>
    <row r="18" spans="1:28" ht="18" customHeight="1">
      <c r="A18" s="80">
        <v>10</v>
      </c>
      <c r="B18" s="76">
        <v>29</v>
      </c>
      <c r="C18" s="74">
        <f>'[1]cálculos teóricos'!K256</f>
        <v>1.0024598174688395</v>
      </c>
      <c r="D18" s="59">
        <f t="shared" si="4"/>
        <v>423.38038299951586</v>
      </c>
      <c r="E18" s="60">
        <f t="shared" si="5"/>
        <v>17.726089875423728</v>
      </c>
      <c r="F18" s="61">
        <f t="shared" si="6"/>
        <v>22.486694824279663</v>
      </c>
      <c r="G18" s="62">
        <f>'[1]cálculos teóricos'!T256</f>
        <v>31.702031154112685</v>
      </c>
      <c r="H18" s="75">
        <f t="shared" si="7"/>
        <v>70.931400940732715</v>
      </c>
      <c r="I18" s="79"/>
      <c r="J18" s="81">
        <v>0.2</v>
      </c>
      <c r="K18" s="81">
        <v>1</v>
      </c>
      <c r="L18" s="81">
        <v>1</v>
      </c>
      <c r="M18" s="81">
        <v>1</v>
      </c>
      <c r="N18" s="81">
        <v>1</v>
      </c>
      <c r="O18" s="78">
        <v>1</v>
      </c>
      <c r="P18" s="82">
        <v>1</v>
      </c>
      <c r="Q18" s="82">
        <v>1</v>
      </c>
      <c r="R18" s="81">
        <v>1</v>
      </c>
      <c r="S18" s="81">
        <v>1</v>
      </c>
      <c r="T18" s="81">
        <v>1</v>
      </c>
      <c r="U18" s="81">
        <v>0.1</v>
      </c>
      <c r="V18" s="215"/>
      <c r="W18" s="59">
        <f t="shared" si="0"/>
        <v>5.2</v>
      </c>
      <c r="X18" s="117">
        <f t="shared" si="2"/>
        <v>5.0999999999999996</v>
      </c>
      <c r="Y18" s="70">
        <f>W18+X18</f>
        <v>10.3</v>
      </c>
      <c r="Z18" s="71">
        <f>'[1]cálculos teóricos'!I256</f>
        <v>11.692707852438252</v>
      </c>
      <c r="AA18" s="72">
        <f t="shared" si="3"/>
        <v>88.089090482596518</v>
      </c>
      <c r="AB18" s="3"/>
    </row>
    <row r="19" spans="1:28" ht="18" customHeight="1">
      <c r="A19" s="85">
        <v>11</v>
      </c>
      <c r="B19" s="76">
        <v>30.3</v>
      </c>
      <c r="C19" s="74">
        <f>'[1]cálculos teóricos'!K257</f>
        <v>1.0033537319841259</v>
      </c>
      <c r="D19" s="59">
        <f t="shared" si="4"/>
        <v>442.75396489524974</v>
      </c>
      <c r="E19" s="60">
        <f t="shared" si="5"/>
        <v>18.537223002234317</v>
      </c>
      <c r="F19" s="61">
        <f t="shared" si="6"/>
        <v>23.500611232792895</v>
      </c>
      <c r="G19" s="62">
        <f>'[1]cálculos teóricos'!T257</f>
        <v>31.888407704716052</v>
      </c>
      <c r="H19" s="75">
        <f t="shared" si="7"/>
        <v>73.696408583352792</v>
      </c>
      <c r="I19" s="79"/>
      <c r="J19" s="81"/>
      <c r="K19" s="81">
        <v>0.1</v>
      </c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2">
        <v>1</v>
      </c>
      <c r="R19" s="81">
        <v>1</v>
      </c>
      <c r="S19" s="81">
        <v>1</v>
      </c>
      <c r="T19" s="81">
        <v>1</v>
      </c>
      <c r="U19" s="81">
        <v>0.4</v>
      </c>
      <c r="V19" s="215"/>
      <c r="W19" s="59">
        <f t="shared" si="0"/>
        <v>4.0999999999999996</v>
      </c>
      <c r="X19" s="117">
        <f t="shared" si="2"/>
        <v>5.4</v>
      </c>
      <c r="Y19" s="70">
        <f t="shared" ref="Y19:Y38" si="8">W19+X19</f>
        <v>9.5</v>
      </c>
      <c r="Z19" s="71">
        <f>'[1]cálculos teóricos'!I257</f>
        <v>11.714971695271378</v>
      </c>
      <c r="AA19" s="72">
        <f t="shared" si="3"/>
        <v>81.092812233038273</v>
      </c>
      <c r="AB19" s="3"/>
    </row>
    <row r="20" spans="1:28" ht="18" customHeight="1">
      <c r="A20" s="80">
        <v>12</v>
      </c>
      <c r="B20" s="76">
        <v>9.6</v>
      </c>
      <c r="C20" s="74">
        <f>'[1]cálculos teóricos'!K258</f>
        <v>1.0042414507290078</v>
      </c>
      <c r="D20" s="59">
        <f t="shared" si="4"/>
        <v>140.4025955298423</v>
      </c>
      <c r="E20" s="60">
        <f t="shared" si="5"/>
        <v>5.8783758696434374</v>
      </c>
      <c r="F20" s="61">
        <f t="shared" si="6"/>
        <v>7.6770523170542972</v>
      </c>
      <c r="G20" s="62">
        <f>'[1]cálculos teóricos'!T258</f>
        <v>32.074626016306389</v>
      </c>
      <c r="H20" s="75">
        <f t="shared" si="7"/>
        <v>23.934970631150517</v>
      </c>
      <c r="I20" s="79"/>
      <c r="J20" s="81"/>
      <c r="K20" s="81">
        <v>0.2</v>
      </c>
      <c r="L20" s="81"/>
      <c r="M20" s="81"/>
      <c r="N20" s="81"/>
      <c r="O20" s="78">
        <v>0.1</v>
      </c>
      <c r="P20" s="82"/>
      <c r="Q20" s="82"/>
      <c r="R20" s="81"/>
      <c r="S20" s="81"/>
      <c r="T20" s="81"/>
      <c r="U20" s="81"/>
      <c r="V20" s="215"/>
      <c r="W20" s="59">
        <f t="shared" si="0"/>
        <v>0.30000000000000004</v>
      </c>
      <c r="X20" s="117">
        <f t="shared" si="2"/>
        <v>0</v>
      </c>
      <c r="Y20" s="70">
        <f t="shared" si="8"/>
        <v>0.30000000000000004</v>
      </c>
      <c r="Z20" s="71">
        <f>'[1]cálculos teóricos'!I258</f>
        <v>11.737289834251907</v>
      </c>
      <c r="AA20" s="72">
        <f t="shared" si="3"/>
        <v>2.5559563087940136</v>
      </c>
      <c r="AB20" s="3"/>
    </row>
    <row r="21" spans="1:28" ht="18" customHeight="1">
      <c r="A21" s="80">
        <v>13</v>
      </c>
      <c r="B21" s="76">
        <v>18.100000000000001</v>
      </c>
      <c r="C21" s="74">
        <f>'[1]cálculos teóricos'!K259</f>
        <v>1.0051226676681373</v>
      </c>
      <c r="D21" s="59">
        <f t="shared" si="4"/>
        <v>264.949681867587</v>
      </c>
      <c r="E21" s="60">
        <f t="shared" si="5"/>
        <v>11.092913280432134</v>
      </c>
      <c r="F21" s="61">
        <f t="shared" si="6"/>
        <v>14.195224080540168</v>
      </c>
      <c r="G21" s="62">
        <f>'[1]cálculos teóricos'!T259</f>
        <v>32.260624180242964</v>
      </c>
      <c r="H21" s="75">
        <f t="shared" si="7"/>
        <v>44.001703132680241</v>
      </c>
      <c r="I21" s="79"/>
      <c r="J21" s="81">
        <v>0.1</v>
      </c>
      <c r="K21" s="81">
        <v>0.2</v>
      </c>
      <c r="L21" s="81"/>
      <c r="M21" s="81">
        <v>0.3</v>
      </c>
      <c r="N21" s="81">
        <v>0.7</v>
      </c>
      <c r="O21" s="78">
        <v>0.4</v>
      </c>
      <c r="P21" s="82"/>
      <c r="Q21" s="82"/>
      <c r="R21" s="81">
        <v>0.3</v>
      </c>
      <c r="S21" s="81">
        <v>0.2</v>
      </c>
      <c r="T21" s="81">
        <v>0.1</v>
      </c>
      <c r="U21" s="81"/>
      <c r="V21" s="215"/>
      <c r="W21" s="59">
        <f t="shared" si="0"/>
        <v>1.7000000000000002</v>
      </c>
      <c r="X21" s="117">
        <f t="shared" si="2"/>
        <v>0.6</v>
      </c>
      <c r="Y21" s="70">
        <f t="shared" si="8"/>
        <v>2.3000000000000003</v>
      </c>
      <c r="Z21" s="71">
        <f>'[1]cálculos teóricos'!I259</f>
        <v>11.759659030229781</v>
      </c>
      <c r="AA21" s="72">
        <f t="shared" si="3"/>
        <v>19.558390205766525</v>
      </c>
      <c r="AB21" s="3"/>
    </row>
    <row r="22" spans="1:28" ht="18" customHeight="1">
      <c r="A22" s="80">
        <v>14</v>
      </c>
      <c r="B22" s="76">
        <v>26</v>
      </c>
      <c r="C22" s="74">
        <f>'[1]cálculos teóricos'!K260</f>
        <v>1.0059970847931912</v>
      </c>
      <c r="D22" s="59">
        <f t="shared" si="4"/>
        <v>380.92180215402664</v>
      </c>
      <c r="E22" s="60">
        <f t="shared" si="5"/>
        <v>15.948434012584787</v>
      </c>
      <c r="F22" s="61">
        <f t="shared" si="6"/>
        <v>20.264624995730983</v>
      </c>
      <c r="G22" s="62">
        <f>'[1]cálculos teóricos'!T260</f>
        <v>32.446340833028621</v>
      </c>
      <c r="H22" s="75">
        <f t="shared" si="7"/>
        <v>62.455810040381166</v>
      </c>
      <c r="I22" s="79"/>
      <c r="J22" s="81">
        <v>0.1</v>
      </c>
      <c r="K22" s="81">
        <v>0.2</v>
      </c>
      <c r="L22" s="81">
        <v>0.3</v>
      </c>
      <c r="M22" s="81">
        <v>0.5</v>
      </c>
      <c r="N22" s="81">
        <v>1</v>
      </c>
      <c r="O22" s="78">
        <v>1</v>
      </c>
      <c r="P22" s="82">
        <v>1</v>
      </c>
      <c r="Q22" s="81">
        <v>1</v>
      </c>
      <c r="R22" s="81">
        <v>1</v>
      </c>
      <c r="S22" s="81">
        <v>0.3</v>
      </c>
      <c r="T22" s="81"/>
      <c r="U22" s="81"/>
      <c r="V22" s="215"/>
      <c r="W22" s="59">
        <f t="shared" si="0"/>
        <v>3.1</v>
      </c>
      <c r="X22" s="117">
        <f t="shared" si="2"/>
        <v>3.3</v>
      </c>
      <c r="Y22" s="70">
        <f t="shared" si="8"/>
        <v>6.4</v>
      </c>
      <c r="Z22" s="71">
        <f>'[1]cálculos teóricos'!I260</f>
        <v>11.782076090575021</v>
      </c>
      <c r="AA22" s="72">
        <f t="shared" si="3"/>
        <v>54.319798571998952</v>
      </c>
      <c r="AB22" s="3"/>
    </row>
    <row r="23" spans="1:28" ht="18" customHeight="1">
      <c r="A23" s="80">
        <v>15</v>
      </c>
      <c r="B23" s="76">
        <v>27.8</v>
      </c>
      <c r="C23" s="74">
        <f>'[1]cálculos teóricos'!K261</f>
        <v>1.0068644121474433</v>
      </c>
      <c r="D23" s="59">
        <f t="shared" si="4"/>
        <v>407.6444622833983</v>
      </c>
      <c r="E23" s="60">
        <f t="shared" si="5"/>
        <v>17.067258346881321</v>
      </c>
      <c r="F23" s="61">
        <f t="shared" si="6"/>
        <v>21.663155413601647</v>
      </c>
      <c r="G23" s="62">
        <f>'[1]cálculos teóricos'!T261</f>
        <v>32.63171517371709</v>
      </c>
      <c r="H23" s="75">
        <f t="shared" si="7"/>
        <v>66.38681202712273</v>
      </c>
      <c r="I23" s="79"/>
      <c r="J23" s="81"/>
      <c r="K23" s="81"/>
      <c r="L23" s="81">
        <v>0.3</v>
      </c>
      <c r="M23" s="81">
        <v>0.9</v>
      </c>
      <c r="N23" s="81">
        <v>1</v>
      </c>
      <c r="O23" s="78">
        <v>1</v>
      </c>
      <c r="P23" s="82">
        <v>1</v>
      </c>
      <c r="Q23" s="81">
        <v>1</v>
      </c>
      <c r="R23" s="81">
        <v>1</v>
      </c>
      <c r="S23" s="81">
        <v>1</v>
      </c>
      <c r="T23" s="81">
        <v>0.4</v>
      </c>
      <c r="U23" s="81"/>
      <c r="V23" s="215"/>
      <c r="W23" s="59">
        <f t="shared" si="0"/>
        <v>3.2</v>
      </c>
      <c r="X23" s="117">
        <f t="shared" si="2"/>
        <v>4.4000000000000004</v>
      </c>
      <c r="Y23" s="70">
        <f t="shared" si="8"/>
        <v>7.6000000000000005</v>
      </c>
      <c r="Z23" s="71">
        <f>'[1]cálculos teóricos'!I261</f>
        <v>11.804537863424434</v>
      </c>
      <c r="AA23" s="72">
        <f t="shared" si="3"/>
        <v>64.382020608770191</v>
      </c>
      <c r="AB23" s="3"/>
    </row>
    <row r="24" spans="1:28" ht="18" customHeight="1">
      <c r="A24" s="80">
        <v>16</v>
      </c>
      <c r="B24" s="76">
        <v>12.6</v>
      </c>
      <c r="C24" s="74">
        <f>'[1]cálculos teóricos'!K262</f>
        <v>1.0077243678484233</v>
      </c>
      <c r="D24" s="59">
        <f t="shared" si="4"/>
        <v>184.91752227262245</v>
      </c>
      <c r="E24" s="60">
        <f t="shared" si="5"/>
        <v>7.7421268225101558</v>
      </c>
      <c r="F24" s="61">
        <f t="shared" si="6"/>
        <v>10.006741008137697</v>
      </c>
      <c r="G24" s="62">
        <f>'[1]cálculos teóricos'!T262</f>
        <v>32.816686981362338</v>
      </c>
      <c r="H24" s="75">
        <f t="shared" si="7"/>
        <v>30.492843515315393</v>
      </c>
      <c r="I24" s="79"/>
      <c r="J24" s="81"/>
      <c r="K24" s="81"/>
      <c r="L24" s="81"/>
      <c r="M24" s="81">
        <v>0.2</v>
      </c>
      <c r="N24" s="81">
        <v>0.1</v>
      </c>
      <c r="O24" s="78"/>
      <c r="P24" s="82"/>
      <c r="Q24" s="81"/>
      <c r="R24" s="81"/>
      <c r="S24" s="81"/>
      <c r="T24" s="81"/>
      <c r="U24" s="81"/>
      <c r="V24" s="215"/>
      <c r="W24" s="59">
        <f t="shared" si="0"/>
        <v>0.30000000000000004</v>
      </c>
      <c r="X24" s="117">
        <f t="shared" si="2"/>
        <v>0</v>
      </c>
      <c r="Y24" s="70">
        <f t="shared" si="8"/>
        <v>0.30000000000000004</v>
      </c>
      <c r="Z24" s="71">
        <f>'[1]cálculos teóricos'!I262</f>
        <v>11.827041231838793</v>
      </c>
      <c r="AA24" s="72">
        <f t="shared" si="3"/>
        <v>2.5365600247709454</v>
      </c>
      <c r="AB24" s="3"/>
    </row>
    <row r="25" spans="1:28" ht="18" customHeight="1">
      <c r="A25" s="80">
        <v>17</v>
      </c>
      <c r="B25" s="76">
        <v>23.2</v>
      </c>
      <c r="C25" s="74">
        <f>'[1]cálculos teóricos'!K263</f>
        <v>1.0085766781091658</v>
      </c>
      <c r="D25" s="59">
        <f t="shared" si="4"/>
        <v>340.77102967811379</v>
      </c>
      <c r="E25" s="60">
        <f t="shared" si="5"/>
        <v>14.267401470563268</v>
      </c>
      <c r="F25" s="61">
        <f t="shared" si="6"/>
        <v>18.163334318204086</v>
      </c>
      <c r="G25" s="62">
        <f>'[1]cálculos teóricos'!T263</f>
        <v>33.001196632569247</v>
      </c>
      <c r="H25" s="75">
        <f t="shared" si="7"/>
        <v>55.038411244392542</v>
      </c>
      <c r="I25" s="79"/>
      <c r="J25" s="81"/>
      <c r="K25" s="81"/>
      <c r="L25" s="81">
        <v>0.4</v>
      </c>
      <c r="M25" s="81">
        <v>0.7</v>
      </c>
      <c r="N25" s="81">
        <v>1</v>
      </c>
      <c r="O25" s="78">
        <v>1</v>
      </c>
      <c r="P25" s="82">
        <v>1</v>
      </c>
      <c r="Q25" s="81">
        <v>1</v>
      </c>
      <c r="R25" s="81">
        <v>1</v>
      </c>
      <c r="S25" s="81">
        <v>0.6</v>
      </c>
      <c r="T25" s="81"/>
      <c r="U25" s="81"/>
      <c r="V25" s="215"/>
      <c r="W25" s="59">
        <f t="shared" si="0"/>
        <v>3.1</v>
      </c>
      <c r="X25" s="117">
        <f t="shared" si="2"/>
        <v>3.6</v>
      </c>
      <c r="Y25" s="70">
        <f t="shared" si="8"/>
        <v>6.7</v>
      </c>
      <c r="Z25" s="71">
        <f>'[1]cálculos teóricos'!I263</f>
        <v>11.849583107878678</v>
      </c>
      <c r="AA25" s="72">
        <f t="shared" si="3"/>
        <v>56.542073581856499</v>
      </c>
      <c r="AB25" s="3"/>
    </row>
    <row r="26" spans="1:28" ht="18" customHeight="1">
      <c r="A26" s="80">
        <v>18</v>
      </c>
      <c r="B26" s="76">
        <v>25.8</v>
      </c>
      <c r="C26" s="74">
        <f>'[1]cálculos teóricos'!K264</f>
        <v>1.0094210772585084</v>
      </c>
      <c r="D26" s="59">
        <f t="shared" si="4"/>
        <v>379.27815955328066</v>
      </c>
      <c r="E26" s="60">
        <f t="shared" si="5"/>
        <v>15.879617984176754</v>
      </c>
      <c r="F26" s="61">
        <f t="shared" si="6"/>
        <v>20.178604960220945</v>
      </c>
      <c r="G26" s="62">
        <f>'[1]cálculos teóricos'!T264</f>
        <v>33.185185119202401</v>
      </c>
      <c r="H26" s="75">
        <f t="shared" si="7"/>
        <v>60.806064175139163</v>
      </c>
      <c r="I26" s="79"/>
      <c r="J26" s="81"/>
      <c r="K26" s="81"/>
      <c r="L26" s="81">
        <v>0.1</v>
      </c>
      <c r="M26" s="81">
        <v>0.4</v>
      </c>
      <c r="N26" s="81">
        <v>0.9</v>
      </c>
      <c r="O26" s="78">
        <v>1</v>
      </c>
      <c r="P26" s="82">
        <v>1</v>
      </c>
      <c r="Q26" s="81">
        <v>1</v>
      </c>
      <c r="R26" s="81">
        <v>1</v>
      </c>
      <c r="S26" s="81">
        <v>0.9</v>
      </c>
      <c r="T26" s="81">
        <v>3</v>
      </c>
      <c r="U26" s="81"/>
      <c r="V26" s="215"/>
      <c r="W26" s="59">
        <f t="shared" si="0"/>
        <v>2.4</v>
      </c>
      <c r="X26" s="117">
        <f t="shared" si="2"/>
        <v>6.9</v>
      </c>
      <c r="Y26" s="70">
        <f t="shared" si="8"/>
        <v>9.3000000000000007</v>
      </c>
      <c r="Z26" s="71">
        <f>'[1]cálculos teóricos'!I264</f>
        <v>11.872160426606762</v>
      </c>
      <c r="AA26" s="72">
        <f t="shared" si="3"/>
        <v>78.334520978656272</v>
      </c>
      <c r="AB26" s="3"/>
    </row>
    <row r="27" spans="1:28" ht="18" customHeight="1">
      <c r="A27" s="80">
        <v>19</v>
      </c>
      <c r="B27" s="76">
        <v>26.3</v>
      </c>
      <c r="C27" s="74">
        <f>'[1]cálculos teóricos'!K265</f>
        <v>1.0102573077608699</v>
      </c>
      <c r="D27" s="59">
        <f t="shared" si="4"/>
        <v>386.94880453143378</v>
      </c>
      <c r="E27" s="60">
        <f t="shared" si="5"/>
        <v>16.200772548122071</v>
      </c>
      <c r="F27" s="61">
        <f t="shared" si="6"/>
        <v>20.58004816515259</v>
      </c>
      <c r="G27" s="62">
        <f>'[1]cálculos teóricos'!T265</f>
        <v>33.368594066304397</v>
      </c>
      <c r="H27" s="75">
        <f t="shared" si="7"/>
        <v>61.674903426435698</v>
      </c>
      <c r="I27" s="79"/>
      <c r="J27" s="81"/>
      <c r="K27" s="81">
        <v>0.5</v>
      </c>
      <c r="L27" s="81">
        <v>1</v>
      </c>
      <c r="M27" s="81">
        <v>0.9</v>
      </c>
      <c r="N27" s="81">
        <v>0.2</v>
      </c>
      <c r="O27" s="78">
        <v>1</v>
      </c>
      <c r="P27" s="82">
        <v>0.9</v>
      </c>
      <c r="Q27" s="81">
        <v>0.9</v>
      </c>
      <c r="R27" s="81">
        <v>0.1</v>
      </c>
      <c r="S27" s="81">
        <v>0.5</v>
      </c>
      <c r="T27" s="81">
        <v>0.4</v>
      </c>
      <c r="U27" s="81"/>
      <c r="V27" s="215"/>
      <c r="W27" s="59">
        <f t="shared" si="0"/>
        <v>3.6</v>
      </c>
      <c r="X27" s="117">
        <f t="shared" si="2"/>
        <v>2.8000000000000003</v>
      </c>
      <c r="Y27" s="70">
        <f t="shared" si="8"/>
        <v>6.4</v>
      </c>
      <c r="Z27" s="71">
        <f>'[1]cálculos teóricos'!I265</f>
        <v>11.894770140024326</v>
      </c>
      <c r="AA27" s="72">
        <f t="shared" si="3"/>
        <v>53.805159113288347</v>
      </c>
      <c r="AB27" s="3"/>
    </row>
    <row r="28" spans="1:28" ht="18" customHeight="1">
      <c r="A28" s="80">
        <v>20</v>
      </c>
      <c r="B28" s="76">
        <v>28.1</v>
      </c>
      <c r="C28" s="74">
        <f>'[1]cálculos teóricos'!K266</f>
        <v>1.0110851202358924</v>
      </c>
      <c r="D28" s="59">
        <f t="shared" si="4"/>
        <v>413.77076197440732</v>
      </c>
      <c r="E28" s="60">
        <f t="shared" si="5"/>
        <v>17.323754262344483</v>
      </c>
      <c r="F28" s="61">
        <f t="shared" si="6"/>
        <v>21.983775307930603</v>
      </c>
      <c r="G28" s="62">
        <f>'[1]cálculos teóricos'!T266</f>
        <v>33.551365750272652</v>
      </c>
      <c r="H28" s="75">
        <f t="shared" si="7"/>
        <v>65.522743460158424</v>
      </c>
      <c r="I28" s="79"/>
      <c r="J28" s="81">
        <v>0.3</v>
      </c>
      <c r="K28" s="81">
        <v>1</v>
      </c>
      <c r="L28" s="81">
        <v>1</v>
      </c>
      <c r="M28" s="81">
        <v>1</v>
      </c>
      <c r="N28" s="81">
        <v>1</v>
      </c>
      <c r="O28" s="78">
        <v>1</v>
      </c>
      <c r="P28" s="82">
        <v>1</v>
      </c>
      <c r="Q28" s="81">
        <v>1</v>
      </c>
      <c r="R28" s="81">
        <v>1</v>
      </c>
      <c r="S28" s="81">
        <v>0.9</v>
      </c>
      <c r="T28" s="81">
        <v>0.7</v>
      </c>
      <c r="U28" s="81"/>
      <c r="V28" s="215"/>
      <c r="W28" s="59">
        <f t="shared" si="0"/>
        <v>5.3</v>
      </c>
      <c r="X28" s="117">
        <f t="shared" si="2"/>
        <v>4.5999999999999996</v>
      </c>
      <c r="Y28" s="70">
        <f t="shared" si="8"/>
        <v>9.8999999999999986</v>
      </c>
      <c r="Z28" s="71">
        <f>'[1]cálculos teóricos'!I266</f>
        <v>11.917409210949348</v>
      </c>
      <c r="AA28" s="72">
        <f t="shared" si="3"/>
        <v>83.071746759389484</v>
      </c>
      <c r="AB28" s="3"/>
    </row>
    <row r="29" spans="1:28" ht="18" customHeight="1">
      <c r="A29" s="80">
        <v>21</v>
      </c>
      <c r="B29" s="76">
        <v>25.8</v>
      </c>
      <c r="C29" s="74">
        <f>'[1]cálculos teóricos'!K267</f>
        <v>1.0119042734782999</v>
      </c>
      <c r="D29" s="59">
        <f t="shared" si="4"/>
        <v>380.21119147947149</v>
      </c>
      <c r="E29" s="60">
        <f t="shared" si="5"/>
        <v>15.918682164862512</v>
      </c>
      <c r="F29" s="61">
        <f t="shared" si="6"/>
        <v>20.227435186078139</v>
      </c>
      <c r="G29" s="62">
        <f>'[1]cálculos teóricos'!T267</f>
        <v>33.733443117336968</v>
      </c>
      <c r="H29" s="75">
        <f t="shared" si="7"/>
        <v>59.962557381764718</v>
      </c>
      <c r="I29" s="79"/>
      <c r="J29" s="81">
        <v>0.4</v>
      </c>
      <c r="K29" s="81">
        <v>1</v>
      </c>
      <c r="L29" s="81">
        <v>1</v>
      </c>
      <c r="M29" s="81">
        <v>1</v>
      </c>
      <c r="N29" s="81">
        <v>1</v>
      </c>
      <c r="O29" s="78">
        <v>1</v>
      </c>
      <c r="P29" s="82">
        <v>1</v>
      </c>
      <c r="Q29" s="82">
        <v>1</v>
      </c>
      <c r="R29" s="82">
        <v>0.4</v>
      </c>
      <c r="S29" s="82">
        <v>0.3</v>
      </c>
      <c r="T29" s="81"/>
      <c r="U29" s="81"/>
      <c r="V29" s="215"/>
      <c r="W29" s="59">
        <f t="shared" si="0"/>
        <v>5.4</v>
      </c>
      <c r="X29" s="117">
        <f t="shared" si="2"/>
        <v>2.6999999999999997</v>
      </c>
      <c r="Y29" s="70">
        <f t="shared" si="8"/>
        <v>8.1</v>
      </c>
      <c r="Z29" s="71">
        <f>'[1]cálculos teóricos'!I267</f>
        <v>11.940074606843586</v>
      </c>
      <c r="AA29" s="72">
        <f t="shared" si="3"/>
        <v>67.838772090732121</v>
      </c>
      <c r="AB29" s="3"/>
    </row>
    <row r="30" spans="1:28" ht="18" customHeight="1">
      <c r="A30" s="80">
        <v>22</v>
      </c>
      <c r="B30" s="76">
        <v>4.5</v>
      </c>
      <c r="C30" s="74">
        <f>'[1]cálculos teóricos'!K268</f>
        <v>1.0127145344782673</v>
      </c>
      <c r="D30" s="59">
        <f t="shared" si="4"/>
        <v>66.36900655293411</v>
      </c>
      <c r="E30" s="60">
        <f t="shared" si="5"/>
        <v>2.7787375663582452</v>
      </c>
      <c r="F30" s="61">
        <f t="shared" si="6"/>
        <v>3.8025044379478068</v>
      </c>
      <c r="G30" s="62">
        <f>'[1]cálculos teóricos'!T268</f>
        <v>33.914769802376469</v>
      </c>
      <c r="H30" s="75">
        <f t="shared" si="7"/>
        <v>11.211942348732553</v>
      </c>
      <c r="I30" s="79"/>
      <c r="J30" s="81"/>
      <c r="K30" s="81"/>
      <c r="L30" s="81"/>
      <c r="M30" s="81"/>
      <c r="N30" s="81"/>
      <c r="O30" s="78"/>
      <c r="P30" s="82"/>
      <c r="Q30" s="81"/>
      <c r="R30" s="81"/>
      <c r="S30" s="81"/>
      <c r="T30" s="81"/>
      <c r="U30" s="81"/>
      <c r="V30" s="215"/>
      <c r="W30" s="59">
        <f t="shared" si="0"/>
        <v>0</v>
      </c>
      <c r="X30" s="117">
        <f t="shared" si="2"/>
        <v>0</v>
      </c>
      <c r="Y30" s="70">
        <f t="shared" si="8"/>
        <v>0</v>
      </c>
      <c r="Z30" s="71">
        <f>'[1]cálculos teóricos'!I268</f>
        <v>11.962763293595893</v>
      </c>
      <c r="AA30" s="72">
        <f t="shared" si="3"/>
        <v>0</v>
      </c>
      <c r="AB30" s="3"/>
    </row>
    <row r="31" spans="1:28" ht="18" customHeight="1">
      <c r="A31" s="80">
        <v>23</v>
      </c>
      <c r="B31" s="76">
        <v>11.3</v>
      </c>
      <c r="C31" s="74">
        <f>'[1]cálculos teóricos'!K269</f>
        <v>1.0135156784425661</v>
      </c>
      <c r="D31" s="59">
        <f t="shared" si="4"/>
        <v>166.79179208788091</v>
      </c>
      <c r="E31" s="60">
        <f t="shared" si="5"/>
        <v>6.9832387511353975</v>
      </c>
      <c r="F31" s="61">
        <f t="shared" si="6"/>
        <v>9.0581309189192467</v>
      </c>
      <c r="G31" s="62">
        <f>'[1]cálculos teóricos'!T269</f>
        <v>34.095290148107495</v>
      </c>
      <c r="H31" s="75">
        <f t="shared" si="7"/>
        <v>26.567103196867883</v>
      </c>
      <c r="I31" s="79"/>
      <c r="J31" s="81"/>
      <c r="K31" s="81"/>
      <c r="L31" s="81"/>
      <c r="M31" s="81"/>
      <c r="N31" s="81"/>
      <c r="O31" s="78"/>
      <c r="P31" s="82">
        <v>0.2</v>
      </c>
      <c r="Q31" s="81"/>
      <c r="R31" s="81"/>
      <c r="S31" s="81"/>
      <c r="T31" s="81"/>
      <c r="U31" s="81"/>
      <c r="V31" s="215"/>
      <c r="W31" s="59">
        <f t="shared" si="0"/>
        <v>0</v>
      </c>
      <c r="X31" s="117">
        <f t="shared" si="2"/>
        <v>0.2</v>
      </c>
      <c r="Y31" s="70">
        <f t="shared" si="8"/>
        <v>0.2</v>
      </c>
      <c r="Z31" s="71">
        <f>'[1]cálculos teóricos'!I269</f>
        <v>11.985472229268808</v>
      </c>
      <c r="AA31" s="72">
        <f t="shared" si="3"/>
        <v>1.6686868583416785</v>
      </c>
      <c r="AB31" s="3"/>
    </row>
    <row r="32" spans="1:28" ht="18" customHeight="1">
      <c r="A32" s="80">
        <v>24</v>
      </c>
      <c r="B32" s="76">
        <v>8.8000000000000007</v>
      </c>
      <c r="C32" s="74">
        <f>'[1]cálculos teóricos'!K270</f>
        <v>1.0143074888166961</v>
      </c>
      <c r="D32" s="59">
        <f t="shared" si="4"/>
        <v>129.9924305977612</v>
      </c>
      <c r="E32" s="60">
        <f t="shared" si="5"/>
        <v>5.4425230842670658</v>
      </c>
      <c r="F32" s="61">
        <f t="shared" si="6"/>
        <v>7.1322363353338325</v>
      </c>
      <c r="G32" s="62">
        <f>'[1]cálculos teóricos'!T270</f>
        <v>34.274949224668816</v>
      </c>
      <c r="H32" s="75">
        <f t="shared" si="7"/>
        <v>20.808889572914453</v>
      </c>
      <c r="I32" s="79"/>
      <c r="J32" s="81"/>
      <c r="K32" s="81"/>
      <c r="L32" s="81"/>
      <c r="M32" s="81"/>
      <c r="N32" s="81"/>
      <c r="O32" s="78"/>
      <c r="P32" s="82"/>
      <c r="Q32" s="81"/>
      <c r="R32" s="81"/>
      <c r="S32" s="81"/>
      <c r="T32" s="81"/>
      <c r="U32" s="81"/>
      <c r="V32" s="215"/>
      <c r="W32" s="59">
        <f t="shared" si="0"/>
        <v>0</v>
      </c>
      <c r="X32" s="117">
        <f t="shared" si="2"/>
        <v>0</v>
      </c>
      <c r="Y32" s="70">
        <f t="shared" si="8"/>
        <v>0</v>
      </c>
      <c r="Z32" s="71">
        <f>'[1]cálculos teóricos'!I270</f>
        <v>12.008198357815731</v>
      </c>
      <c r="AA32" s="72">
        <f t="shared" si="3"/>
        <v>0</v>
      </c>
      <c r="AB32" s="3"/>
    </row>
    <row r="33" spans="1:28" ht="18" customHeight="1">
      <c r="A33" s="80">
        <v>25</v>
      </c>
      <c r="B33" s="76">
        <v>9.9</v>
      </c>
      <c r="C33" s="74">
        <f>'[1]cálculos teóricos'!K271</f>
        <v>1.0150897573081683</v>
      </c>
      <c r="D33" s="59">
        <f t="shared" si="4"/>
        <v>146.35427083751935</v>
      </c>
      <c r="E33" s="60">
        <f t="shared" si="5"/>
        <v>6.1275606114252605</v>
      </c>
      <c r="F33" s="61">
        <f t="shared" si="6"/>
        <v>7.9885332442815766</v>
      </c>
      <c r="G33" s="62">
        <f>'[1]cálculos teóricos'!T271</f>
        <v>34.453692849623536</v>
      </c>
      <c r="H33" s="75">
        <f t="shared" si="7"/>
        <v>23.186290303185494</v>
      </c>
      <c r="I33" s="154"/>
      <c r="J33" s="81"/>
      <c r="K33" s="81"/>
      <c r="L33" s="81"/>
      <c r="M33" s="81"/>
      <c r="N33" s="81"/>
      <c r="O33" s="78"/>
      <c r="P33" s="82"/>
      <c r="Q33" s="81"/>
      <c r="R33" s="81"/>
      <c r="S33" s="81"/>
      <c r="T33" s="81"/>
      <c r="U33" s="81"/>
      <c r="V33" s="215"/>
      <c r="W33" s="59">
        <f t="shared" si="0"/>
        <v>0</v>
      </c>
      <c r="X33" s="117">
        <f t="shared" si="2"/>
        <v>0</v>
      </c>
      <c r="Y33" s="70">
        <f t="shared" si="8"/>
        <v>0</v>
      </c>
      <c r="Z33" s="71">
        <f>'[1]cálculos teóricos'!I271</f>
        <v>12.030938602775587</v>
      </c>
      <c r="AA33" s="72">
        <f t="shared" si="3"/>
        <v>0</v>
      </c>
      <c r="AB33" s="3"/>
    </row>
    <row r="34" spans="1:28" ht="18" customHeight="1">
      <c r="A34" s="80">
        <v>26</v>
      </c>
      <c r="B34" s="76">
        <v>23.2</v>
      </c>
      <c r="C34" s="74">
        <f>'[1]cálculos teóricos'!K272</f>
        <v>1.0158622839110589</v>
      </c>
      <c r="D34" s="59">
        <f t="shared" si="4"/>
        <v>343.23264062433799</v>
      </c>
      <c r="E34" s="60">
        <f t="shared" si="5"/>
        <v>14.370464197659782</v>
      </c>
      <c r="F34" s="61">
        <f t="shared" si="6"/>
        <v>18.292162727074729</v>
      </c>
      <c r="G34" s="62">
        <f>'[1]cálculos teóricos'!T272</f>
        <v>34.631467608390317</v>
      </c>
      <c r="H34" s="75">
        <f t="shared" si="7"/>
        <v>52.819484677695286</v>
      </c>
      <c r="I34" s="154"/>
      <c r="J34" s="81"/>
      <c r="K34" s="81"/>
      <c r="L34" s="81"/>
      <c r="M34" s="81">
        <v>0.1</v>
      </c>
      <c r="N34" s="81">
        <v>0.1</v>
      </c>
      <c r="O34" s="78">
        <v>0.6</v>
      </c>
      <c r="P34" s="82">
        <v>1</v>
      </c>
      <c r="Q34" s="81">
        <v>1</v>
      </c>
      <c r="R34" s="81">
        <v>1</v>
      </c>
      <c r="S34" s="81">
        <v>1</v>
      </c>
      <c r="T34" s="81">
        <v>0.7</v>
      </c>
      <c r="U34" s="81"/>
      <c r="V34" s="215"/>
      <c r="W34" s="59">
        <f t="shared" si="0"/>
        <v>0.8</v>
      </c>
      <c r="X34" s="117">
        <f t="shared" si="2"/>
        <v>4.7</v>
      </c>
      <c r="Y34" s="70">
        <f t="shared" si="8"/>
        <v>5.5</v>
      </c>
      <c r="Z34" s="71">
        <f>'[1]cálculos teóricos'!I272</f>
        <v>12.053689860952399</v>
      </c>
      <c r="AA34" s="72">
        <f t="shared" si="3"/>
        <v>45.629181300052366</v>
      </c>
      <c r="AB34" s="3"/>
    </row>
    <row r="35" spans="1:28" ht="18" customHeight="1">
      <c r="A35" s="80">
        <v>27</v>
      </c>
      <c r="B35" s="76">
        <v>31.6</v>
      </c>
      <c r="C35" s="74">
        <f>'[1]cálculos teóricos'!K273</f>
        <v>1.0166248769318984</v>
      </c>
      <c r="D35" s="59">
        <f t="shared" si="4"/>
        <v>467.85747808824743</v>
      </c>
      <c r="E35" s="60">
        <f t="shared" si="5"/>
        <v>19.588256892598743</v>
      </c>
      <c r="F35" s="61">
        <f t="shared" si="6"/>
        <v>24.814403595748431</v>
      </c>
      <c r="G35" s="62">
        <f>'[1]cálculos teóricos'!T273</f>
        <v>34.808220875109512</v>
      </c>
      <c r="H35" s="75">
        <f t="shared" si="7"/>
        <v>71.288916732577363</v>
      </c>
      <c r="I35" s="154"/>
      <c r="J35" s="81">
        <v>0.4</v>
      </c>
      <c r="K35" s="81">
        <v>0.8</v>
      </c>
      <c r="L35" s="81">
        <v>1</v>
      </c>
      <c r="M35" s="81">
        <v>1</v>
      </c>
      <c r="N35" s="81">
        <v>1</v>
      </c>
      <c r="O35" s="78">
        <v>1</v>
      </c>
      <c r="P35" s="82">
        <v>1</v>
      </c>
      <c r="Q35" s="81">
        <v>1</v>
      </c>
      <c r="R35" s="81">
        <v>1</v>
      </c>
      <c r="S35" s="81">
        <v>1</v>
      </c>
      <c r="T35" s="81">
        <v>1</v>
      </c>
      <c r="U35" s="81">
        <v>0.2</v>
      </c>
      <c r="V35" s="215"/>
      <c r="W35" s="59">
        <f t="shared" si="0"/>
        <v>5.2</v>
      </c>
      <c r="X35" s="117">
        <f t="shared" si="2"/>
        <v>5.2</v>
      </c>
      <c r="Y35" s="70">
        <f t="shared" si="8"/>
        <v>10.4</v>
      </c>
      <c r="Z35" s="71">
        <f>'[1]cálculos teóricos'!I273</f>
        <v>12.076448996086873</v>
      </c>
      <c r="AA35" s="72">
        <f t="shared" si="3"/>
        <v>86.118030253511677</v>
      </c>
      <c r="AB35" s="3"/>
    </row>
    <row r="36" spans="1:28" ht="18" customHeight="1">
      <c r="A36" s="80">
        <v>28</v>
      </c>
      <c r="B36" s="76">
        <v>25</v>
      </c>
      <c r="C36" s="74">
        <f>'[1]cálculos teóricos'!K274</f>
        <v>1.0173773530169188</v>
      </c>
      <c r="D36" s="59">
        <f t="shared" si="4"/>
        <v>370.41437701654746</v>
      </c>
      <c r="E36" s="60">
        <f t="shared" si="5"/>
        <v>15.508509136928808</v>
      </c>
      <c r="F36" s="61">
        <f t="shared" si="6"/>
        <v>19.71471890116101</v>
      </c>
      <c r="G36" s="62">
        <f>'[1]cálculos teóricos'!T274</f>
        <v>34.983900833942378</v>
      </c>
      <c r="H36" s="75">
        <f t="shared" si="7"/>
        <v>56.353689643532341</v>
      </c>
      <c r="I36" s="154"/>
      <c r="J36" s="81">
        <v>0.4</v>
      </c>
      <c r="K36" s="81">
        <v>1</v>
      </c>
      <c r="L36" s="81">
        <v>1</v>
      </c>
      <c r="M36" s="81">
        <v>0.7</v>
      </c>
      <c r="N36" s="81">
        <v>1</v>
      </c>
      <c r="O36" s="78">
        <v>0.8</v>
      </c>
      <c r="P36" s="82">
        <v>1</v>
      </c>
      <c r="Q36" s="81">
        <v>0.5</v>
      </c>
      <c r="R36" s="81"/>
      <c r="S36" s="81"/>
      <c r="T36" s="81"/>
      <c r="U36" s="81"/>
      <c r="V36" s="215"/>
      <c r="W36" s="59">
        <f t="shared" si="0"/>
        <v>4.8999999999999995</v>
      </c>
      <c r="X36" s="117">
        <f t="shared" si="2"/>
        <v>1.5</v>
      </c>
      <c r="Y36" s="70">
        <f t="shared" si="8"/>
        <v>6.3999999999999995</v>
      </c>
      <c r="Z36" s="71">
        <f>'[1]cálculos teóricos'!I274</f>
        <v>12.099212832527423</v>
      </c>
      <c r="AA36" s="72">
        <f t="shared" si="3"/>
        <v>52.89600314157871</v>
      </c>
      <c r="AB36" s="3"/>
    </row>
    <row r="37" spans="1:28" ht="18" customHeight="1">
      <c r="A37" s="85">
        <v>29</v>
      </c>
      <c r="B37" s="76">
        <v>31.1</v>
      </c>
      <c r="C37" s="74">
        <f>'[1]cálculos teóricos'!K275</f>
        <v>1.0181195371806306</v>
      </c>
      <c r="D37" s="59">
        <f t="shared" si="4"/>
        <v>461.13163865960661</v>
      </c>
      <c r="E37" s="60">
        <f t="shared" si="5"/>
        <v>19.30665944740041</v>
      </c>
      <c r="F37" s="61">
        <f t="shared" si="6"/>
        <v>24.462406789250512</v>
      </c>
      <c r="G37" s="62">
        <f>'[1]cálculos teóricos'!T275</f>
        <v>35.158456500793754</v>
      </c>
      <c r="H37" s="75">
        <f t="shared" si="7"/>
        <v>69.577590212750778</v>
      </c>
      <c r="I37" s="79"/>
      <c r="J37" s="81">
        <v>0.5</v>
      </c>
      <c r="K37" s="81">
        <v>1</v>
      </c>
      <c r="L37" s="81">
        <v>1</v>
      </c>
      <c r="M37" s="81">
        <v>1</v>
      </c>
      <c r="N37" s="81">
        <v>1</v>
      </c>
      <c r="O37" s="78">
        <v>1</v>
      </c>
      <c r="P37" s="82">
        <v>1</v>
      </c>
      <c r="Q37" s="81">
        <v>1</v>
      </c>
      <c r="R37" s="81">
        <v>1</v>
      </c>
      <c r="S37" s="81">
        <v>1</v>
      </c>
      <c r="T37" s="81">
        <v>1</v>
      </c>
      <c r="U37" s="81">
        <v>0.3</v>
      </c>
      <c r="V37" s="215"/>
      <c r="W37" s="59">
        <f t="shared" si="0"/>
        <v>5.5</v>
      </c>
      <c r="X37" s="117">
        <f t="shared" si="2"/>
        <v>5.3</v>
      </c>
      <c r="Y37" s="70">
        <f t="shared" si="8"/>
        <v>10.8</v>
      </c>
      <c r="Z37" s="71">
        <f>'[1]cálculos teóricos'!I275</f>
        <v>12.121978148908402</v>
      </c>
      <c r="AA37" s="72">
        <f t="shared" si="3"/>
        <v>89.094369477745275</v>
      </c>
      <c r="AB37" s="3"/>
    </row>
    <row r="38" spans="1:28" ht="18" customHeight="1">
      <c r="A38" s="80">
        <v>30</v>
      </c>
      <c r="B38" s="76">
        <v>31.1</v>
      </c>
      <c r="C38" s="74">
        <f>'[1]cálculos teóricos'!K276</f>
        <v>1.018851262835645</v>
      </c>
      <c r="D38" s="59">
        <f t="shared" si="4"/>
        <v>461.46305539214507</v>
      </c>
      <c r="E38" s="60">
        <f t="shared" si="5"/>
        <v>19.320535203158329</v>
      </c>
      <c r="F38" s="61">
        <f t="shared" si="6"/>
        <v>24.479751483947911</v>
      </c>
      <c r="G38" s="62">
        <f>'[1]cálculos teóricos'!T276</f>
        <v>35.331837745441064</v>
      </c>
      <c r="H38" s="75">
        <f t="shared" si="7"/>
        <v>69.28524822376832</v>
      </c>
      <c r="I38" s="79"/>
      <c r="J38" s="81">
        <v>0.5</v>
      </c>
      <c r="K38" s="81">
        <v>1</v>
      </c>
      <c r="L38" s="81">
        <v>1</v>
      </c>
      <c r="M38" s="81">
        <v>1</v>
      </c>
      <c r="N38" s="81">
        <v>1</v>
      </c>
      <c r="O38" s="78">
        <v>1</v>
      </c>
      <c r="P38" s="82">
        <v>1</v>
      </c>
      <c r="Q38" s="81">
        <v>1</v>
      </c>
      <c r="R38" s="81">
        <v>1</v>
      </c>
      <c r="S38" s="81">
        <v>0.6</v>
      </c>
      <c r="T38" s="81">
        <v>0.3</v>
      </c>
      <c r="U38" s="81"/>
      <c r="V38" s="215"/>
      <c r="W38" s="59">
        <f t="shared" si="0"/>
        <v>5.5</v>
      </c>
      <c r="X38" s="117">
        <f t="shared" si="2"/>
        <v>3.9</v>
      </c>
      <c r="Y38" s="70">
        <f t="shared" si="8"/>
        <v>9.4</v>
      </c>
      <c r="Z38" s="71">
        <f>'[1]cálculos teóricos'!I276</f>
        <v>12.144741671843036</v>
      </c>
      <c r="AA38" s="72">
        <f t="shared" si="3"/>
        <v>77.39975253482271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1"/>
      <c r="K39" s="81"/>
      <c r="L39" s="81"/>
      <c r="M39" s="81"/>
      <c r="N39" s="81"/>
      <c r="O39" s="95"/>
      <c r="P39" s="82"/>
      <c r="Q39" s="81"/>
      <c r="R39" s="81"/>
      <c r="S39" s="81"/>
      <c r="T39" s="81"/>
      <c r="U39" s="81"/>
      <c r="V39" s="216"/>
      <c r="W39" s="59"/>
      <c r="X39" s="89"/>
      <c r="Y39" s="217"/>
      <c r="Z39" s="187"/>
      <c r="AA39" s="128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</v>
      </c>
      <c r="J40" s="104">
        <f t="shared" ref="J40:AA40" si="9">SUM(J9:J39)</f>
        <v>5.4</v>
      </c>
      <c r="K40" s="104">
        <f t="shared" si="9"/>
        <v>13.200000000000001</v>
      </c>
      <c r="L40" s="104">
        <f t="shared" si="9"/>
        <v>15.9</v>
      </c>
      <c r="M40" s="104">
        <f t="shared" si="9"/>
        <v>17.8</v>
      </c>
      <c r="N40" s="104">
        <f t="shared" si="9"/>
        <v>19.199999999999996</v>
      </c>
      <c r="O40" s="104">
        <f t="shared" si="9"/>
        <v>20.8</v>
      </c>
      <c r="P40" s="104">
        <f t="shared" si="9"/>
        <v>20.700000000000003</v>
      </c>
      <c r="Q40" s="104">
        <f t="shared" si="9"/>
        <v>19.399999999999999</v>
      </c>
      <c r="R40" s="104">
        <f t="shared" si="9"/>
        <v>17.100000000000001</v>
      </c>
      <c r="S40" s="104">
        <f t="shared" si="9"/>
        <v>15.600000000000001</v>
      </c>
      <c r="T40" s="104">
        <f t="shared" si="9"/>
        <v>13.9</v>
      </c>
      <c r="U40" s="104">
        <f t="shared" si="9"/>
        <v>1.5</v>
      </c>
      <c r="V40" s="104">
        <f t="shared" si="9"/>
        <v>0</v>
      </c>
      <c r="W40" s="104">
        <f>SUM(I40:O40)</f>
        <v>92.3</v>
      </c>
      <c r="X40" s="104">
        <f>SUM(P40:V40)</f>
        <v>88.200000000000017</v>
      </c>
      <c r="Y40" s="104">
        <f>W40+X40</f>
        <v>180.5</v>
      </c>
      <c r="Z40" s="104">
        <f t="shared" si="9"/>
        <v>354.51886153317855</v>
      </c>
      <c r="AA40" s="104">
        <f t="shared" si="9"/>
        <v>1529.8218736920162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2" width="12.7109375" style="8" customWidth="1"/>
    <col min="3" max="3" width="13.42578125" style="8" customWidth="1"/>
    <col min="4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74</v>
      </c>
      <c r="B1" s="2"/>
      <c r="C1" s="3"/>
      <c r="D1" s="4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9" t="s">
        <v>60</v>
      </c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9" t="s">
        <v>5</v>
      </c>
      <c r="X3" s="3"/>
      <c r="Y3" s="3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0"/>
      <c r="X4" s="3"/>
      <c r="Y4" s="109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11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21.7</v>
      </c>
      <c r="C9" s="74">
        <f>'[1]cálculos teóricos'!K277</f>
        <v>1.01957237182362</v>
      </c>
      <c r="D9" s="59">
        <f>IF(B9&gt;0,B9*C9*14.25*1.022,-999)</f>
        <v>322.21336654405644</v>
      </c>
      <c r="E9" s="60">
        <f>IF(B9&gt;0,D9*4.1868/100,-999)</f>
        <v>13.490429230466555</v>
      </c>
      <c r="F9" s="61">
        <f>IF(B9&gt;0,(7.86+1.25*D9)*4.1868/100,-999)</f>
        <v>17.192119018083194</v>
      </c>
      <c r="G9" s="62">
        <f>'[1]cálculos teóricos'!T277</f>
        <v>35.503995314044545</v>
      </c>
      <c r="H9" s="63">
        <f>IF(B9&gt;0,100*F9/G9,-999)</f>
        <v>48.423054549250679</v>
      </c>
      <c r="I9" s="64"/>
      <c r="J9" s="64">
        <v>0.1</v>
      </c>
      <c r="K9" s="64">
        <v>0.5</v>
      </c>
      <c r="L9" s="64">
        <v>1</v>
      </c>
      <c r="M9" s="64">
        <v>1</v>
      </c>
      <c r="N9" s="64">
        <v>1</v>
      </c>
      <c r="O9" s="65">
        <v>0.9</v>
      </c>
      <c r="P9" s="79">
        <v>0.5</v>
      </c>
      <c r="Q9" s="76"/>
      <c r="R9" s="76"/>
      <c r="S9" s="76"/>
      <c r="T9" s="82"/>
      <c r="U9" s="64"/>
      <c r="V9" s="65"/>
      <c r="W9" s="117">
        <f t="shared" ref="W9:W40" si="0">SUM(I9:O9)</f>
        <v>4.5</v>
      </c>
      <c r="X9" s="117">
        <f>SUM(P9:V9)</f>
        <v>0.5</v>
      </c>
      <c r="Y9" s="118">
        <f>W9+X9</f>
        <v>5</v>
      </c>
      <c r="Z9" s="71">
        <f>'[1]cálculos teóricos'!I277</f>
        <v>12.167500069639472</v>
      </c>
      <c r="AA9" s="72">
        <f>100*Y9/Z9</f>
        <v>41.093075581532766</v>
      </c>
      <c r="AB9" s="3"/>
    </row>
    <row r="10" spans="1:28" ht="18" customHeight="1">
      <c r="A10" s="111">
        <v>2</v>
      </c>
      <c r="B10" s="57">
        <v>7.8</v>
      </c>
      <c r="C10" s="74">
        <f>'[1]cálculos teóricos'!K278</f>
        <v>1.020282714447148</v>
      </c>
      <c r="D10" s="59">
        <f>IF(B10&gt;0,B10*C10*14.25*1.022,-999)</f>
        <v>115.89932103243811</v>
      </c>
      <c r="E10" s="60">
        <f>IF(B10&gt;0,D10*4.1868/100,-999)</f>
        <v>4.8524727729861183</v>
      </c>
      <c r="F10" s="61">
        <f>IF(B10&gt;0,(7.86+1.25*D10)*4.1868/100,-999)</f>
        <v>6.3946734462326491</v>
      </c>
      <c r="G10" s="62">
        <f>'[1]cálculos teóricos'!T278</f>
        <v>35.67488085200516</v>
      </c>
      <c r="H10" s="75">
        <f>IF(B10&gt;0,100*F10/G10,-999)</f>
        <v>17.924862798450601</v>
      </c>
      <c r="I10" s="57"/>
      <c r="J10" s="76"/>
      <c r="K10" s="76"/>
      <c r="L10" s="76"/>
      <c r="M10" s="76"/>
      <c r="N10" s="76"/>
      <c r="O10" s="77"/>
      <c r="P10" s="79"/>
      <c r="Q10" s="76"/>
      <c r="R10" s="76"/>
      <c r="S10" s="76"/>
      <c r="T10" s="82"/>
      <c r="U10" s="82"/>
      <c r="V10" s="78"/>
      <c r="W10" s="117">
        <f t="shared" si="0"/>
        <v>0</v>
      </c>
      <c r="X10" s="117">
        <f t="shared" ref="X10:X39" si="1">SUM(P10:V10)</f>
        <v>0</v>
      </c>
      <c r="Y10" s="70">
        <f t="shared" ref="Y10:Y29" si="2">W10+X10</f>
        <v>0</v>
      </c>
      <c r="Z10" s="71">
        <f>'[1]cálculos teóricos'!I278</f>
        <v>12.190249946048064</v>
      </c>
      <c r="AA10" s="72">
        <f t="shared" ref="AA10:AA39" si="3">100*Y10/Z10</f>
        <v>0</v>
      </c>
      <c r="AB10" s="3"/>
    </row>
    <row r="11" spans="1:28" ht="18" customHeight="1">
      <c r="A11" s="111">
        <v>3</v>
      </c>
      <c r="B11" s="57">
        <v>23</v>
      </c>
      <c r="C11" s="74">
        <f>'[1]cálculos teóricos'!K279</f>
        <v>1.0209821495023679</v>
      </c>
      <c r="D11" s="59">
        <f t="shared" ref="D11:D39" si="4">IF(B11&gt;0,B11*C11*14.25*1.022,-999)</f>
        <v>341.98869128838788</v>
      </c>
      <c r="E11" s="60">
        <f t="shared" ref="E11:E39" si="5">IF(B11&gt;0,D11*4.1868/100,-999)</f>
        <v>14.318382526862225</v>
      </c>
      <c r="F11" s="61">
        <f t="shared" ref="F11:F39" si="6">IF(B11&gt;0,(7.86+1.25*D11)*4.1868/100,-999)</f>
        <v>18.227060638577779</v>
      </c>
      <c r="G11" s="62">
        <f>'[1]cálculos teóricos'!T279</f>
        <v>35.84444692712988</v>
      </c>
      <c r="H11" s="75">
        <f t="shared" ref="H11:H39" si="7">IF(B11&gt;0,100*F11/G11,-999)</f>
        <v>50.850444632700174</v>
      </c>
      <c r="I11" s="57"/>
      <c r="J11" s="76"/>
      <c r="K11" s="76">
        <v>0.3</v>
      </c>
      <c r="L11" s="76">
        <v>0.2</v>
      </c>
      <c r="M11" s="76">
        <v>0.3</v>
      </c>
      <c r="N11" s="76"/>
      <c r="O11" s="77">
        <v>0.3</v>
      </c>
      <c r="P11" s="79">
        <v>1</v>
      </c>
      <c r="Q11" s="76">
        <v>1</v>
      </c>
      <c r="R11" s="76">
        <v>0.4</v>
      </c>
      <c r="S11" s="76"/>
      <c r="T11" s="82"/>
      <c r="U11" s="82"/>
      <c r="V11" s="78"/>
      <c r="W11" s="117">
        <f t="shared" si="0"/>
        <v>1.1000000000000001</v>
      </c>
      <c r="X11" s="117">
        <f t="shared" si="1"/>
        <v>2.4</v>
      </c>
      <c r="Y11" s="70">
        <f t="shared" si="2"/>
        <v>3.5</v>
      </c>
      <c r="Z11" s="71">
        <f>'[1]cálculos teóricos'!I279</f>
        <v>12.212987834048798</v>
      </c>
      <c r="AA11" s="72">
        <f t="shared" si="3"/>
        <v>28.658015938100668</v>
      </c>
      <c r="AB11" s="3"/>
    </row>
    <row r="12" spans="1:28" ht="18" customHeight="1">
      <c r="A12" s="111">
        <v>4</v>
      </c>
      <c r="B12" s="57">
        <v>9.8000000000000007</v>
      </c>
      <c r="C12" s="74">
        <f>'[1]cálculos teóricos'!K280</f>
        <v>1.0216705443120255</v>
      </c>
      <c r="D12" s="59">
        <f t="shared" si="4"/>
        <v>145.81516992646422</v>
      </c>
      <c r="E12" s="60">
        <f t="shared" si="5"/>
        <v>6.1049895344812031</v>
      </c>
      <c r="F12" s="61">
        <f t="shared" si="6"/>
        <v>7.9603193981015057</v>
      </c>
      <c r="G12" s="62">
        <f>'[1]cálculos teóricos'!T280</f>
        <v>36.012647053054536</v>
      </c>
      <c r="H12" s="75">
        <f t="shared" si="7"/>
        <v>22.104232955645298</v>
      </c>
      <c r="I12" s="57"/>
      <c r="J12" s="76"/>
      <c r="K12" s="76"/>
      <c r="L12" s="76"/>
      <c r="M12" s="76"/>
      <c r="N12" s="76"/>
      <c r="O12" s="77"/>
      <c r="P12" s="79"/>
      <c r="Q12" s="79"/>
      <c r="R12" s="76"/>
      <c r="S12" s="76"/>
      <c r="T12" s="82"/>
      <c r="U12" s="82"/>
      <c r="V12" s="78"/>
      <c r="W12" s="117">
        <f t="shared" si="0"/>
        <v>0</v>
      </c>
      <c r="X12" s="117">
        <f t="shared" si="1"/>
        <v>0</v>
      </c>
      <c r="Y12" s="70">
        <f t="shared" si="2"/>
        <v>0</v>
      </c>
      <c r="Z12" s="71">
        <f>'[1]cálculos teóricos'!I280</f>
        <v>12.235710189687937</v>
      </c>
      <c r="AA12" s="72">
        <f t="shared" si="3"/>
        <v>0</v>
      </c>
      <c r="AB12" s="3"/>
    </row>
    <row r="13" spans="1:28" ht="18" customHeight="1">
      <c r="A13" s="73">
        <v>5</v>
      </c>
      <c r="B13" s="57">
        <v>32.4</v>
      </c>
      <c r="C13" s="74">
        <f>'[1]cálculos teóricos'!K281</f>
        <v>1.0223477747586711</v>
      </c>
      <c r="D13" s="59">
        <f t="shared" si="4"/>
        <v>482.40236289341215</v>
      </c>
      <c r="E13" s="60">
        <f t="shared" si="5"/>
        <v>20.19722212962138</v>
      </c>
      <c r="F13" s="61">
        <f t="shared" si="6"/>
        <v>25.575610142026722</v>
      </c>
      <c r="G13" s="62">
        <f>'[1]cálculos teóricos'!T281</f>
        <v>36.179435712867594</v>
      </c>
      <c r="H13" s="75">
        <f t="shared" si="7"/>
        <v>70.691014489566754</v>
      </c>
      <c r="I13" s="57"/>
      <c r="J13" s="76">
        <v>0.5</v>
      </c>
      <c r="K13" s="76">
        <v>1</v>
      </c>
      <c r="L13" s="76">
        <v>1</v>
      </c>
      <c r="M13" s="76">
        <v>1</v>
      </c>
      <c r="N13" s="76">
        <v>1</v>
      </c>
      <c r="O13" s="77">
        <v>1</v>
      </c>
      <c r="P13" s="79">
        <v>1</v>
      </c>
      <c r="Q13" s="79">
        <v>1</v>
      </c>
      <c r="R13" s="76">
        <v>1</v>
      </c>
      <c r="S13" s="76">
        <v>1</v>
      </c>
      <c r="T13" s="82">
        <v>1</v>
      </c>
      <c r="U13" s="82">
        <v>0.3</v>
      </c>
      <c r="V13" s="78"/>
      <c r="W13" s="117">
        <f t="shared" si="0"/>
        <v>5.5</v>
      </c>
      <c r="X13" s="117">
        <f t="shared" si="1"/>
        <v>5.3</v>
      </c>
      <c r="Y13" s="70">
        <f t="shared" si="2"/>
        <v>10.8</v>
      </c>
      <c r="Z13" s="71">
        <f>'[1]cálculos teóricos'!I281</f>
        <v>12.25841338597343</v>
      </c>
      <c r="AA13" s="72">
        <f t="shared" si="3"/>
        <v>88.102755715171057</v>
      </c>
      <c r="AB13" s="3"/>
    </row>
    <row r="14" spans="1:28" ht="18" customHeight="1">
      <c r="A14" s="73">
        <v>6</v>
      </c>
      <c r="B14" s="57">
        <v>28</v>
      </c>
      <c r="C14" s="74">
        <f>'[1]cálculos teóricos'!K282</f>
        <v>1.0230137253176346</v>
      </c>
      <c r="D14" s="59">
        <f t="shared" si="4"/>
        <v>417.16249088257439</v>
      </c>
      <c r="E14" s="60">
        <f t="shared" si="5"/>
        <v>17.465759168271624</v>
      </c>
      <c r="F14" s="61">
        <f t="shared" si="6"/>
        <v>22.161281440339529</v>
      </c>
      <c r="G14" s="62">
        <f>'[1]cálculos teóricos'!T282</f>
        <v>36.344768382870527</v>
      </c>
      <c r="H14" s="75">
        <f t="shared" si="7"/>
        <v>60.975162111046096</v>
      </c>
      <c r="I14" s="57"/>
      <c r="J14" s="76">
        <v>0.5</v>
      </c>
      <c r="K14" s="76">
        <v>1</v>
      </c>
      <c r="L14" s="76">
        <v>1</v>
      </c>
      <c r="M14" s="76">
        <v>1</v>
      </c>
      <c r="N14" s="76">
        <v>1</v>
      </c>
      <c r="O14" s="77">
        <v>1</v>
      </c>
      <c r="P14" s="79">
        <v>1</v>
      </c>
      <c r="Q14" s="82">
        <v>0.7</v>
      </c>
      <c r="R14" s="82">
        <v>0.2</v>
      </c>
      <c r="S14" s="82">
        <v>0.2</v>
      </c>
      <c r="T14" s="82"/>
      <c r="U14" s="82"/>
      <c r="V14" s="78"/>
      <c r="W14" s="117">
        <f t="shared" si="0"/>
        <v>5.5</v>
      </c>
      <c r="X14" s="117">
        <f t="shared" si="1"/>
        <v>2.1</v>
      </c>
      <c r="Y14" s="70">
        <f t="shared" si="2"/>
        <v>7.6</v>
      </c>
      <c r="Z14" s="71">
        <f>'[1]cálculos teóricos'!I282</f>
        <v>12.281093706839203</v>
      </c>
      <c r="AA14" s="72">
        <f t="shared" si="3"/>
        <v>61.883739196352238</v>
      </c>
      <c r="AB14" s="3"/>
    </row>
    <row r="15" spans="1:28" ht="18" customHeight="1">
      <c r="A15" s="73">
        <v>7</v>
      </c>
      <c r="B15" s="57">
        <v>10.1</v>
      </c>
      <c r="C15" s="74">
        <f>'[1]cálculos teóricos'!K283</f>
        <v>1.0236682890893776</v>
      </c>
      <c r="D15" s="59">
        <f t="shared" si="4"/>
        <v>150.57275059434679</v>
      </c>
      <c r="E15" s="60">
        <f t="shared" si="5"/>
        <v>6.3041799218841108</v>
      </c>
      <c r="F15" s="61">
        <f t="shared" si="6"/>
        <v>8.2093073823551386</v>
      </c>
      <c r="G15" s="62">
        <f>'[1]cálculos teóricos'!T283</f>
        <v>36.508601556402283</v>
      </c>
      <c r="H15" s="75">
        <f t="shared" si="7"/>
        <v>22.485954083101614</v>
      </c>
      <c r="I15" s="57"/>
      <c r="J15" s="76"/>
      <c r="K15" s="76"/>
      <c r="L15" s="76"/>
      <c r="M15" s="76"/>
      <c r="N15" s="76">
        <v>0.2</v>
      </c>
      <c r="O15" s="77"/>
      <c r="P15" s="79"/>
      <c r="Q15" s="82"/>
      <c r="R15" s="82"/>
      <c r="S15" s="82"/>
      <c r="T15" s="82"/>
      <c r="U15" s="82"/>
      <c r="V15" s="78"/>
      <c r="W15" s="117">
        <f t="shared" si="0"/>
        <v>0.2</v>
      </c>
      <c r="X15" s="117">
        <f t="shared" si="1"/>
        <v>0</v>
      </c>
      <c r="Y15" s="70">
        <f t="shared" si="2"/>
        <v>0.2</v>
      </c>
      <c r="Z15" s="71">
        <f>'[1]cálculos teóricos'!I283</f>
        <v>12.303747341188917</v>
      </c>
      <c r="AA15" s="72">
        <f t="shared" si="3"/>
        <v>1.6255210258623038</v>
      </c>
      <c r="AB15" s="3"/>
    </row>
    <row r="16" spans="1:28" ht="18" customHeight="1">
      <c r="A16" s="80">
        <v>8</v>
      </c>
      <c r="B16" s="76">
        <v>8.1999999999999993</v>
      </c>
      <c r="C16" s="74">
        <f>'[1]cálculos teóricos'!K284</f>
        <v>1.0243113678307814</v>
      </c>
      <c r="D16" s="59">
        <f t="shared" si="4"/>
        <v>122.32398056430937</v>
      </c>
      <c r="E16" s="60">
        <f t="shared" si="5"/>
        <v>5.121460418266504</v>
      </c>
      <c r="F16" s="61">
        <f t="shared" si="6"/>
        <v>6.7309080028331314</v>
      </c>
      <c r="G16" s="62">
        <f>'[1]cálculos teóricos'!T284</f>
        <v>36.670892767648695</v>
      </c>
      <c r="H16" s="75">
        <f t="shared" si="7"/>
        <v>18.354906288976917</v>
      </c>
      <c r="I16" s="79"/>
      <c r="J16" s="81"/>
      <c r="K16" s="81"/>
      <c r="L16" s="81"/>
      <c r="M16" s="81"/>
      <c r="N16" s="81"/>
      <c r="O16" s="77"/>
      <c r="P16" s="82"/>
      <c r="Q16" s="82"/>
      <c r="R16" s="81"/>
      <c r="S16" s="81"/>
      <c r="T16" s="81"/>
      <c r="U16" s="81"/>
      <c r="V16" s="78"/>
      <c r="W16" s="117">
        <f t="shared" si="0"/>
        <v>0</v>
      </c>
      <c r="X16" s="117">
        <f t="shared" si="1"/>
        <v>0</v>
      </c>
      <c r="Y16" s="70">
        <f t="shared" si="2"/>
        <v>0</v>
      </c>
      <c r="Z16" s="71">
        <f>'[1]cálculos teóricos'!I284</f>
        <v>12.326370377030226</v>
      </c>
      <c r="AA16" s="72">
        <f t="shared" si="3"/>
        <v>0</v>
      </c>
      <c r="AB16" s="3"/>
    </row>
    <row r="17" spans="1:28" ht="18" customHeight="1">
      <c r="A17" s="80">
        <v>9</v>
      </c>
      <c r="B17" s="76">
        <v>10.9</v>
      </c>
      <c r="C17" s="74">
        <f>'[1]cálculos teóricos'!K285</f>
        <v>1.0249428719848979</v>
      </c>
      <c r="D17" s="59">
        <f t="shared" si="4"/>
        <v>162.70163512605745</v>
      </c>
      <c r="E17" s="60">
        <f t="shared" si="5"/>
        <v>6.811992059457773</v>
      </c>
      <c r="F17" s="61">
        <f t="shared" si="6"/>
        <v>8.8440725543222172</v>
      </c>
      <c r="G17" s="62">
        <f>'[1]cálculos teóricos'!T285</f>
        <v>36.831600615350567</v>
      </c>
      <c r="H17" s="75">
        <f t="shared" si="7"/>
        <v>24.012186292648412</v>
      </c>
      <c r="I17" s="79"/>
      <c r="J17" s="81"/>
      <c r="K17" s="81">
        <v>0.1</v>
      </c>
      <c r="L17" s="81"/>
      <c r="M17" s="81"/>
      <c r="N17" s="81"/>
      <c r="O17" s="77"/>
      <c r="P17" s="82"/>
      <c r="Q17" s="82"/>
      <c r="R17" s="81"/>
      <c r="S17" s="81"/>
      <c r="T17" s="81"/>
      <c r="U17" s="81"/>
      <c r="V17" s="78"/>
      <c r="W17" s="117">
        <f t="shared" si="0"/>
        <v>0.1</v>
      </c>
      <c r="X17" s="117">
        <f t="shared" si="1"/>
        <v>0</v>
      </c>
      <c r="Y17" s="70">
        <f t="shared" si="2"/>
        <v>0.1</v>
      </c>
      <c r="Z17" s="71">
        <f>'[1]cálculos teóricos'!I285</f>
        <v>12.348958795711455</v>
      </c>
      <c r="AA17" s="72">
        <f t="shared" si="3"/>
        <v>0.80978487056518467</v>
      </c>
      <c r="AB17" s="3"/>
    </row>
    <row r="18" spans="1:28" ht="18" customHeight="1">
      <c r="A18" s="80">
        <v>10</v>
      </c>
      <c r="B18" s="76">
        <v>6.4</v>
      </c>
      <c r="C18" s="74">
        <f>'[1]cálculos teóricos'!K286</f>
        <v>1.025562720708646</v>
      </c>
      <c r="D18" s="59">
        <f t="shared" si="4"/>
        <v>95.589009171458343</v>
      </c>
      <c r="E18" s="60">
        <f t="shared" si="5"/>
        <v>4.0021206359906181</v>
      </c>
      <c r="F18" s="61">
        <f t="shared" si="6"/>
        <v>5.331733274988272</v>
      </c>
      <c r="G18" s="62">
        <f>'[1]cálculos teóricos'!T286</f>
        <v>36.990684786317473</v>
      </c>
      <c r="H18" s="75">
        <f t="shared" si="7"/>
        <v>14.41371876673241</v>
      </c>
      <c r="I18" s="79"/>
      <c r="J18" s="81"/>
      <c r="K18" s="81"/>
      <c r="L18" s="81"/>
      <c r="M18" s="81"/>
      <c r="N18" s="81"/>
      <c r="O18" s="77"/>
      <c r="P18" s="79"/>
      <c r="Q18" s="82"/>
      <c r="R18" s="81"/>
      <c r="S18" s="81"/>
      <c r="T18" s="81"/>
      <c r="U18" s="81"/>
      <c r="V18" s="78"/>
      <c r="W18" s="117">
        <f t="shared" si="0"/>
        <v>0</v>
      </c>
      <c r="X18" s="117">
        <f t="shared" si="1"/>
        <v>0</v>
      </c>
      <c r="Y18" s="70">
        <f t="shared" si="2"/>
        <v>0</v>
      </c>
      <c r="Z18" s="71">
        <f>'[1]cálculos teóricos'!I286</f>
        <v>12.371508466272868</v>
      </c>
      <c r="AA18" s="72">
        <f t="shared" si="3"/>
        <v>0</v>
      </c>
      <c r="AB18" s="3"/>
    </row>
    <row r="19" spans="1:28" ht="18" customHeight="1">
      <c r="A19" s="80">
        <v>11</v>
      </c>
      <c r="B19" s="76">
        <v>22</v>
      </c>
      <c r="C19" s="74">
        <f>'[1]cálculos teóricos'!K287</f>
        <v>1.0261708418979132</v>
      </c>
      <c r="D19" s="59">
        <f t="shared" si="4"/>
        <v>328.78205923156565</v>
      </c>
      <c r="E19" s="60">
        <f t="shared" si="5"/>
        <v>13.765447255907191</v>
      </c>
      <c r="F19" s="61">
        <f t="shared" si="6"/>
        <v>17.535891549883988</v>
      </c>
      <c r="G19" s="62">
        <f>'[1]cálculos teóricos'!T287</f>
        <v>37.148106078648368</v>
      </c>
      <c r="H19" s="75">
        <f t="shared" si="7"/>
        <v>47.205344769818829</v>
      </c>
      <c r="I19" s="79"/>
      <c r="J19" s="81"/>
      <c r="K19" s="81"/>
      <c r="L19" s="81"/>
      <c r="M19" s="81"/>
      <c r="N19" s="81">
        <v>0.4</v>
      </c>
      <c r="O19" s="77">
        <v>1</v>
      </c>
      <c r="P19" s="82">
        <v>1</v>
      </c>
      <c r="Q19" s="81">
        <v>0.7</v>
      </c>
      <c r="R19" s="81">
        <v>0.4</v>
      </c>
      <c r="S19" s="81">
        <v>1</v>
      </c>
      <c r="T19" s="81">
        <v>0.4</v>
      </c>
      <c r="U19" s="81"/>
      <c r="V19" s="78"/>
      <c r="W19" s="117">
        <f t="shared" si="0"/>
        <v>1.4</v>
      </c>
      <c r="X19" s="117">
        <f t="shared" si="1"/>
        <v>3.5</v>
      </c>
      <c r="Y19" s="70">
        <f t="shared" si="2"/>
        <v>4.9000000000000004</v>
      </c>
      <c r="Z19" s="71">
        <f>'[1]cálculos teóricos'!I287</f>
        <v>12.394015139925731</v>
      </c>
      <c r="AA19" s="72">
        <f t="shared" si="3"/>
        <v>39.535210701940152</v>
      </c>
      <c r="AB19" s="3"/>
    </row>
    <row r="20" spans="1:28" ht="18" customHeight="1">
      <c r="A20" s="80">
        <v>12</v>
      </c>
      <c r="B20" s="76">
        <v>25.8</v>
      </c>
      <c r="C20" s="74">
        <f>'[1]cálculos teóricos'!K288</f>
        <v>1.0267671722094867</v>
      </c>
      <c r="D20" s="59">
        <f t="shared" si="4"/>
        <v>385.79575178179977</v>
      </c>
      <c r="E20" s="60">
        <f t="shared" si="5"/>
        <v>16.152496535600392</v>
      </c>
      <c r="F20" s="61">
        <f t="shared" si="6"/>
        <v>20.519703149500494</v>
      </c>
      <c r="G20" s="62">
        <f>'[1]cálculos teóricos'!T288</f>
        <v>37.303826424554515</v>
      </c>
      <c r="H20" s="75">
        <f t="shared" si="7"/>
        <v>55.006966084299059</v>
      </c>
      <c r="I20" s="79"/>
      <c r="J20" s="81"/>
      <c r="K20" s="81"/>
      <c r="L20" s="81">
        <v>0.8</v>
      </c>
      <c r="M20" s="81">
        <v>1</v>
      </c>
      <c r="N20" s="81">
        <v>1</v>
      </c>
      <c r="O20" s="77">
        <v>1</v>
      </c>
      <c r="P20" s="82">
        <v>1</v>
      </c>
      <c r="Q20" s="81"/>
      <c r="R20" s="81">
        <v>0.7</v>
      </c>
      <c r="S20" s="81">
        <v>0.2</v>
      </c>
      <c r="T20" s="81"/>
      <c r="U20" s="81"/>
      <c r="V20" s="78"/>
      <c r="W20" s="117">
        <f t="shared" si="0"/>
        <v>3.8</v>
      </c>
      <c r="X20" s="117">
        <f t="shared" si="1"/>
        <v>1.9</v>
      </c>
      <c r="Y20" s="70">
        <f t="shared" si="2"/>
        <v>5.6999999999999993</v>
      </c>
      <c r="Z20" s="71">
        <f>'[1]cálculos teóricos'!I288</f>
        <v>12.416474444672822</v>
      </c>
      <c r="AA20" s="72">
        <f t="shared" si="3"/>
        <v>45.906750949304559</v>
      </c>
      <c r="AB20" s="3"/>
    </row>
    <row r="21" spans="1:28" ht="18" customHeight="1">
      <c r="A21" s="80">
        <v>13</v>
      </c>
      <c r="B21" s="76">
        <v>18.3</v>
      </c>
      <c r="C21" s="74">
        <f>'[1]cálculos teóricos'!K289</f>
        <v>1.0273516570792156</v>
      </c>
      <c r="D21" s="59">
        <f t="shared" si="4"/>
        <v>273.80159619907874</v>
      </c>
      <c r="E21" s="60">
        <f t="shared" si="5"/>
        <v>11.463525229663027</v>
      </c>
      <c r="F21" s="61">
        <f t="shared" si="6"/>
        <v>14.658489017078784</v>
      </c>
      <c r="G21" s="62">
        <f>'[1]cálculos teóricos'!T289</f>
        <v>37.457808912674437</v>
      </c>
      <c r="H21" s="75">
        <f t="shared" si="7"/>
        <v>39.133332788503964</v>
      </c>
      <c r="I21" s="79"/>
      <c r="J21" s="81">
        <v>0.4</v>
      </c>
      <c r="K21" s="81">
        <v>0.8</v>
      </c>
      <c r="L21" s="81">
        <v>1</v>
      </c>
      <c r="M21" s="81">
        <v>0.6</v>
      </c>
      <c r="N21" s="81"/>
      <c r="O21" s="77">
        <v>0.3</v>
      </c>
      <c r="P21" s="82"/>
      <c r="Q21" s="81"/>
      <c r="R21" s="81"/>
      <c r="S21" s="81"/>
      <c r="T21" s="81"/>
      <c r="U21" s="81"/>
      <c r="V21" s="78"/>
      <c r="W21" s="117">
        <f t="shared" si="0"/>
        <v>3.1</v>
      </c>
      <c r="X21" s="117">
        <f t="shared" si="1"/>
        <v>0</v>
      </c>
      <c r="Y21" s="70">
        <f t="shared" si="2"/>
        <v>3.1</v>
      </c>
      <c r="Z21" s="71">
        <f>'[1]cálculos teóricos'!I289</f>
        <v>12.438881880084809</v>
      </c>
      <c r="AA21" s="72">
        <f t="shared" si="3"/>
        <v>24.9218541496341</v>
      </c>
      <c r="AB21" s="3"/>
    </row>
    <row r="22" spans="1:28" ht="18" customHeight="1">
      <c r="A22" s="80">
        <v>14</v>
      </c>
      <c r="B22" s="76">
        <v>29.2</v>
      </c>
      <c r="C22" s="74">
        <f>'[1]cálculos teóricos'!K290</f>
        <v>1.0279242507357855</v>
      </c>
      <c r="D22" s="59">
        <f t="shared" si="4"/>
        <v>437.12910490724585</v>
      </c>
      <c r="E22" s="60">
        <f t="shared" si="5"/>
        <v>18.301721364256569</v>
      </c>
      <c r="F22" s="61">
        <f t="shared" si="6"/>
        <v>23.206234185320714</v>
      </c>
      <c r="G22" s="62">
        <f>'[1]cálculos teóricos'!T290</f>
        <v>37.610017809767371</v>
      </c>
      <c r="H22" s="75">
        <f t="shared" si="7"/>
        <v>61.702268535735776</v>
      </c>
      <c r="I22" s="79"/>
      <c r="J22" s="81">
        <v>0.2</v>
      </c>
      <c r="K22" s="81">
        <v>0.7</v>
      </c>
      <c r="L22" s="81">
        <v>0.9</v>
      </c>
      <c r="M22" s="81">
        <v>0.8</v>
      </c>
      <c r="N22" s="81">
        <v>0.4</v>
      </c>
      <c r="O22" s="77">
        <v>0.8</v>
      </c>
      <c r="P22" s="82">
        <v>1</v>
      </c>
      <c r="Q22" s="81">
        <v>1</v>
      </c>
      <c r="R22" s="81">
        <v>1</v>
      </c>
      <c r="S22" s="81">
        <v>1</v>
      </c>
      <c r="T22" s="81">
        <v>0.5</v>
      </c>
      <c r="U22" s="81"/>
      <c r="V22" s="78"/>
      <c r="W22" s="117">
        <f t="shared" si="0"/>
        <v>3.8</v>
      </c>
      <c r="X22" s="117">
        <f t="shared" si="1"/>
        <v>4.5</v>
      </c>
      <c r="Y22" s="70">
        <f t="shared" si="2"/>
        <v>8.3000000000000007</v>
      </c>
      <c r="Z22" s="71">
        <f>'[1]cálculos teóricos'!I290</f>
        <v>12.461232812247786</v>
      </c>
      <c r="AA22" s="72">
        <f t="shared" si="3"/>
        <v>66.606571958451582</v>
      </c>
      <c r="AB22" s="3"/>
    </row>
    <row r="23" spans="1:28" ht="18" customHeight="1">
      <c r="A23" s="80">
        <v>15</v>
      </c>
      <c r="B23" s="76">
        <v>21.9</v>
      </c>
      <c r="C23" s="74">
        <f>'[1]cálculos teóricos'!K291</f>
        <v>1.0284849162094551</v>
      </c>
      <c r="D23" s="59">
        <f t="shared" si="4"/>
        <v>328.02564769103913</v>
      </c>
      <c r="E23" s="60">
        <f t="shared" si="5"/>
        <v>13.733777817528425</v>
      </c>
      <c r="F23" s="61">
        <f t="shared" si="6"/>
        <v>17.496304751910532</v>
      </c>
      <c r="G23" s="62">
        <f>'[1]cálculos teóricos'!T291</f>
        <v>37.760418581666087</v>
      </c>
      <c r="H23" s="75">
        <f t="shared" si="7"/>
        <v>46.335039200030366</v>
      </c>
      <c r="I23" s="79"/>
      <c r="J23" s="81">
        <v>0.2</v>
      </c>
      <c r="K23" s="81">
        <v>0.1</v>
      </c>
      <c r="L23" s="81">
        <v>0.4</v>
      </c>
      <c r="M23" s="81">
        <v>0.4</v>
      </c>
      <c r="N23" s="81">
        <v>0.6</v>
      </c>
      <c r="O23" s="77">
        <v>0.6</v>
      </c>
      <c r="P23" s="82"/>
      <c r="Q23" s="81">
        <v>0.5</v>
      </c>
      <c r="R23" s="81">
        <v>0.3</v>
      </c>
      <c r="S23" s="81"/>
      <c r="T23" s="81"/>
      <c r="U23" s="81"/>
      <c r="V23" s="78"/>
      <c r="W23" s="117">
        <f t="shared" si="0"/>
        <v>2.3000000000000003</v>
      </c>
      <c r="X23" s="117">
        <f t="shared" si="1"/>
        <v>0.8</v>
      </c>
      <c r="Y23" s="70">
        <f t="shared" si="2"/>
        <v>3.1000000000000005</v>
      </c>
      <c r="Z23" s="71">
        <f>'[1]cálculos teóricos'!I291</f>
        <v>12.483522468897803</v>
      </c>
      <c r="AA23" s="72">
        <f t="shared" si="3"/>
        <v>24.832734572501685</v>
      </c>
      <c r="AB23" s="3"/>
    </row>
    <row r="24" spans="1:28" ht="18" customHeight="1">
      <c r="A24" s="80">
        <v>16</v>
      </c>
      <c r="B24" s="76">
        <v>31.9</v>
      </c>
      <c r="C24" s="74">
        <f>'[1]cálculos teóricos'!K292</f>
        <v>1.0290336253351089</v>
      </c>
      <c r="D24" s="59">
        <f t="shared" si="4"/>
        <v>478.06396536191471</v>
      </c>
      <c r="E24" s="60">
        <f t="shared" si="5"/>
        <v>20.015582101772644</v>
      </c>
      <c r="F24" s="61">
        <f t="shared" si="6"/>
        <v>25.348560107215803</v>
      </c>
      <c r="G24" s="62">
        <f>'[1]cálculos teóricos'!T292</f>
        <v>37.908977913368176</v>
      </c>
      <c r="H24" s="75">
        <f t="shared" si="7"/>
        <v>66.866904629145694</v>
      </c>
      <c r="I24" s="79"/>
      <c r="J24" s="81"/>
      <c r="K24" s="81"/>
      <c r="L24" s="81">
        <v>0.7</v>
      </c>
      <c r="M24" s="81">
        <v>1</v>
      </c>
      <c r="N24" s="81">
        <v>1</v>
      </c>
      <c r="O24" s="77">
        <v>1</v>
      </c>
      <c r="P24" s="82">
        <v>1</v>
      </c>
      <c r="Q24" s="81">
        <v>1</v>
      </c>
      <c r="R24" s="81">
        <v>1</v>
      </c>
      <c r="S24" s="81">
        <v>1</v>
      </c>
      <c r="T24" s="81">
        <v>0.7</v>
      </c>
      <c r="U24" s="81"/>
      <c r="V24" s="78"/>
      <c r="W24" s="117">
        <f t="shared" si="0"/>
        <v>3.7</v>
      </c>
      <c r="X24" s="117">
        <f t="shared" si="1"/>
        <v>4.7</v>
      </c>
      <c r="Y24" s="70">
        <f t="shared" si="2"/>
        <v>8.4</v>
      </c>
      <c r="Z24" s="71">
        <f>'[1]cálculos teóricos'!I292</f>
        <v>12.505745934759188</v>
      </c>
      <c r="AA24" s="72">
        <f t="shared" si="3"/>
        <v>67.169124047631243</v>
      </c>
      <c r="AB24" s="3"/>
    </row>
    <row r="25" spans="1:28" ht="18" customHeight="1">
      <c r="A25" s="80">
        <v>17</v>
      </c>
      <c r="B25" s="76">
        <v>29</v>
      </c>
      <c r="C25" s="74">
        <f>'[1]cálculos teóricos'!K293</f>
        <v>1.0295703587489491</v>
      </c>
      <c r="D25" s="59">
        <f t="shared" si="4"/>
        <v>434.83028966956925</v>
      </c>
      <c r="E25" s="60">
        <f t="shared" si="5"/>
        <v>18.205474567885524</v>
      </c>
      <c r="F25" s="61">
        <f t="shared" si="6"/>
        <v>23.085925689856907</v>
      </c>
      <c r="G25" s="62">
        <f>'[1]cálculos teóricos'!T293</f>
        <v>38.055663728141198</v>
      </c>
      <c r="H25" s="75">
        <f t="shared" si="7"/>
        <v>60.663573902628983</v>
      </c>
      <c r="I25" s="79"/>
      <c r="J25" s="81">
        <v>0.3</v>
      </c>
      <c r="K25" s="81">
        <v>1</v>
      </c>
      <c r="L25" s="81">
        <v>1</v>
      </c>
      <c r="M25" s="81">
        <v>1</v>
      </c>
      <c r="N25" s="81">
        <v>1</v>
      </c>
      <c r="O25" s="77">
        <v>1</v>
      </c>
      <c r="P25" s="82">
        <v>1</v>
      </c>
      <c r="Q25" s="81">
        <v>1</v>
      </c>
      <c r="R25" s="81">
        <v>1</v>
      </c>
      <c r="S25" s="81">
        <v>1</v>
      </c>
      <c r="T25" s="81">
        <v>0.4</v>
      </c>
      <c r="U25" s="81"/>
      <c r="V25" s="78"/>
      <c r="W25" s="117">
        <f t="shared" si="0"/>
        <v>5.3</v>
      </c>
      <c r="X25" s="117">
        <f t="shared" si="1"/>
        <v>4.4000000000000004</v>
      </c>
      <c r="Y25" s="70">
        <f t="shared" si="2"/>
        <v>9.6999999999999993</v>
      </c>
      <c r="Z25" s="71">
        <f>'[1]cálculos teóricos'!I293</f>
        <v>12.527898147104127</v>
      </c>
      <c r="AA25" s="72">
        <f t="shared" si="3"/>
        <v>77.427193980198439</v>
      </c>
      <c r="AB25" s="3"/>
    </row>
    <row r="26" spans="1:28" ht="18" customHeight="1">
      <c r="A26" s="80">
        <v>18</v>
      </c>
      <c r="B26" s="76">
        <v>9.6</v>
      </c>
      <c r="C26" s="74">
        <f>'[1]cálculos teóricos'!K294</f>
        <v>1.0300951058781556</v>
      </c>
      <c r="D26" s="59">
        <f t="shared" si="4"/>
        <v>144.01718471478256</v>
      </c>
      <c r="E26" s="60">
        <f t="shared" si="5"/>
        <v>6.0297114896385162</v>
      </c>
      <c r="F26" s="61">
        <f t="shared" si="6"/>
        <v>7.8662218420481462</v>
      </c>
      <c r="G26" s="62">
        <f>'[1]cálculos teóricos'!T294</f>
        <v>38.200445205516317</v>
      </c>
      <c r="H26" s="75">
        <f t="shared" si="7"/>
        <v>20.591963784003827</v>
      </c>
      <c r="I26" s="79"/>
      <c r="J26" s="81"/>
      <c r="K26" s="81"/>
      <c r="L26" s="81"/>
      <c r="M26" s="81"/>
      <c r="N26" s="81"/>
      <c r="O26" s="77"/>
      <c r="P26" s="82"/>
      <c r="Q26" s="81"/>
      <c r="R26" s="81"/>
      <c r="S26" s="81"/>
      <c r="T26" s="81"/>
      <c r="U26" s="81"/>
      <c r="V26" s="78"/>
      <c r="W26" s="117">
        <f t="shared" si="0"/>
        <v>0</v>
      </c>
      <c r="X26" s="117">
        <f t="shared" si="1"/>
        <v>0</v>
      </c>
      <c r="Y26" s="70">
        <f t="shared" si="2"/>
        <v>0</v>
      </c>
      <c r="Z26" s="71">
        <f>'[1]cálculos teóricos'!I294</f>
        <v>12.549973891551732</v>
      </c>
      <c r="AA26" s="72">
        <f t="shared" si="3"/>
        <v>0</v>
      </c>
      <c r="AB26" s="3"/>
    </row>
    <row r="27" spans="1:28" ht="18" customHeight="1">
      <c r="A27" s="80">
        <v>19</v>
      </c>
      <c r="B27" s="76">
        <v>22.5</v>
      </c>
      <c r="C27" s="74">
        <f>'[1]cálculos teóricos'!K295</f>
        <v>1.0306078649228301</v>
      </c>
      <c r="D27" s="59">
        <f t="shared" si="4"/>
        <v>337.70829691808177</v>
      </c>
      <c r="E27" s="60">
        <f t="shared" si="5"/>
        <v>14.139170975366246</v>
      </c>
      <c r="F27" s="61">
        <f t="shared" si="6"/>
        <v>18.003046199207809</v>
      </c>
      <c r="G27" s="62">
        <f>'[1]cálculos teóricos'!T295</f>
        <v>38.34329279804254</v>
      </c>
      <c r="H27" s="75">
        <f t="shared" si="7"/>
        <v>46.952269576928146</v>
      </c>
      <c r="I27" s="79"/>
      <c r="J27" s="81"/>
      <c r="K27" s="81"/>
      <c r="L27" s="81">
        <v>0.1</v>
      </c>
      <c r="M27" s="81"/>
      <c r="N27" s="81">
        <v>0.5</v>
      </c>
      <c r="O27" s="77">
        <v>0.2</v>
      </c>
      <c r="P27" s="82">
        <v>0.2</v>
      </c>
      <c r="Q27" s="82">
        <v>0.6</v>
      </c>
      <c r="R27" s="81">
        <v>0.3</v>
      </c>
      <c r="S27" s="81"/>
      <c r="T27" s="81"/>
      <c r="U27" s="81"/>
      <c r="V27" s="78"/>
      <c r="W27" s="117">
        <f t="shared" si="0"/>
        <v>0.8</v>
      </c>
      <c r="X27" s="117">
        <f t="shared" si="1"/>
        <v>1.1000000000000001</v>
      </c>
      <c r="Y27" s="70">
        <f t="shared" si="2"/>
        <v>1.9000000000000001</v>
      </c>
      <c r="Z27" s="71">
        <f>'[1]cálculos teóricos'!I295</f>
        <v>12.571967798125707</v>
      </c>
      <c r="AA27" s="72">
        <f t="shared" si="3"/>
        <v>15.11298812174226</v>
      </c>
      <c r="AB27" s="3"/>
    </row>
    <row r="28" spans="1:28" ht="18" customHeight="1">
      <c r="A28" s="80">
        <v>20</v>
      </c>
      <c r="B28" s="76">
        <v>32.299999999999997</v>
      </c>
      <c r="C28" s="74">
        <f>'[1]cálculos teóricos'!K296</f>
        <v>1.0311086428295455</v>
      </c>
      <c r="D28" s="59">
        <f t="shared" si="4"/>
        <v>485.03458825109317</v>
      </c>
      <c r="E28" s="60">
        <f t="shared" si="5"/>
        <v>20.307428140896768</v>
      </c>
      <c r="F28" s="61">
        <f t="shared" si="6"/>
        <v>25.713367656120962</v>
      </c>
      <c r="G28" s="62">
        <f>'[1]cálculos teóricos'!T296</f>
        <v>38.484178246675384</v>
      </c>
      <c r="H28" s="75">
        <f t="shared" si="7"/>
        <v>66.815426046786698</v>
      </c>
      <c r="I28" s="79"/>
      <c r="J28" s="81">
        <v>1</v>
      </c>
      <c r="K28" s="81">
        <v>1</v>
      </c>
      <c r="L28" s="81">
        <v>1</v>
      </c>
      <c r="M28" s="81">
        <v>1</v>
      </c>
      <c r="N28" s="81">
        <v>1</v>
      </c>
      <c r="O28" s="77">
        <v>1</v>
      </c>
      <c r="P28" s="82">
        <v>1</v>
      </c>
      <c r="Q28" s="82">
        <v>1</v>
      </c>
      <c r="R28" s="81">
        <v>1</v>
      </c>
      <c r="S28" s="81">
        <v>0.9</v>
      </c>
      <c r="T28" s="81">
        <v>1</v>
      </c>
      <c r="U28" s="81"/>
      <c r="V28" s="78"/>
      <c r="W28" s="117">
        <f t="shared" si="0"/>
        <v>6</v>
      </c>
      <c r="X28" s="117">
        <f t="shared" si="1"/>
        <v>4.9000000000000004</v>
      </c>
      <c r="Y28" s="70">
        <f t="shared" si="2"/>
        <v>10.9</v>
      </c>
      <c r="Z28" s="71">
        <f>'[1]cálculos teóricos'!I296</f>
        <v>12.593874337590313</v>
      </c>
      <c r="AA28" s="72">
        <f t="shared" si="3"/>
        <v>86.550013981524174</v>
      </c>
      <c r="AB28" s="3"/>
    </row>
    <row r="29" spans="1:28" ht="18" customHeight="1">
      <c r="A29" s="80">
        <v>21</v>
      </c>
      <c r="B29" s="76">
        <v>31.6</v>
      </c>
      <c r="C29" s="74">
        <f>'[1]cálculos teóricos'!K297</f>
        <v>1.0315974552558274</v>
      </c>
      <c r="D29" s="59">
        <f t="shared" si="4"/>
        <v>474.74795745193649</v>
      </c>
      <c r="E29" s="60">
        <f t="shared" si="5"/>
        <v>19.876747482597676</v>
      </c>
      <c r="F29" s="61">
        <f t="shared" si="6"/>
        <v>25.175016833247096</v>
      </c>
      <c r="G29" s="62">
        <f>'[1]cálculos teóricos'!T297</f>
        <v>38.623074594672374</v>
      </c>
      <c r="H29" s="75">
        <f t="shared" si="7"/>
        <v>65.181286309919287</v>
      </c>
      <c r="I29" s="79"/>
      <c r="J29" s="81">
        <v>0.2</v>
      </c>
      <c r="K29" s="81">
        <v>1</v>
      </c>
      <c r="L29" s="81">
        <v>1</v>
      </c>
      <c r="M29" s="81">
        <v>1</v>
      </c>
      <c r="N29" s="81">
        <v>1</v>
      </c>
      <c r="O29" s="77">
        <v>1</v>
      </c>
      <c r="P29" s="82">
        <v>1</v>
      </c>
      <c r="Q29" s="82">
        <v>1</v>
      </c>
      <c r="R29" s="81">
        <v>1</v>
      </c>
      <c r="S29" s="81">
        <v>1</v>
      </c>
      <c r="T29" s="81">
        <v>1</v>
      </c>
      <c r="U29" s="81">
        <v>0.2</v>
      </c>
      <c r="V29" s="78"/>
      <c r="W29" s="117">
        <f t="shared" si="0"/>
        <v>5.2</v>
      </c>
      <c r="X29" s="117">
        <f t="shared" si="1"/>
        <v>5.2</v>
      </c>
      <c r="Y29" s="70">
        <f t="shared" si="2"/>
        <v>10.4</v>
      </c>
      <c r="Z29" s="71">
        <f>'[1]cálculos teóricos'!I297</f>
        <v>12.615687818085217</v>
      </c>
      <c r="AA29" s="72">
        <f t="shared" si="3"/>
        <v>82.437043068639369</v>
      </c>
      <c r="AB29" s="3"/>
    </row>
    <row r="30" spans="1:28" ht="18" customHeight="1">
      <c r="A30" s="80">
        <v>22</v>
      </c>
      <c r="B30" s="76">
        <v>36.9</v>
      </c>
      <c r="C30" s="74">
        <f>'[1]cálculos teóricos'!K298</f>
        <v>1.0320743265248982</v>
      </c>
      <c r="D30" s="59">
        <f t="shared" si="4"/>
        <v>554.62967336534359</v>
      </c>
      <c r="E30" s="60">
        <f t="shared" si="5"/>
        <v>23.221235164460204</v>
      </c>
      <c r="F30" s="61">
        <f t="shared" si="6"/>
        <v>29.355626435575253</v>
      </c>
      <c r="G30" s="62">
        <f>'[1]cálculos teóricos'!T298</f>
        <v>38.759956199870359</v>
      </c>
      <c r="H30" s="75">
        <f t="shared" si="7"/>
        <v>75.73699589390516</v>
      </c>
      <c r="I30" s="79">
        <v>0.2</v>
      </c>
      <c r="J30" s="81">
        <v>1</v>
      </c>
      <c r="K30" s="81">
        <v>1</v>
      </c>
      <c r="L30" s="81">
        <v>1</v>
      </c>
      <c r="M30" s="81">
        <v>1</v>
      </c>
      <c r="N30" s="81">
        <v>1</v>
      </c>
      <c r="O30" s="77">
        <v>1</v>
      </c>
      <c r="P30" s="82">
        <v>1</v>
      </c>
      <c r="Q30" s="82">
        <v>1</v>
      </c>
      <c r="R30" s="81">
        <v>1</v>
      </c>
      <c r="S30" s="81">
        <v>1</v>
      </c>
      <c r="T30" s="81">
        <v>1</v>
      </c>
      <c r="U30" s="81">
        <v>0.7</v>
      </c>
      <c r="V30" s="78"/>
      <c r="W30" s="117">
        <f t="shared" si="0"/>
        <v>6.2</v>
      </c>
      <c r="X30" s="117">
        <f t="shared" si="1"/>
        <v>5.7</v>
      </c>
      <c r="Y30" s="70">
        <f>W30+X30</f>
        <v>11.9</v>
      </c>
      <c r="Z30" s="71">
        <f>'[1]cálculos teóricos'!I298</f>
        <v>12.637402382080378</v>
      </c>
      <c r="AA30" s="72">
        <f t="shared" si="3"/>
        <v>94.164921241045533</v>
      </c>
      <c r="AB30" s="3"/>
    </row>
    <row r="31" spans="1:28" ht="18" customHeight="1">
      <c r="A31" s="80">
        <v>23</v>
      </c>
      <c r="B31" s="76">
        <v>38.6</v>
      </c>
      <c r="C31" s="74">
        <f>'[1]cálculos teóricos'!K299</f>
        <v>1.032539289570032</v>
      </c>
      <c r="D31" s="59">
        <f t="shared" si="4"/>
        <v>580.44309742501207</v>
      </c>
      <c r="E31" s="60">
        <f t="shared" si="5"/>
        <v>24.301991602990405</v>
      </c>
      <c r="F31" s="61">
        <f t="shared" si="6"/>
        <v>30.706571983738009</v>
      </c>
      <c r="G31" s="62">
        <f>'[1]cálculos teóricos'!T299</f>
        <v>38.894798745221976</v>
      </c>
      <c r="H31" s="75">
        <f t="shared" si="7"/>
        <v>78.947759017547696</v>
      </c>
      <c r="I31" s="79">
        <v>0.1</v>
      </c>
      <c r="J31" s="81">
        <v>1</v>
      </c>
      <c r="K31" s="81">
        <v>1</v>
      </c>
      <c r="L31" s="81">
        <v>1</v>
      </c>
      <c r="M31" s="81">
        <v>1</v>
      </c>
      <c r="N31" s="81">
        <v>1</v>
      </c>
      <c r="O31" s="77">
        <v>1</v>
      </c>
      <c r="P31" s="82">
        <v>1</v>
      </c>
      <c r="Q31" s="82">
        <v>1</v>
      </c>
      <c r="R31" s="81">
        <v>1</v>
      </c>
      <c r="S31" s="81">
        <v>1</v>
      </c>
      <c r="T31" s="81">
        <v>1</v>
      </c>
      <c r="U31" s="81">
        <v>0.9</v>
      </c>
      <c r="V31" s="78"/>
      <c r="W31" s="117">
        <f t="shared" si="0"/>
        <v>6.1</v>
      </c>
      <c r="X31" s="117">
        <f t="shared" si="1"/>
        <v>5.9</v>
      </c>
      <c r="Y31" s="70">
        <f>W31+X31</f>
        <v>12</v>
      </c>
      <c r="Z31" s="71">
        <f>'[1]cálculos teóricos'!I299</f>
        <v>12.65901200367289</v>
      </c>
      <c r="AA31" s="72">
        <f t="shared" si="3"/>
        <v>94.794127665874043</v>
      </c>
      <c r="AB31" s="3"/>
    </row>
    <row r="32" spans="1:28" ht="18" customHeight="1">
      <c r="A32" s="80">
        <v>24</v>
      </c>
      <c r="B32" s="76">
        <v>37.200000000000003</v>
      </c>
      <c r="C32" s="74">
        <f>'[1]cálculos teóricos'!K300</f>
        <v>1.0329923858678827</v>
      </c>
      <c r="D32" s="59">
        <f t="shared" si="4"/>
        <v>559.63622755103302</v>
      </c>
      <c r="E32" s="60">
        <f t="shared" si="5"/>
        <v>23.430849575106649</v>
      </c>
      <c r="F32" s="61">
        <f t="shared" si="6"/>
        <v>29.617644448883311</v>
      </c>
      <c r="G32" s="62">
        <f>'[1]cálculos teóricos'!T300</f>
        <v>39.027579247470733</v>
      </c>
      <c r="H32" s="75">
        <f t="shared" si="7"/>
        <v>75.88901238552414</v>
      </c>
      <c r="I32" s="79"/>
      <c r="J32" s="81">
        <v>1</v>
      </c>
      <c r="K32" s="81">
        <v>1</v>
      </c>
      <c r="L32" s="81">
        <v>1</v>
      </c>
      <c r="M32" s="81">
        <v>1</v>
      </c>
      <c r="N32" s="81">
        <v>1</v>
      </c>
      <c r="O32" s="77">
        <v>1</v>
      </c>
      <c r="P32" s="82">
        <v>1</v>
      </c>
      <c r="Q32" s="82">
        <v>1</v>
      </c>
      <c r="R32" s="81">
        <v>1</v>
      </c>
      <c r="S32" s="81">
        <v>1</v>
      </c>
      <c r="T32" s="81">
        <v>1</v>
      </c>
      <c r="U32" s="81">
        <v>0.5</v>
      </c>
      <c r="V32" s="78"/>
      <c r="W32" s="117">
        <f t="shared" si="0"/>
        <v>6</v>
      </c>
      <c r="X32" s="117">
        <f t="shared" si="1"/>
        <v>5.5</v>
      </c>
      <c r="Y32" s="70">
        <f>W32+X32</f>
        <v>11.5</v>
      </c>
      <c r="Z32" s="71">
        <f>'[1]cálculos teóricos'!I300</f>
        <v>12.680510486248172</v>
      </c>
      <c r="AA32" s="72">
        <f t="shared" si="3"/>
        <v>90.690355190917444</v>
      </c>
      <c r="AB32" s="3"/>
    </row>
    <row r="33" spans="1:28" ht="18" customHeight="1">
      <c r="A33" s="80">
        <v>25</v>
      </c>
      <c r="B33" s="76">
        <v>35.700000000000003</v>
      </c>
      <c r="C33" s="74">
        <f>'[1]cálculos teóricos'!K301</f>
        <v>1.0334336653601741</v>
      </c>
      <c r="D33" s="59">
        <f t="shared" si="4"/>
        <v>537.29967932138243</v>
      </c>
      <c r="E33" s="60">
        <f t="shared" si="5"/>
        <v>22.495662973827638</v>
      </c>
      <c r="F33" s="61">
        <f t="shared" si="6"/>
        <v>28.448661197284551</v>
      </c>
      <c r="G33" s="62">
        <f>'[1]cálculos teóricos'!T301</f>
        <v>39.158276063849144</v>
      </c>
      <c r="H33" s="75">
        <f t="shared" si="7"/>
        <v>72.65044342324434</v>
      </c>
      <c r="I33" s="79">
        <v>0.1</v>
      </c>
      <c r="J33" s="81">
        <v>1</v>
      </c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79">
        <v>1</v>
      </c>
      <c r="Q33" s="82">
        <v>1</v>
      </c>
      <c r="R33" s="81">
        <v>1</v>
      </c>
      <c r="S33" s="81">
        <v>1</v>
      </c>
      <c r="T33" s="81">
        <v>1</v>
      </c>
      <c r="U33" s="81">
        <v>0.6</v>
      </c>
      <c r="V33" s="78"/>
      <c r="W33" s="117">
        <f t="shared" si="0"/>
        <v>6.1</v>
      </c>
      <c r="X33" s="117">
        <f t="shared" si="1"/>
        <v>5.6</v>
      </c>
      <c r="Y33" s="70">
        <f>W33+X33</f>
        <v>11.7</v>
      </c>
      <c r="Z33" s="71">
        <f>'[1]cálculos teóricos'!I301</f>
        <v>12.701891460528639</v>
      </c>
      <c r="AA33" s="72">
        <f t="shared" si="3"/>
        <v>92.112265613022785</v>
      </c>
      <c r="AB33" s="3"/>
    </row>
    <row r="34" spans="1:28" ht="18" customHeight="1">
      <c r="A34" s="80">
        <v>26</v>
      </c>
      <c r="B34" s="76">
        <v>29.4</v>
      </c>
      <c r="C34" s="74">
        <f>'[1]cálculos teóricos'!K302</f>
        <v>1.03386318636316</v>
      </c>
      <c r="D34" s="59">
        <f t="shared" si="4"/>
        <v>442.66599552923645</v>
      </c>
      <c r="E34" s="60">
        <f t="shared" si="5"/>
        <v>18.53353990081807</v>
      </c>
      <c r="F34" s="61">
        <f t="shared" si="6"/>
        <v>23.496007356022588</v>
      </c>
      <c r="G34" s="62">
        <f>'[1]cálculos teóricos'!T302</f>
        <v>39.286868896688745</v>
      </c>
      <c r="H34" s="75">
        <f t="shared" si="7"/>
        <v>59.806261012576968</v>
      </c>
      <c r="I34" s="79"/>
      <c r="J34" s="81">
        <v>0.4</v>
      </c>
      <c r="K34" s="81">
        <v>1</v>
      </c>
      <c r="L34" s="81">
        <v>1</v>
      </c>
      <c r="M34" s="81">
        <v>0.7</v>
      </c>
      <c r="N34" s="81">
        <v>0.8</v>
      </c>
      <c r="O34" s="77">
        <v>1</v>
      </c>
      <c r="P34" s="79">
        <v>1</v>
      </c>
      <c r="Q34" s="82">
        <v>1</v>
      </c>
      <c r="R34" s="81">
        <v>1</v>
      </c>
      <c r="S34" s="81">
        <v>0.9</v>
      </c>
      <c r="T34" s="81">
        <v>0.4</v>
      </c>
      <c r="U34" s="81"/>
      <c r="V34" s="78"/>
      <c r="W34" s="117">
        <f t="shared" si="0"/>
        <v>4.8999999999999995</v>
      </c>
      <c r="X34" s="117">
        <f t="shared" si="1"/>
        <v>4.3</v>
      </c>
      <c r="Y34" s="70">
        <f t="shared" ref="Y34:Y39" si="8">W34+X34</f>
        <v>9.1999999999999993</v>
      </c>
      <c r="Z34" s="71">
        <f>'[1]cálculos teóricos'!I302</f>
        <v>12.723148383033188</v>
      </c>
      <c r="AA34" s="72">
        <f t="shared" si="3"/>
        <v>72.309146470920325</v>
      </c>
      <c r="AB34" s="3"/>
    </row>
    <row r="35" spans="1:28" ht="18" customHeight="1">
      <c r="A35" s="80">
        <v>27</v>
      </c>
      <c r="B35" s="76">
        <v>11.5</v>
      </c>
      <c r="C35" s="74">
        <f>'[1]cálculos teóricos'!K303</f>
        <v>1.0342810154643007</v>
      </c>
      <c r="D35" s="59">
        <f t="shared" si="4"/>
        <v>173.22164304021496</v>
      </c>
      <c r="E35" s="60">
        <f t="shared" si="5"/>
        <v>7.2524437508077195</v>
      </c>
      <c r="F35" s="61">
        <f t="shared" si="6"/>
        <v>9.3946371685096501</v>
      </c>
      <c r="G35" s="62">
        <f>'[1]cálculos teóricos'!T303</f>
        <v>39.413338795836367</v>
      </c>
      <c r="H35" s="75">
        <f t="shared" si="7"/>
        <v>23.836187076599817</v>
      </c>
      <c r="I35" s="79"/>
      <c r="J35" s="81">
        <v>0.3</v>
      </c>
      <c r="K35" s="81"/>
      <c r="L35" s="81"/>
      <c r="M35" s="81"/>
      <c r="N35" s="81"/>
      <c r="O35" s="77"/>
      <c r="P35" s="82"/>
      <c r="Q35" s="82"/>
      <c r="R35" s="81"/>
      <c r="S35" s="81"/>
      <c r="T35" s="81"/>
      <c r="U35" s="81"/>
      <c r="V35" s="78"/>
      <c r="W35" s="117">
        <f t="shared" si="0"/>
        <v>0.3</v>
      </c>
      <c r="X35" s="117">
        <f t="shared" si="1"/>
        <v>0</v>
      </c>
      <c r="Y35" s="70">
        <f t="shared" si="8"/>
        <v>0.3</v>
      </c>
      <c r="Z35" s="71">
        <f>'[1]cálculos teóricos'!I303</f>
        <v>12.744274534971474</v>
      </c>
      <c r="AA35" s="72">
        <f t="shared" si="3"/>
        <v>2.3539982537002957</v>
      </c>
      <c r="AB35" s="3"/>
    </row>
    <row r="36" spans="1:28" ht="18" customHeight="1">
      <c r="A36" s="80">
        <v>28</v>
      </c>
      <c r="B36" s="76">
        <v>5.2</v>
      </c>
      <c r="C36" s="74">
        <f>'[1]cálculos teóricos'!K304</f>
        <v>1.034687227405628</v>
      </c>
      <c r="D36" s="59">
        <f t="shared" si="4"/>
        <v>78.357070668873703</v>
      </c>
      <c r="E36" s="60">
        <f t="shared" si="5"/>
        <v>3.2806538347644039</v>
      </c>
      <c r="F36" s="61">
        <f t="shared" si="6"/>
        <v>4.4298997734555048</v>
      </c>
      <c r="G36" s="62">
        <f>'[1]cálculos teóricos'!T304</f>
        <v>39.537668158777905</v>
      </c>
      <c r="H36" s="75">
        <f t="shared" si="7"/>
        <v>11.204251489151128</v>
      </c>
      <c r="I36" s="79"/>
      <c r="J36" s="81"/>
      <c r="K36" s="81"/>
      <c r="L36" s="81"/>
      <c r="M36" s="81"/>
      <c r="N36" s="81"/>
      <c r="O36" s="77"/>
      <c r="P36" s="82"/>
      <c r="Q36" s="82"/>
      <c r="R36" s="81"/>
      <c r="S36" s="81"/>
      <c r="T36" s="81"/>
      <c r="U36" s="81"/>
      <c r="V36" s="78"/>
      <c r="W36" s="117">
        <f t="shared" si="0"/>
        <v>0</v>
      </c>
      <c r="X36" s="117">
        <f t="shared" si="1"/>
        <v>0</v>
      </c>
      <c r="Y36" s="70">
        <f t="shared" si="8"/>
        <v>0</v>
      </c>
      <c r="Z36" s="71">
        <f>'[1]cálculos teóricos'!I304</f>
        <v>12.765263021597068</v>
      </c>
      <c r="AA36" s="72">
        <f t="shared" si="3"/>
        <v>0</v>
      </c>
      <c r="AB36" s="3"/>
    </row>
    <row r="37" spans="1:28" ht="18" customHeight="1">
      <c r="A37" s="80">
        <v>29</v>
      </c>
      <c r="B37" s="76">
        <v>21.4</v>
      </c>
      <c r="C37" s="74">
        <f>'[1]cálculos teóricos'!K305</f>
        <v>1.0350819049533166</v>
      </c>
      <c r="D37" s="59">
        <f t="shared" si="4"/>
        <v>322.5924879076552</v>
      </c>
      <c r="E37" s="60">
        <f t="shared" si="5"/>
        <v>13.506302283717707</v>
      </c>
      <c r="F37" s="61">
        <f t="shared" si="6"/>
        <v>17.211960334647134</v>
      </c>
      <c r="G37" s="62">
        <f>'[1]cálculos teóricos'!T305</f>
        <v>39.659840728377716</v>
      </c>
      <c r="H37" s="75">
        <f t="shared" si="7"/>
        <v>43.398964843374927</v>
      </c>
      <c r="I37" s="79"/>
      <c r="J37" s="81"/>
      <c r="K37" s="81"/>
      <c r="L37" s="81">
        <v>0.5</v>
      </c>
      <c r="M37" s="81">
        <v>0.1</v>
      </c>
      <c r="N37" s="81">
        <v>0.5</v>
      </c>
      <c r="O37" s="77">
        <v>1</v>
      </c>
      <c r="P37" s="79">
        <v>0.7</v>
      </c>
      <c r="Q37" s="82">
        <v>0.3</v>
      </c>
      <c r="R37" s="81">
        <v>0.3</v>
      </c>
      <c r="S37" s="81"/>
      <c r="T37" s="81"/>
      <c r="U37" s="81"/>
      <c r="V37" s="78"/>
      <c r="W37" s="117">
        <f t="shared" si="0"/>
        <v>2.1</v>
      </c>
      <c r="X37" s="117">
        <f t="shared" si="1"/>
        <v>1.3</v>
      </c>
      <c r="Y37" s="70">
        <f t="shared" si="8"/>
        <v>3.4000000000000004</v>
      </c>
      <c r="Z37" s="71">
        <f>'[1]cálculos teóricos'!I305</f>
        <v>12.786106772043812</v>
      </c>
      <c r="AA37" s="72">
        <f t="shared" si="3"/>
        <v>26.591362489119298</v>
      </c>
      <c r="AB37" s="3"/>
    </row>
    <row r="38" spans="1:28" ht="18" customHeight="1">
      <c r="A38" s="80">
        <v>30</v>
      </c>
      <c r="B38" s="76">
        <v>10.1</v>
      </c>
      <c r="C38" s="74">
        <f>'[1]cálculos teóricos'!K306</f>
        <v>1.0354651387530205</v>
      </c>
      <c r="D38" s="59">
        <f t="shared" si="4"/>
        <v>152.30796513711911</v>
      </c>
      <c r="E38" s="60">
        <f t="shared" si="5"/>
        <v>6.3768298843609026</v>
      </c>
      <c r="F38" s="61">
        <f t="shared" si="6"/>
        <v>8.3001198354511292</v>
      </c>
      <c r="G38" s="62">
        <f>'[1]cálculos teóricos'!T306</f>
        <v>39.779841588149978</v>
      </c>
      <c r="H38" s="75">
        <f t="shared" si="7"/>
        <v>20.865140493479625</v>
      </c>
      <c r="I38" s="79"/>
      <c r="J38" s="81"/>
      <c r="K38" s="81"/>
      <c r="L38" s="81"/>
      <c r="M38" s="81"/>
      <c r="N38" s="81"/>
      <c r="O38" s="77"/>
      <c r="P38" s="82"/>
      <c r="Q38" s="81"/>
      <c r="R38" s="81"/>
      <c r="S38" s="81"/>
      <c r="T38" s="81"/>
      <c r="U38" s="81"/>
      <c r="V38" s="78"/>
      <c r="W38" s="117">
        <f t="shared" si="0"/>
        <v>0</v>
      </c>
      <c r="X38" s="117">
        <f t="shared" si="1"/>
        <v>0</v>
      </c>
      <c r="Y38" s="70">
        <f t="shared" si="8"/>
        <v>0</v>
      </c>
      <c r="Z38" s="71">
        <f>'[1]cálculos teóricos'!I306</f>
        <v>12.806798539669806</v>
      </c>
      <c r="AA38" s="72">
        <f t="shared" si="3"/>
        <v>0</v>
      </c>
      <c r="AB38" s="3"/>
    </row>
    <row r="39" spans="1:28" ht="18" customHeight="1" thickBot="1">
      <c r="A39" s="86">
        <v>31</v>
      </c>
      <c r="B39" s="87">
        <v>13.3</v>
      </c>
      <c r="C39" s="88">
        <f>'[1]cálculos teóricos'!K307</f>
        <v>1.0358370271705748</v>
      </c>
      <c r="D39" s="89">
        <f t="shared" si="4"/>
        <v>200.63598685114226</v>
      </c>
      <c r="E39" s="90">
        <f t="shared" si="5"/>
        <v>8.4002274974836233</v>
      </c>
      <c r="F39" s="91">
        <f t="shared" si="6"/>
        <v>10.829366851854529</v>
      </c>
      <c r="G39" s="92">
        <f>'[1]cálculos teóricos'!T307</f>
        <v>39.897657154987527</v>
      </c>
      <c r="H39" s="93">
        <f t="shared" si="7"/>
        <v>27.142864077924365</v>
      </c>
      <c r="I39" s="94"/>
      <c r="J39" s="87"/>
      <c r="K39" s="87"/>
      <c r="L39" s="87"/>
      <c r="M39" s="87"/>
      <c r="N39" s="87">
        <v>0.6</v>
      </c>
      <c r="O39" s="95">
        <v>0.6</v>
      </c>
      <c r="P39" s="94"/>
      <c r="Q39" s="87"/>
      <c r="R39" s="87">
        <v>0.9</v>
      </c>
      <c r="S39" s="87">
        <v>0.1</v>
      </c>
      <c r="T39" s="87"/>
      <c r="U39" s="87"/>
      <c r="V39" s="78"/>
      <c r="W39" s="117">
        <f t="shared" si="0"/>
        <v>1.2</v>
      </c>
      <c r="X39" s="117">
        <f t="shared" si="1"/>
        <v>1</v>
      </c>
      <c r="Y39" s="70">
        <f t="shared" si="8"/>
        <v>2.2000000000000002</v>
      </c>
      <c r="Z39" s="100">
        <f>'[1]cálculos teóricos'!I307</f>
        <v>12.82733090293323</v>
      </c>
      <c r="AA39" s="101">
        <f t="shared" si="3"/>
        <v>17.150878983693524</v>
      </c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0.4</v>
      </c>
      <c r="J40" s="104">
        <f t="shared" ref="J40:AA40" si="9">SUM(J9:J39)</f>
        <v>8.1000000000000014</v>
      </c>
      <c r="K40" s="104">
        <f t="shared" si="9"/>
        <v>12.5</v>
      </c>
      <c r="L40" s="104">
        <f t="shared" si="9"/>
        <v>15.6</v>
      </c>
      <c r="M40" s="104">
        <f t="shared" si="9"/>
        <v>14.899999999999999</v>
      </c>
      <c r="N40" s="104">
        <f t="shared" si="9"/>
        <v>16</v>
      </c>
      <c r="O40" s="104">
        <f t="shared" si="9"/>
        <v>17.7</v>
      </c>
      <c r="P40" s="104">
        <f t="shared" si="9"/>
        <v>16.399999999999999</v>
      </c>
      <c r="Q40" s="104">
        <f t="shared" si="9"/>
        <v>14.8</v>
      </c>
      <c r="R40" s="104">
        <f t="shared" si="9"/>
        <v>14.500000000000002</v>
      </c>
      <c r="S40" s="104">
        <f t="shared" si="9"/>
        <v>12.3</v>
      </c>
      <c r="T40" s="104">
        <f t="shared" si="9"/>
        <v>9.4</v>
      </c>
      <c r="U40" s="104">
        <f t="shared" si="9"/>
        <v>3.2</v>
      </c>
      <c r="V40" s="104">
        <f t="shared" si="9"/>
        <v>0</v>
      </c>
      <c r="W40" s="104">
        <f t="shared" si="0"/>
        <v>85.2</v>
      </c>
      <c r="X40" s="104">
        <f>SUM(P40:V40)</f>
        <v>70.600000000000009</v>
      </c>
      <c r="Y40" s="104">
        <f>W40+X40</f>
        <v>155.80000000000001</v>
      </c>
      <c r="Z40" s="104">
        <f t="shared" si="9"/>
        <v>387.58755327226424</v>
      </c>
      <c r="AA40" s="104">
        <f t="shared" si="9"/>
        <v>1242.8394337674447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213"/>
      <c r="X41" s="213"/>
      <c r="Y41" s="213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75</v>
      </c>
      <c r="B1" s="2"/>
      <c r="C1" s="3"/>
      <c r="D1" s="4"/>
      <c r="E1" s="218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0"/>
      <c r="T3" s="190"/>
      <c r="U3" s="3"/>
      <c r="V3" s="9" t="s">
        <v>63</v>
      </c>
      <c r="W3" s="3"/>
      <c r="X3" s="3"/>
      <c r="Y3" s="102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90"/>
      <c r="T4" s="190"/>
      <c r="U4" s="190"/>
      <c r="V4" s="3"/>
      <c r="W4" s="10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1">
        <v>1</v>
      </c>
      <c r="B9" s="57">
        <v>26.7</v>
      </c>
      <c r="C9" s="74">
        <f>'[1]cálculos teóricos'!K308</f>
        <v>1.0361976761177196</v>
      </c>
      <c r="D9" s="59">
        <f>IF(B9&gt;0,B9*C9*14.25*1.022,-999)</f>
        <v>402.92075165894886</v>
      </c>
      <c r="E9" s="60">
        <f>IF(B9&gt;0,D9*4.1868/100,-999)</f>
        <v>16.869486030456869</v>
      </c>
      <c r="F9" s="61">
        <f>IF(B9&gt;0,(7.86+1.25*D9)*4.1868/100,-999)</f>
        <v>21.415940018071087</v>
      </c>
      <c r="G9" s="62">
        <f>'[1]cálculos teóricos'!T308</f>
        <v>40.013275169282224</v>
      </c>
      <c r="H9" s="63">
        <f>IF(B9&gt;0,100*F9/G9,-999)</f>
        <v>53.522087175987735</v>
      </c>
      <c r="I9" s="64"/>
      <c r="J9" s="64"/>
      <c r="K9" s="64"/>
      <c r="L9" s="64">
        <v>0.7</v>
      </c>
      <c r="M9" s="64">
        <v>1</v>
      </c>
      <c r="N9" s="64">
        <v>1</v>
      </c>
      <c r="O9" s="65">
        <v>1</v>
      </c>
      <c r="P9" s="64">
        <v>1</v>
      </c>
      <c r="Q9" s="64">
        <v>0.9</v>
      </c>
      <c r="R9" s="64">
        <v>0.8</v>
      </c>
      <c r="S9" s="64">
        <v>0.1</v>
      </c>
      <c r="T9" s="64"/>
      <c r="U9" s="64"/>
      <c r="V9" s="219"/>
      <c r="W9" s="59">
        <f t="shared" ref="W9:W38" si="0">SUM(I9:O9)</f>
        <v>3.7</v>
      </c>
      <c r="X9" s="206">
        <f>SUM(P9:V9)</f>
        <v>2.8000000000000003</v>
      </c>
      <c r="Y9" s="220">
        <f>W9+X9</f>
        <v>6.5</v>
      </c>
      <c r="Z9" s="71">
        <f>'[1]cálculos teóricos'!I308</f>
        <v>12.847696266824101</v>
      </c>
      <c r="AA9" s="72">
        <f>100*Y9/Z9</f>
        <v>50.592727793422327</v>
      </c>
      <c r="AB9" s="3"/>
    </row>
    <row r="10" spans="1:28" ht="18" customHeight="1">
      <c r="A10" s="111">
        <v>2</v>
      </c>
      <c r="B10" s="57">
        <v>9.6</v>
      </c>
      <c r="C10" s="74">
        <f>'[1]cálculos teóricos'!K309</f>
        <v>1.0365471988625521</v>
      </c>
      <c r="D10" s="59">
        <f>IF(B10&gt;0,B10*C10*14.25*1.022,-999)</f>
        <v>144.91924925409387</v>
      </c>
      <c r="E10" s="60">
        <f>IF(B10&gt;0,D10*4.1868/100,-999)</f>
        <v>6.067479127770401</v>
      </c>
      <c r="F10" s="61">
        <f>IF(B10&gt;0,(7.86+1.25*D10)*4.1868/100,-999)</f>
        <v>7.9134313897130024</v>
      </c>
      <c r="G10" s="62">
        <f>'[1]cálculos teóricos'!T309</f>
        <v>40.126684682382106</v>
      </c>
      <c r="H10" s="75">
        <f>IF(B10&gt;0,100*F10/G10,-999)</f>
        <v>19.72111938065855</v>
      </c>
      <c r="I10" s="57"/>
      <c r="J10" s="76"/>
      <c r="K10" s="76"/>
      <c r="L10" s="76"/>
      <c r="M10" s="76"/>
      <c r="N10" s="76"/>
      <c r="O10" s="77"/>
      <c r="P10" s="79"/>
      <c r="Q10" s="82"/>
      <c r="R10" s="82"/>
      <c r="S10" s="82"/>
      <c r="T10" s="82"/>
      <c r="U10" s="82"/>
      <c r="V10" s="221"/>
      <c r="W10" s="59">
        <f t="shared" si="0"/>
        <v>0</v>
      </c>
      <c r="X10" s="69">
        <f t="shared" ref="X10:X38" si="1">SUM(P10:V10)</f>
        <v>0</v>
      </c>
      <c r="Y10" s="222">
        <f t="shared" ref="Y10:Y35" si="2">W10+X10</f>
        <v>0</v>
      </c>
      <c r="Z10" s="71">
        <f>'[1]cálculos teóricos'!I309</f>
        <v>12.867886864875677</v>
      </c>
      <c r="AA10" s="72">
        <f t="shared" ref="AA10:AA38" si="3">100*Y10/Z10</f>
        <v>0</v>
      </c>
      <c r="AB10" s="3"/>
    </row>
    <row r="11" spans="1:28" ht="18" customHeight="1">
      <c r="A11" s="111">
        <v>3</v>
      </c>
      <c r="B11" s="57">
        <v>25.4</v>
      </c>
      <c r="C11" s="74">
        <f>'[1]cálculos teóricos'!K310</f>
        <v>1.0368857158244706</v>
      </c>
      <c r="D11" s="59">
        <f t="shared" ref="D11:D38" si="4">IF(B11&gt;0,B11*C11*14.25*1.022,-999)</f>
        <v>383.55740210920578</v>
      </c>
      <c r="E11" s="60">
        <f t="shared" ref="E11:E38" si="5">IF(B11&gt;0,D11*4.1868/100,-999)</f>
        <v>16.058781311508227</v>
      </c>
      <c r="F11" s="61">
        <f t="shared" ref="F11:F38" si="6">IF(B11&gt;0,(7.86+1.25*D11)*4.1868/100,-999)</f>
        <v>20.402559119385284</v>
      </c>
      <c r="G11" s="62">
        <f>'[1]cálculos teóricos'!T310</f>
        <v>40.237876041340378</v>
      </c>
      <c r="H11" s="75">
        <f t="shared" ref="H11:H38" si="7">IF(B11&gt;0,100*F11/G11,-999)</f>
        <v>50.70486100813001</v>
      </c>
      <c r="I11" s="57"/>
      <c r="J11" s="76"/>
      <c r="K11" s="76"/>
      <c r="L11" s="76">
        <v>0.5</v>
      </c>
      <c r="M11" s="76">
        <v>0.8</v>
      </c>
      <c r="N11" s="76">
        <v>1</v>
      </c>
      <c r="O11" s="77">
        <v>0.8</v>
      </c>
      <c r="P11" s="79">
        <v>0.8</v>
      </c>
      <c r="Q11" s="82">
        <v>1</v>
      </c>
      <c r="R11" s="82">
        <v>0.9</v>
      </c>
      <c r="S11" s="82">
        <v>0.7</v>
      </c>
      <c r="T11" s="82">
        <v>0.8</v>
      </c>
      <c r="U11" s="82">
        <v>0.7</v>
      </c>
      <c r="V11" s="221"/>
      <c r="W11" s="59">
        <f t="shared" si="0"/>
        <v>3.0999999999999996</v>
      </c>
      <c r="X11" s="69">
        <f t="shared" si="1"/>
        <v>4.9000000000000004</v>
      </c>
      <c r="Y11" s="222">
        <f t="shared" si="2"/>
        <v>8</v>
      </c>
      <c r="Z11" s="71">
        <f>'[1]cálculos teóricos'!I310</f>
        <v>12.887894761778501</v>
      </c>
      <c r="AA11" s="72">
        <f t="shared" si="3"/>
        <v>62.07375330007752</v>
      </c>
      <c r="AB11" s="3"/>
    </row>
    <row r="12" spans="1:28" ht="18" customHeight="1">
      <c r="A12" s="111">
        <v>4</v>
      </c>
      <c r="B12" s="57">
        <v>20</v>
      </c>
      <c r="C12" s="74">
        <f>'[1]cálculos teóricos'!K311</f>
        <v>1.0372133543534348</v>
      </c>
      <c r="D12" s="59">
        <f t="shared" si="4"/>
        <v>302.10913372252497</v>
      </c>
      <c r="E12" s="60">
        <f t="shared" si="5"/>
        <v>12.648705210694676</v>
      </c>
      <c r="F12" s="61">
        <f t="shared" si="6"/>
        <v>16.139963993368344</v>
      </c>
      <c r="G12" s="62">
        <f>'[1]cálculos teóricos'!T311</f>
        <v>40.346840870923295</v>
      </c>
      <c r="H12" s="75">
        <f t="shared" si="7"/>
        <v>40.003042728928776</v>
      </c>
      <c r="I12" s="57"/>
      <c r="J12" s="76"/>
      <c r="K12" s="76"/>
      <c r="L12" s="76"/>
      <c r="M12" s="76"/>
      <c r="N12" s="76">
        <v>0.9</v>
      </c>
      <c r="O12" s="77">
        <v>1</v>
      </c>
      <c r="P12" s="79">
        <v>1</v>
      </c>
      <c r="Q12" s="82">
        <v>1</v>
      </c>
      <c r="R12" s="82">
        <v>0.8</v>
      </c>
      <c r="S12" s="82">
        <v>0.7</v>
      </c>
      <c r="T12" s="82"/>
      <c r="U12" s="82"/>
      <c r="V12" s="221"/>
      <c r="W12" s="59">
        <f t="shared" si="0"/>
        <v>1.9</v>
      </c>
      <c r="X12" s="69">
        <f t="shared" si="1"/>
        <v>3.5</v>
      </c>
      <c r="Y12" s="222">
        <f t="shared" si="2"/>
        <v>5.4</v>
      </c>
      <c r="Z12" s="71">
        <f>'[1]cálculos teóricos'!I311</f>
        <v>12.907711856619468</v>
      </c>
      <c r="AA12" s="72">
        <f t="shared" si="3"/>
        <v>41.835455113841228</v>
      </c>
      <c r="AB12" s="3"/>
    </row>
    <row r="13" spans="1:28" ht="18" customHeight="1">
      <c r="A13" s="73">
        <v>5</v>
      </c>
      <c r="B13" s="57">
        <v>24.8</v>
      </c>
      <c r="C13" s="74">
        <f>'[1]cálculos teóricos'!K312</f>
        <v>1.0375302484934286</v>
      </c>
      <c r="D13" s="59">
        <f t="shared" si="4"/>
        <v>374.72977999356442</v>
      </c>
      <c r="E13" s="60">
        <f t="shared" si="5"/>
        <v>15.689186428770554</v>
      </c>
      <c r="F13" s="61">
        <f t="shared" si="6"/>
        <v>19.940565515963193</v>
      </c>
      <c r="G13" s="62">
        <f>'[1]cálculos teóricos'!T312</f>
        <v>40.453572052854859</v>
      </c>
      <c r="H13" s="75">
        <f t="shared" si="7"/>
        <v>49.292471601542942</v>
      </c>
      <c r="I13" s="57"/>
      <c r="J13" s="76"/>
      <c r="K13" s="76">
        <v>1</v>
      </c>
      <c r="L13" s="76">
        <v>1</v>
      </c>
      <c r="M13" s="76">
        <v>1</v>
      </c>
      <c r="N13" s="76">
        <v>1</v>
      </c>
      <c r="O13" s="77">
        <v>1</v>
      </c>
      <c r="P13" s="79">
        <v>0.4</v>
      </c>
      <c r="Q13" s="82"/>
      <c r="R13" s="82"/>
      <c r="S13" s="82"/>
      <c r="T13" s="82"/>
      <c r="U13" s="82"/>
      <c r="V13" s="221"/>
      <c r="W13" s="59">
        <f t="shared" si="0"/>
        <v>5</v>
      </c>
      <c r="X13" s="69">
        <f t="shared" si="1"/>
        <v>0.4</v>
      </c>
      <c r="Y13" s="222">
        <f t="shared" si="2"/>
        <v>5.4</v>
      </c>
      <c r="Z13" s="71">
        <f>'[1]cálculos teóricos'!I312</f>
        <v>12.927329886767305</v>
      </c>
      <c r="AA13" s="72">
        <f t="shared" si="3"/>
        <v>41.771967198946143</v>
      </c>
      <c r="AB13" s="3"/>
    </row>
    <row r="14" spans="1:28" ht="18" customHeight="1">
      <c r="A14" s="111">
        <v>6</v>
      </c>
      <c r="B14" s="57">
        <v>17.600000000000001</v>
      </c>
      <c r="C14" s="74">
        <f>'[1]cálculos teóricos'!K313</f>
        <v>1.0378365387300734</v>
      </c>
      <c r="D14" s="59">
        <f t="shared" si="4"/>
        <v>266.01577079959952</v>
      </c>
      <c r="E14" s="60">
        <f t="shared" si="5"/>
        <v>11.137548291837632</v>
      </c>
      <c r="F14" s="61">
        <f t="shared" si="6"/>
        <v>14.25101784479704</v>
      </c>
      <c r="G14" s="62">
        <f>'[1]cálculos teóricos'!T313</f>
        <v>40.558063702289274</v>
      </c>
      <c r="H14" s="75">
        <f t="shared" si="7"/>
        <v>35.13732299797303</v>
      </c>
      <c r="I14" s="57"/>
      <c r="J14" s="76">
        <v>0.3</v>
      </c>
      <c r="K14" s="76">
        <v>0.1</v>
      </c>
      <c r="L14" s="76"/>
      <c r="M14" s="76"/>
      <c r="N14" s="76"/>
      <c r="O14" s="77">
        <v>0.2</v>
      </c>
      <c r="P14" s="79">
        <v>0.3</v>
      </c>
      <c r="Q14" s="82"/>
      <c r="R14" s="82"/>
      <c r="S14" s="82"/>
      <c r="T14" s="82"/>
      <c r="U14" s="82">
        <v>0.1</v>
      </c>
      <c r="V14" s="221"/>
      <c r="W14" s="59">
        <f t="shared" si="0"/>
        <v>0.60000000000000009</v>
      </c>
      <c r="X14" s="69">
        <f t="shared" si="1"/>
        <v>0.4</v>
      </c>
      <c r="Y14" s="222">
        <f t="shared" si="2"/>
        <v>1</v>
      </c>
      <c r="Z14" s="71">
        <f>'[1]cálculos teóricos'!I313</f>
        <v>12.946740432424651</v>
      </c>
      <c r="AA14" s="72">
        <f t="shared" si="3"/>
        <v>7.7239518720521776</v>
      </c>
      <c r="AB14" s="3"/>
    </row>
    <row r="15" spans="1:28" ht="18" customHeight="1">
      <c r="A15" s="73">
        <v>7</v>
      </c>
      <c r="B15" s="57">
        <v>30.1</v>
      </c>
      <c r="C15" s="74">
        <f>'[1]cálculos teóricos'!K314</f>
        <v>1.0381323717224153</v>
      </c>
      <c r="D15" s="59">
        <f t="shared" si="4"/>
        <v>455.07710794693986</v>
      </c>
      <c r="E15" s="60">
        <f t="shared" si="5"/>
        <v>19.053168355522477</v>
      </c>
      <c r="F15" s="61">
        <f t="shared" si="6"/>
        <v>24.145542924403099</v>
      </c>
      <c r="G15" s="62">
        <f>'[1]cálculos teóricos'!T314</f>
        <v>40.660311141513574</v>
      </c>
      <c r="H15" s="75">
        <f t="shared" si="7"/>
        <v>59.383566545684538</v>
      </c>
      <c r="I15" s="57">
        <v>0.1</v>
      </c>
      <c r="J15" s="76">
        <v>0.8</v>
      </c>
      <c r="K15" s="76"/>
      <c r="L15" s="76"/>
      <c r="M15" s="76"/>
      <c r="N15" s="76">
        <v>0.4</v>
      </c>
      <c r="O15" s="77">
        <v>1</v>
      </c>
      <c r="P15" s="79">
        <v>1</v>
      </c>
      <c r="Q15" s="79">
        <v>1</v>
      </c>
      <c r="R15" s="76">
        <v>1</v>
      </c>
      <c r="S15" s="76">
        <v>1</v>
      </c>
      <c r="T15" s="82">
        <v>1</v>
      </c>
      <c r="U15" s="82">
        <v>0.3</v>
      </c>
      <c r="V15" s="221"/>
      <c r="W15" s="59">
        <f t="shared" si="0"/>
        <v>2.2999999999999998</v>
      </c>
      <c r="X15" s="69">
        <f t="shared" si="1"/>
        <v>5.3</v>
      </c>
      <c r="Y15" s="222">
        <f t="shared" si="2"/>
        <v>7.6</v>
      </c>
      <c r="Z15" s="71">
        <f>'[1]cálculos teóricos'!I314</f>
        <v>12.965934921865541</v>
      </c>
      <c r="AA15" s="72">
        <f t="shared" si="3"/>
        <v>58.615133006594718</v>
      </c>
      <c r="AB15" s="3"/>
    </row>
    <row r="16" spans="1:28" ht="18" customHeight="1">
      <c r="A16" s="80">
        <v>8</v>
      </c>
      <c r="B16" s="76">
        <v>20</v>
      </c>
      <c r="C16" s="74">
        <f>'[1]cálculos teóricos'!K315</f>
        <v>1.0384179000189673</v>
      </c>
      <c r="D16" s="59">
        <f t="shared" si="4"/>
        <v>302.45998173852456</v>
      </c>
      <c r="E16" s="60">
        <f t="shared" si="5"/>
        <v>12.663394515428545</v>
      </c>
      <c r="F16" s="61">
        <f t="shared" si="6"/>
        <v>16.158325624285684</v>
      </c>
      <c r="G16" s="62">
        <f>'[1]cálculos teóricos'!T315</f>
        <v>40.76031087089649</v>
      </c>
      <c r="H16" s="75">
        <f t="shared" si="7"/>
        <v>39.642302227442009</v>
      </c>
      <c r="I16" s="79"/>
      <c r="J16" s="81"/>
      <c r="K16" s="81"/>
      <c r="L16" s="81"/>
      <c r="M16" s="81"/>
      <c r="N16" s="81"/>
      <c r="O16" s="78"/>
      <c r="P16" s="82">
        <v>0.1</v>
      </c>
      <c r="Q16" s="82">
        <v>0.9</v>
      </c>
      <c r="R16" s="81">
        <v>0.7</v>
      </c>
      <c r="S16" s="81">
        <v>0.6</v>
      </c>
      <c r="T16" s="81">
        <v>0.9</v>
      </c>
      <c r="U16" s="81">
        <v>0.4</v>
      </c>
      <c r="V16" s="221"/>
      <c r="W16" s="59">
        <f t="shared" si="0"/>
        <v>0</v>
      </c>
      <c r="X16" s="69">
        <f t="shared" si="1"/>
        <v>3.5999999999999996</v>
      </c>
      <c r="Y16" s="222">
        <f t="shared" si="2"/>
        <v>3.5999999999999996</v>
      </c>
      <c r="Z16" s="71">
        <f>'[1]cálculos teóricos'!I315</f>
        <v>12.984904637375484</v>
      </c>
      <c r="AA16" s="72">
        <f t="shared" si="3"/>
        <v>27.724500876485706</v>
      </c>
      <c r="AB16" s="3"/>
    </row>
    <row r="17" spans="1:28" ht="18" customHeight="1">
      <c r="A17" s="80">
        <v>9</v>
      </c>
      <c r="B17" s="76">
        <v>19.3</v>
      </c>
      <c r="C17" s="74">
        <f>'[1]cálculos teóricos'!K316</f>
        <v>1.0386932817581682</v>
      </c>
      <c r="D17" s="59">
        <f t="shared" si="4"/>
        <v>291.95128545148214</v>
      </c>
      <c r="E17" s="60">
        <f t="shared" si="5"/>
        <v>12.223416419282653</v>
      </c>
      <c r="F17" s="61">
        <f t="shared" si="6"/>
        <v>15.608353004103316</v>
      </c>
      <c r="G17" s="62">
        <f>'[1]cálculos teóricos'!T316</f>
        <v>40.858060537111371</v>
      </c>
      <c r="H17" s="75">
        <f t="shared" si="7"/>
        <v>38.201404567224259</v>
      </c>
      <c r="I17" s="79"/>
      <c r="J17" s="81"/>
      <c r="K17" s="81"/>
      <c r="L17" s="81"/>
      <c r="M17" s="81">
        <v>0.9</v>
      </c>
      <c r="N17" s="81">
        <v>0.8</v>
      </c>
      <c r="O17" s="78">
        <v>0.5</v>
      </c>
      <c r="P17" s="79"/>
      <c r="Q17" s="82">
        <v>0.3</v>
      </c>
      <c r="R17" s="81">
        <v>0.5</v>
      </c>
      <c r="S17" s="81">
        <v>0.2</v>
      </c>
      <c r="T17" s="81"/>
      <c r="U17" s="81"/>
      <c r="V17" s="221"/>
      <c r="W17" s="59">
        <f t="shared" si="0"/>
        <v>2.2000000000000002</v>
      </c>
      <c r="X17" s="69">
        <f t="shared" si="1"/>
        <v>1</v>
      </c>
      <c r="Y17" s="222">
        <f t="shared" si="2"/>
        <v>3.2</v>
      </c>
      <c r="Z17" s="71">
        <f>'[1]cálculos teóricos'!I316</f>
        <v>13.003640721909486</v>
      </c>
      <c r="AA17" s="72">
        <f t="shared" si="3"/>
        <v>24.608492870834286</v>
      </c>
      <c r="AB17" s="3"/>
    </row>
    <row r="18" spans="1:28" ht="18" customHeight="1">
      <c r="A18" s="80">
        <v>10</v>
      </c>
      <c r="B18" s="76">
        <v>32.5</v>
      </c>
      <c r="C18" s="74">
        <f>'[1]cálculos teóricos'!K317</f>
        <v>1.0389586803534896</v>
      </c>
      <c r="D18" s="59">
        <f t="shared" si="4"/>
        <v>491.75342909316146</v>
      </c>
      <c r="E18" s="60">
        <f t="shared" si="5"/>
        <v>20.588732569272484</v>
      </c>
      <c r="F18" s="61">
        <f t="shared" si="6"/>
        <v>26.064998191590607</v>
      </c>
      <c r="G18" s="62">
        <f>'[1]cálculos teóricos'!T317</f>
        <v>40.95355889867507</v>
      </c>
      <c r="H18" s="75">
        <f t="shared" si="7"/>
        <v>63.645257927593349</v>
      </c>
      <c r="I18" s="79"/>
      <c r="J18" s="81">
        <v>0.2</v>
      </c>
      <c r="K18" s="81">
        <v>1</v>
      </c>
      <c r="L18" s="81">
        <v>0.8</v>
      </c>
      <c r="M18" s="81">
        <v>1</v>
      </c>
      <c r="N18" s="81">
        <v>0.7</v>
      </c>
      <c r="O18" s="78">
        <v>0.8</v>
      </c>
      <c r="P18" s="82">
        <v>1</v>
      </c>
      <c r="Q18" s="81">
        <v>1</v>
      </c>
      <c r="R18" s="81">
        <v>1</v>
      </c>
      <c r="S18" s="81">
        <v>1</v>
      </c>
      <c r="T18" s="81">
        <v>1</v>
      </c>
      <c r="U18" s="81">
        <v>1</v>
      </c>
      <c r="V18" s="221"/>
      <c r="W18" s="59">
        <f t="shared" si="0"/>
        <v>4.5</v>
      </c>
      <c r="X18" s="69">
        <f t="shared" si="1"/>
        <v>6</v>
      </c>
      <c r="Y18" s="222">
        <f t="shared" si="2"/>
        <v>10.5</v>
      </c>
      <c r="Z18" s="71">
        <f>'[1]cálculos teóricos'!I317</f>
        <v>13.022134186481196</v>
      </c>
      <c r="AA18" s="72">
        <f t="shared" si="3"/>
        <v>80.631944423522185</v>
      </c>
      <c r="AB18" s="3"/>
    </row>
    <row r="19" spans="1:28" ht="18" customHeight="1">
      <c r="A19" s="85">
        <v>11</v>
      </c>
      <c r="B19" s="76">
        <v>38.5</v>
      </c>
      <c r="C19" s="74">
        <f>'[1]cálculos teóricos'!K318</f>
        <v>1.0392142641634872</v>
      </c>
      <c r="D19" s="59">
        <f t="shared" si="4"/>
        <v>582.68198204158034</v>
      </c>
      <c r="E19" s="60">
        <f t="shared" si="5"/>
        <v>24.395729224116884</v>
      </c>
      <c r="F19" s="61">
        <f t="shared" si="6"/>
        <v>30.823744010146108</v>
      </c>
      <c r="G19" s="62">
        <f>'[1]cálculos teóricos'!T318</f>
        <v>41.046805788856631</v>
      </c>
      <c r="H19" s="75">
        <f t="shared" si="7"/>
        <v>75.094135628244487</v>
      </c>
      <c r="I19" s="79">
        <v>0.3</v>
      </c>
      <c r="J19" s="81">
        <v>1</v>
      </c>
      <c r="K19" s="81">
        <v>1</v>
      </c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1">
        <v>1</v>
      </c>
      <c r="R19" s="81">
        <v>1</v>
      </c>
      <c r="S19" s="81">
        <v>1</v>
      </c>
      <c r="T19" s="81">
        <v>1</v>
      </c>
      <c r="U19" s="81">
        <v>0.6</v>
      </c>
      <c r="V19" s="221"/>
      <c r="W19" s="59">
        <f t="shared" si="0"/>
        <v>6.3</v>
      </c>
      <c r="X19" s="69">
        <f t="shared" si="1"/>
        <v>5.6</v>
      </c>
      <c r="Y19" s="222">
        <f t="shared" si="2"/>
        <v>11.899999999999999</v>
      </c>
      <c r="Z19" s="71">
        <f>'[1]cálculos teóricos'!I318</f>
        <v>13.040375918294128</v>
      </c>
      <c r="AA19" s="72">
        <f t="shared" si="3"/>
        <v>91.25503800320422</v>
      </c>
      <c r="AB19" s="3"/>
    </row>
    <row r="20" spans="1:28" ht="18" customHeight="1">
      <c r="A20" s="85">
        <v>12</v>
      </c>
      <c r="B20" s="76">
        <v>36.700000000000003</v>
      </c>
      <c r="C20" s="74">
        <f>'[1]cálculos teóricos'!K319</f>
        <v>1.0394602061471769</v>
      </c>
      <c r="D20" s="59">
        <f t="shared" si="4"/>
        <v>555.57115873863597</v>
      </c>
      <c r="E20" s="60">
        <f t="shared" si="5"/>
        <v>23.26065327406921</v>
      </c>
      <c r="F20" s="61">
        <f t="shared" si="6"/>
        <v>29.404899072586513</v>
      </c>
      <c r="G20" s="62">
        <f>'[1]cálculos teóricos'!T319</f>
        <v>41.137802076023092</v>
      </c>
      <c r="H20" s="75">
        <f t="shared" si="7"/>
        <v>71.479023157936226</v>
      </c>
      <c r="I20" s="79">
        <v>0.2</v>
      </c>
      <c r="J20" s="81">
        <v>1</v>
      </c>
      <c r="K20" s="81">
        <v>1</v>
      </c>
      <c r="L20" s="81">
        <v>0.9</v>
      </c>
      <c r="M20" s="81">
        <v>1</v>
      </c>
      <c r="N20" s="81">
        <v>1</v>
      </c>
      <c r="O20" s="78">
        <v>1</v>
      </c>
      <c r="P20" s="82">
        <v>1</v>
      </c>
      <c r="Q20" s="81">
        <v>1</v>
      </c>
      <c r="R20" s="81">
        <v>1</v>
      </c>
      <c r="S20" s="81">
        <v>1</v>
      </c>
      <c r="T20" s="81">
        <v>1</v>
      </c>
      <c r="U20" s="81">
        <v>0.5</v>
      </c>
      <c r="V20" s="221"/>
      <c r="W20" s="59">
        <f t="shared" si="0"/>
        <v>6.1</v>
      </c>
      <c r="X20" s="69">
        <f t="shared" si="1"/>
        <v>5.5</v>
      </c>
      <c r="Y20" s="222">
        <f t="shared" si="2"/>
        <v>11.6</v>
      </c>
      <c r="Z20" s="71">
        <f>'[1]cálculos teóricos'!I319</f>
        <v>13.058356689623087</v>
      </c>
      <c r="AA20" s="72">
        <f t="shared" si="3"/>
        <v>88.832004483519881</v>
      </c>
      <c r="AB20" s="3"/>
    </row>
    <row r="21" spans="1:28" ht="18" customHeight="1">
      <c r="A21" s="85">
        <v>13</v>
      </c>
      <c r="B21" s="76">
        <v>16.5</v>
      </c>
      <c r="C21" s="74">
        <f>'[1]cálculos teóricos'!K320</f>
        <v>1.0396966835051891</v>
      </c>
      <c r="D21" s="59">
        <f t="shared" si="4"/>
        <v>249.83677372875906</v>
      </c>
      <c r="E21" s="60">
        <f t="shared" si="5"/>
        <v>10.460166042475684</v>
      </c>
      <c r="F21" s="61">
        <f t="shared" si="6"/>
        <v>13.404290033094606</v>
      </c>
      <c r="G21" s="62">
        <f>'[1]cálculos teóricos'!T320</f>
        <v>41.226549621502578</v>
      </c>
      <c r="H21" s="75">
        <f t="shared" si="7"/>
        <v>32.513732427666746</v>
      </c>
      <c r="I21" s="79"/>
      <c r="J21" s="81">
        <v>0.1</v>
      </c>
      <c r="K21" s="81">
        <v>0.2</v>
      </c>
      <c r="L21" s="81">
        <v>0.9</v>
      </c>
      <c r="M21" s="81">
        <v>0.2</v>
      </c>
      <c r="N21" s="81"/>
      <c r="O21" s="78"/>
      <c r="P21" s="82"/>
      <c r="Q21" s="81"/>
      <c r="R21" s="81"/>
      <c r="S21" s="81"/>
      <c r="T21" s="81"/>
      <c r="U21" s="81"/>
      <c r="V21" s="221"/>
      <c r="W21" s="59">
        <f t="shared" si="0"/>
        <v>1.4000000000000001</v>
      </c>
      <c r="X21" s="69">
        <f t="shared" si="1"/>
        <v>0</v>
      </c>
      <c r="Y21" s="222">
        <f t="shared" si="2"/>
        <v>1.4000000000000001</v>
      </c>
      <c r="Z21" s="71">
        <f>'[1]cálculos teóricos'!I320</f>
        <v>13.076067167451267</v>
      </c>
      <c r="AA21" s="72">
        <f t="shared" si="3"/>
        <v>10.706583119157242</v>
      </c>
      <c r="AB21" s="3"/>
    </row>
    <row r="22" spans="1:28" ht="18" customHeight="1">
      <c r="A22" s="85">
        <v>14</v>
      </c>
      <c r="B22" s="76">
        <v>22</v>
      </c>
      <c r="C22" s="74">
        <f>'[1]cálculos teóricos'!K321</f>
        <v>1.0399238773072104</v>
      </c>
      <c r="D22" s="59">
        <f t="shared" si="4"/>
        <v>333.18849051759832</v>
      </c>
      <c r="E22" s="60">
        <f t="shared" si="5"/>
        <v>13.949935720990807</v>
      </c>
      <c r="F22" s="61">
        <f t="shared" si="6"/>
        <v>17.766502131238511</v>
      </c>
      <c r="G22" s="62">
        <f>'[1]cálculos teóricos'!T321</f>
        <v>41.31305123505652</v>
      </c>
      <c r="H22" s="75">
        <f t="shared" si="7"/>
        <v>43.004575067945119</v>
      </c>
      <c r="I22" s="79"/>
      <c r="J22" s="81"/>
      <c r="K22" s="81"/>
      <c r="L22" s="81"/>
      <c r="M22" s="81"/>
      <c r="N22" s="81"/>
      <c r="O22" s="78"/>
      <c r="P22" s="82"/>
      <c r="Q22" s="81">
        <v>0.9</v>
      </c>
      <c r="R22" s="81">
        <v>0.2</v>
      </c>
      <c r="S22" s="81"/>
      <c r="T22" s="81"/>
      <c r="U22" s="81"/>
      <c r="V22" s="221"/>
      <c r="W22" s="59">
        <f t="shared" si="0"/>
        <v>0</v>
      </c>
      <c r="X22" s="69">
        <f t="shared" si="1"/>
        <v>1.1000000000000001</v>
      </c>
      <c r="Y22" s="222">
        <f t="shared" si="2"/>
        <v>1.1000000000000001</v>
      </c>
      <c r="Z22" s="71">
        <f>'[1]cálculos teóricos'!I321</f>
        <v>13.093497923865337</v>
      </c>
      <c r="AA22" s="72">
        <f t="shared" si="3"/>
        <v>8.4011163891892124</v>
      </c>
      <c r="AB22" s="3"/>
    </row>
    <row r="23" spans="1:28" ht="18" customHeight="1">
      <c r="A23" s="85">
        <v>15</v>
      </c>
      <c r="B23" s="76">
        <v>15.9</v>
      </c>
      <c r="C23" s="74">
        <f>'[1]cálculos teóricos'!K322</f>
        <v>1.0401419721063272</v>
      </c>
      <c r="D23" s="59">
        <f t="shared" si="4"/>
        <v>240.85491101125092</v>
      </c>
      <c r="E23" s="60">
        <f t="shared" si="5"/>
        <v>10.084113414219052</v>
      </c>
      <c r="F23" s="61">
        <f t="shared" si="6"/>
        <v>12.934224247773816</v>
      </c>
      <c r="G23" s="62">
        <f>'[1]cálculos teóricos'!T322</f>
        <v>41.397310628066037</v>
      </c>
      <c r="H23" s="75">
        <f t="shared" si="7"/>
        <v>31.244117193943584</v>
      </c>
      <c r="I23" s="79"/>
      <c r="J23" s="81"/>
      <c r="K23" s="81"/>
      <c r="L23" s="81"/>
      <c r="M23" s="81"/>
      <c r="N23" s="81"/>
      <c r="O23" s="78"/>
      <c r="P23" s="82"/>
      <c r="Q23" s="81">
        <v>0.5</v>
      </c>
      <c r="R23" s="81">
        <v>0.6</v>
      </c>
      <c r="S23" s="81">
        <v>0.6</v>
      </c>
      <c r="T23" s="81">
        <v>0.2</v>
      </c>
      <c r="U23" s="81"/>
      <c r="V23" s="221"/>
      <c r="W23" s="59">
        <f t="shared" si="0"/>
        <v>0</v>
      </c>
      <c r="X23" s="69">
        <f t="shared" si="1"/>
        <v>1.9000000000000001</v>
      </c>
      <c r="Y23" s="222">
        <f t="shared" si="2"/>
        <v>1.9000000000000001</v>
      </c>
      <c r="Z23" s="71">
        <f>'[1]cálculos teóricos'!I322</f>
        <v>13.110639447207307</v>
      </c>
      <c r="AA23" s="72">
        <f t="shared" si="3"/>
        <v>14.492046765916657</v>
      </c>
      <c r="AB23" s="3"/>
    </row>
    <row r="24" spans="1:28" ht="18" customHeight="1">
      <c r="A24" s="85">
        <v>16</v>
      </c>
      <c r="B24" s="76">
        <v>15.2</v>
      </c>
      <c r="C24" s="74">
        <f>'[1]cálculos teóricos'!K323</f>
        <v>1.0403511555409204</v>
      </c>
      <c r="D24" s="59">
        <f t="shared" si="4"/>
        <v>230.29754161654694</v>
      </c>
      <c r="E24" s="60">
        <f t="shared" si="5"/>
        <v>9.642097472401586</v>
      </c>
      <c r="F24" s="61">
        <f t="shared" si="6"/>
        <v>12.381704320501983</v>
      </c>
      <c r="G24" s="62">
        <f>'[1]cálculos teóricos'!T323</f>
        <v>41.479332364548611</v>
      </c>
      <c r="H24" s="75">
        <f t="shared" si="7"/>
        <v>29.850298003070868</v>
      </c>
      <c r="I24" s="79"/>
      <c r="J24" s="81"/>
      <c r="K24" s="81"/>
      <c r="L24" s="81"/>
      <c r="M24" s="81"/>
      <c r="N24" s="81"/>
      <c r="O24" s="78"/>
      <c r="P24" s="82">
        <v>0.1</v>
      </c>
      <c r="Q24" s="81"/>
      <c r="R24" s="81"/>
      <c r="S24" s="81"/>
      <c r="T24" s="81"/>
      <c r="U24" s="81"/>
      <c r="V24" s="221"/>
      <c r="W24" s="59">
        <f t="shared" si="0"/>
        <v>0</v>
      </c>
      <c r="X24" s="69">
        <f t="shared" si="1"/>
        <v>0.1</v>
      </c>
      <c r="Y24" s="222">
        <f t="shared" si="2"/>
        <v>0.1</v>
      </c>
      <c r="Z24" s="71">
        <f>'[1]cálculos teóricos'!I323</f>
        <v>13.127482153978651</v>
      </c>
      <c r="AA24" s="72">
        <f t="shared" si="3"/>
        <v>0.76176070039213273</v>
      </c>
      <c r="AB24" s="3"/>
    </row>
    <row r="25" spans="1:28" ht="18" customHeight="1">
      <c r="A25" s="85">
        <v>17</v>
      </c>
      <c r="B25" s="76">
        <v>16.899999999999999</v>
      </c>
      <c r="C25" s="74">
        <f>'[1]cálculos teóricos'!K324</f>
        <v>1.0405516179248628</v>
      </c>
      <c r="D25" s="59">
        <f t="shared" si="4"/>
        <v>256.10384194126368</v>
      </c>
      <c r="E25" s="60">
        <f t="shared" si="5"/>
        <v>10.722555654396826</v>
      </c>
      <c r="F25" s="61">
        <f t="shared" si="6"/>
        <v>13.732277047996035</v>
      </c>
      <c r="G25" s="62">
        <f>'[1]cálculos teóricos'!T324</f>
        <v>41.559121810132794</v>
      </c>
      <c r="H25" s="75">
        <f t="shared" si="7"/>
        <v>33.042750784613261</v>
      </c>
      <c r="I25" s="79">
        <v>0.1</v>
      </c>
      <c r="J25" s="81"/>
      <c r="K25" s="81">
        <v>0.1</v>
      </c>
      <c r="L25" s="81">
        <v>0.8</v>
      </c>
      <c r="M25" s="81">
        <v>0.1</v>
      </c>
      <c r="N25" s="81">
        <v>0.2</v>
      </c>
      <c r="O25" s="78">
        <v>0.1</v>
      </c>
      <c r="P25" s="82"/>
      <c r="Q25" s="81"/>
      <c r="R25" s="81"/>
      <c r="S25" s="81">
        <v>0.3</v>
      </c>
      <c r="T25" s="81"/>
      <c r="U25" s="81"/>
      <c r="V25" s="221"/>
      <c r="W25" s="59">
        <f t="shared" si="0"/>
        <v>1.4000000000000001</v>
      </c>
      <c r="X25" s="69">
        <f t="shared" si="1"/>
        <v>0.3</v>
      </c>
      <c r="Y25" s="222">
        <f t="shared" si="2"/>
        <v>1.7000000000000002</v>
      </c>
      <c r="Z25" s="71">
        <f>'[1]cálculos teóricos'!I324</f>
        <v>13.144016401488095</v>
      </c>
      <c r="AA25" s="72">
        <f t="shared" si="3"/>
        <v>12.933641803790929</v>
      </c>
      <c r="AB25" s="3"/>
    </row>
    <row r="26" spans="1:28" ht="18" customHeight="1">
      <c r="A26" s="85">
        <v>18</v>
      </c>
      <c r="B26" s="76">
        <v>18.7</v>
      </c>
      <c r="C26" s="74">
        <f>'[1]cálculos teóricos'!K325</f>
        <v>1.0407435518268184</v>
      </c>
      <c r="D26" s="59">
        <f t="shared" si="4"/>
        <v>283.43344500845859</v>
      </c>
      <c r="E26" s="60">
        <f t="shared" si="5"/>
        <v>11.866791475614143</v>
      </c>
      <c r="F26" s="61">
        <f t="shared" si="6"/>
        <v>15.162571824517681</v>
      </c>
      <c r="G26" s="62">
        <f>'[1]cálculos teóricos'!T325</f>
        <v>41.636685079129691</v>
      </c>
      <c r="H26" s="75">
        <f t="shared" si="7"/>
        <v>36.416376077253787</v>
      </c>
      <c r="I26" s="79"/>
      <c r="J26" s="81"/>
      <c r="K26" s="81">
        <v>0.6</v>
      </c>
      <c r="L26" s="81">
        <v>0.8</v>
      </c>
      <c r="M26" s="81">
        <v>0.6</v>
      </c>
      <c r="N26" s="81">
        <v>0.1</v>
      </c>
      <c r="O26" s="78">
        <v>0.2</v>
      </c>
      <c r="P26" s="82">
        <v>0.3</v>
      </c>
      <c r="Q26" s="81">
        <v>0.4</v>
      </c>
      <c r="R26" s="81">
        <v>0.6</v>
      </c>
      <c r="S26" s="81"/>
      <c r="T26" s="81">
        <v>0.5</v>
      </c>
      <c r="U26" s="81">
        <v>0.9</v>
      </c>
      <c r="V26" s="221"/>
      <c r="W26" s="59">
        <f t="shared" si="0"/>
        <v>2.3000000000000003</v>
      </c>
      <c r="X26" s="69">
        <f t="shared" si="1"/>
        <v>2.6999999999999997</v>
      </c>
      <c r="Y26" s="222">
        <f t="shared" si="2"/>
        <v>5</v>
      </c>
      <c r="Z26" s="71">
        <f>'[1]cálculos teóricos'!I325</f>
        <v>13.160232501230519</v>
      </c>
      <c r="AA26" s="72">
        <f t="shared" si="3"/>
        <v>37.993249735766341</v>
      </c>
      <c r="AB26" s="3"/>
    </row>
    <row r="27" spans="1:28" ht="18" customHeight="1">
      <c r="A27" s="80">
        <v>19</v>
      </c>
      <c r="B27" s="76">
        <v>33.700000000000003</v>
      </c>
      <c r="C27" s="74">
        <f>'[1]cálculos teóricos'!K326</f>
        <v>1.0409271516395178</v>
      </c>
      <c r="D27" s="59">
        <f t="shared" si="4"/>
        <v>510.8765847068014</v>
      </c>
      <c r="E27" s="60">
        <f t="shared" si="5"/>
        <v>21.389380848504359</v>
      </c>
      <c r="F27" s="61">
        <f t="shared" si="6"/>
        <v>27.065808540630449</v>
      </c>
      <c r="G27" s="62">
        <f>'[1]cálculos teóricos'!T326</f>
        <v>41.712028979849315</v>
      </c>
      <c r="H27" s="75">
        <f t="shared" si="7"/>
        <v>64.887297987124256</v>
      </c>
      <c r="I27" s="79">
        <v>0.2</v>
      </c>
      <c r="J27" s="81">
        <v>1</v>
      </c>
      <c r="K27" s="81">
        <v>0.7</v>
      </c>
      <c r="L27" s="81">
        <v>0.9</v>
      </c>
      <c r="M27" s="81">
        <v>1</v>
      </c>
      <c r="N27" s="81">
        <v>1</v>
      </c>
      <c r="O27" s="78">
        <v>1</v>
      </c>
      <c r="P27" s="82">
        <v>1</v>
      </c>
      <c r="Q27" s="81">
        <v>1</v>
      </c>
      <c r="R27" s="81">
        <v>1</v>
      </c>
      <c r="S27" s="81">
        <v>1</v>
      </c>
      <c r="T27" s="81">
        <v>1</v>
      </c>
      <c r="U27" s="81">
        <v>1</v>
      </c>
      <c r="V27" s="221"/>
      <c r="W27" s="59">
        <f t="shared" si="0"/>
        <v>5.8</v>
      </c>
      <c r="X27" s="69">
        <f t="shared" si="1"/>
        <v>6</v>
      </c>
      <c r="Y27" s="222">
        <f t="shared" si="2"/>
        <v>11.8</v>
      </c>
      <c r="Z27" s="71">
        <f>'[1]cálculos teóricos'!I326</f>
        <v>13.176120732980356</v>
      </c>
      <c r="AA27" s="72">
        <f t="shared" si="3"/>
        <v>89.555949274691514</v>
      </c>
      <c r="AB27" s="3"/>
    </row>
    <row r="28" spans="1:28" ht="18" customHeight="1">
      <c r="A28" s="80">
        <v>20</v>
      </c>
      <c r="B28" s="76">
        <v>32.5</v>
      </c>
      <c r="C28" s="74">
        <f>'[1]cálculos teóricos'!K327</f>
        <v>1.0411026131399503</v>
      </c>
      <c r="D28" s="59">
        <f t="shared" si="4"/>
        <v>492.76818196006923</v>
      </c>
      <c r="E28" s="60">
        <f t="shared" si="5"/>
        <v>20.631218242304175</v>
      </c>
      <c r="F28" s="61">
        <f t="shared" si="6"/>
        <v>26.118105282880222</v>
      </c>
      <c r="G28" s="62">
        <f>'[1]cálculos teóricos'!T327</f>
        <v>41.785160958320809</v>
      </c>
      <c r="H28" s="75">
        <f t="shared" si="7"/>
        <v>62.505695045502137</v>
      </c>
      <c r="I28" s="79"/>
      <c r="J28" s="81">
        <v>0.7</v>
      </c>
      <c r="K28" s="81">
        <v>1</v>
      </c>
      <c r="L28" s="81">
        <v>0.5</v>
      </c>
      <c r="M28" s="81">
        <v>0.5</v>
      </c>
      <c r="N28" s="81">
        <v>0.6</v>
      </c>
      <c r="O28" s="78">
        <v>0.9</v>
      </c>
      <c r="P28" s="82">
        <v>1</v>
      </c>
      <c r="Q28" s="81">
        <v>1</v>
      </c>
      <c r="R28" s="81">
        <v>1</v>
      </c>
      <c r="S28" s="81">
        <v>1</v>
      </c>
      <c r="T28" s="81">
        <v>1</v>
      </c>
      <c r="U28" s="81">
        <v>1</v>
      </c>
      <c r="V28" s="221"/>
      <c r="W28" s="59">
        <f t="shared" si="0"/>
        <v>4.2</v>
      </c>
      <c r="X28" s="69">
        <f t="shared" si="1"/>
        <v>6</v>
      </c>
      <c r="Y28" s="222">
        <f t="shared" si="2"/>
        <v>10.199999999999999</v>
      </c>
      <c r="Z28" s="71">
        <f>'[1]cálculos teóricos'!I327</f>
        <v>13.191671359578162</v>
      </c>
      <c r="AA28" s="72">
        <f t="shared" si="3"/>
        <v>77.321513870143676</v>
      </c>
      <c r="AB28" s="3"/>
    </row>
    <row r="29" spans="1:28" ht="18" customHeight="1">
      <c r="A29" s="80">
        <v>21</v>
      </c>
      <c r="B29" s="76">
        <v>36.299999999999997</v>
      </c>
      <c r="C29" s="74">
        <f>'[1]cálculos teóricos'!K328</f>
        <v>1.0412701330414673</v>
      </c>
      <c r="D29" s="59">
        <f t="shared" si="4"/>
        <v>550.47271424654355</v>
      </c>
      <c r="E29" s="60">
        <f t="shared" si="5"/>
        <v>23.047191600074285</v>
      </c>
      <c r="F29" s="61">
        <f t="shared" si="6"/>
        <v>29.138071980092853</v>
      </c>
      <c r="G29" s="62">
        <f>'[1]cálculos teóricos'!T328</f>
        <v>41.856089040582916</v>
      </c>
      <c r="H29" s="75">
        <f t="shared" si="7"/>
        <v>69.614893909082383</v>
      </c>
      <c r="I29" s="79">
        <v>0.1</v>
      </c>
      <c r="J29" s="81">
        <v>1</v>
      </c>
      <c r="K29" s="81">
        <v>1</v>
      </c>
      <c r="L29" s="81">
        <v>1</v>
      </c>
      <c r="M29" s="81">
        <v>1</v>
      </c>
      <c r="N29" s="81">
        <v>1</v>
      </c>
      <c r="O29" s="77">
        <v>1</v>
      </c>
      <c r="P29" s="82">
        <v>1</v>
      </c>
      <c r="Q29" s="81">
        <v>1</v>
      </c>
      <c r="R29" s="81">
        <v>1</v>
      </c>
      <c r="S29" s="81">
        <v>1</v>
      </c>
      <c r="T29" s="81">
        <v>1</v>
      </c>
      <c r="U29" s="81">
        <v>0.9</v>
      </c>
      <c r="V29" s="221"/>
      <c r="W29" s="59">
        <f t="shared" si="0"/>
        <v>6.1</v>
      </c>
      <c r="X29" s="69">
        <f t="shared" si="1"/>
        <v>5.9</v>
      </c>
      <c r="Y29" s="222">
        <f t="shared" si="2"/>
        <v>12</v>
      </c>
      <c r="Z29" s="71">
        <f>'[1]cálculos teóricos'!I328</f>
        <v>13.206874642384781</v>
      </c>
      <c r="AA29" s="72">
        <f t="shared" si="3"/>
        <v>90.86176953242547</v>
      </c>
      <c r="AB29" s="3"/>
    </row>
    <row r="30" spans="1:28" ht="18" customHeight="1">
      <c r="A30" s="85">
        <v>22</v>
      </c>
      <c r="B30" s="76">
        <v>28.6</v>
      </c>
      <c r="C30" s="74">
        <f>'[1]cálculos teóricos'!K329</f>
        <v>1.0414299085388574</v>
      </c>
      <c r="D30" s="59">
        <f t="shared" si="4"/>
        <v>433.77232392796162</v>
      </c>
      <c r="E30" s="60">
        <f t="shared" si="5"/>
        <v>18.161179658215897</v>
      </c>
      <c r="F30" s="61">
        <f t="shared" si="6"/>
        <v>23.030557052769868</v>
      </c>
      <c r="G30" s="62">
        <f>'[1]cálculos teóricos'!T329</f>
        <v>41.924821773720296</v>
      </c>
      <c r="H30" s="75">
        <f t="shared" si="7"/>
        <v>54.932987376957904</v>
      </c>
      <c r="I30" s="79"/>
      <c r="J30" s="81">
        <v>1</v>
      </c>
      <c r="K30" s="81">
        <v>1</v>
      </c>
      <c r="L30" s="81">
        <v>1</v>
      </c>
      <c r="M30" s="81">
        <v>1</v>
      </c>
      <c r="N30" s="81">
        <v>1</v>
      </c>
      <c r="O30" s="78">
        <v>0.9</v>
      </c>
      <c r="P30" s="82">
        <v>1</v>
      </c>
      <c r="Q30" s="81">
        <v>1</v>
      </c>
      <c r="R30" s="81">
        <v>0.1</v>
      </c>
      <c r="S30" s="81">
        <v>0.2</v>
      </c>
      <c r="T30" s="81">
        <v>0.8</v>
      </c>
      <c r="U30" s="81">
        <v>0.8</v>
      </c>
      <c r="V30" s="221"/>
      <c r="W30" s="59">
        <f t="shared" si="0"/>
        <v>5.9</v>
      </c>
      <c r="X30" s="69">
        <f t="shared" si="1"/>
        <v>3.9000000000000004</v>
      </c>
      <c r="Y30" s="222">
        <f t="shared" si="2"/>
        <v>9.8000000000000007</v>
      </c>
      <c r="Z30" s="71">
        <f>'[1]cálculos teóricos'!I329</f>
        <v>13.221720857372709</v>
      </c>
      <c r="AA30" s="72">
        <f t="shared" si="3"/>
        <v>74.120457584273652</v>
      </c>
      <c r="AB30" s="3"/>
    </row>
    <row r="31" spans="1:28" ht="18" customHeight="1">
      <c r="A31" s="85">
        <v>23</v>
      </c>
      <c r="B31" s="76">
        <v>19.3</v>
      </c>
      <c r="C31" s="74">
        <f>'[1]cálculos teóricos'!K330</f>
        <v>1.0415821368474991</v>
      </c>
      <c r="D31" s="59">
        <f t="shared" si="4"/>
        <v>292.76327198458608</v>
      </c>
      <c r="E31" s="60">
        <f t="shared" si="5"/>
        <v>12.25741267145065</v>
      </c>
      <c r="F31" s="61">
        <f t="shared" si="6"/>
        <v>15.650848319313312</v>
      </c>
      <c r="G31" s="62">
        <f>'[1]cálculos teóricos'!T330</f>
        <v>41.991368165827453</v>
      </c>
      <c r="H31" s="75">
        <f t="shared" si="7"/>
        <v>37.271584620693453</v>
      </c>
      <c r="I31" s="79"/>
      <c r="J31" s="81"/>
      <c r="K31" s="81"/>
      <c r="L31" s="81">
        <v>0.2</v>
      </c>
      <c r="M31" s="81">
        <v>0.2</v>
      </c>
      <c r="N31" s="81">
        <v>0.4</v>
      </c>
      <c r="O31" s="78">
        <v>0.3</v>
      </c>
      <c r="P31" s="82"/>
      <c r="Q31" s="81">
        <v>0.9</v>
      </c>
      <c r="R31" s="81">
        <v>0.6</v>
      </c>
      <c r="S31" s="81"/>
      <c r="T31" s="81"/>
      <c r="U31" s="81"/>
      <c r="V31" s="221"/>
      <c r="W31" s="59">
        <f t="shared" si="0"/>
        <v>1.1000000000000001</v>
      </c>
      <c r="X31" s="69">
        <f t="shared" si="1"/>
        <v>1.5</v>
      </c>
      <c r="Y31" s="222">
        <f t="shared" si="2"/>
        <v>2.6</v>
      </c>
      <c r="Z31" s="71">
        <f>'[1]cálculos teóricos'!I330</f>
        <v>13.236200311819495</v>
      </c>
      <c r="AA31" s="72">
        <f t="shared" si="3"/>
        <v>19.643099520625153</v>
      </c>
      <c r="AB31" s="3"/>
    </row>
    <row r="32" spans="1:28" ht="18" customHeight="1">
      <c r="A32" s="85">
        <v>24</v>
      </c>
      <c r="B32" s="76">
        <v>15.3</v>
      </c>
      <c r="C32" s="74">
        <f>'[1]cálculos teóricos'!K331</f>
        <v>1.0417270147377604</v>
      </c>
      <c r="D32" s="59">
        <f t="shared" si="4"/>
        <v>232.11922810074063</v>
      </c>
      <c r="E32" s="60">
        <f t="shared" si="5"/>
        <v>9.7183678421218094</v>
      </c>
      <c r="F32" s="61">
        <f t="shared" si="6"/>
        <v>12.47704228265226</v>
      </c>
      <c r="G32" s="62">
        <f>'[1]cálculos teóricos'!T331</f>
        <v>42.055737625089591</v>
      </c>
      <c r="H32" s="75">
        <f t="shared" si="7"/>
        <v>29.667871703690466</v>
      </c>
      <c r="I32" s="79"/>
      <c r="J32" s="81"/>
      <c r="K32" s="81"/>
      <c r="L32" s="81"/>
      <c r="M32" s="81">
        <v>0.2</v>
      </c>
      <c r="N32" s="81">
        <v>1</v>
      </c>
      <c r="O32" s="78">
        <v>0.5</v>
      </c>
      <c r="P32" s="82"/>
      <c r="Q32" s="81"/>
      <c r="R32" s="81"/>
      <c r="S32" s="81"/>
      <c r="T32" s="81"/>
      <c r="U32" s="81"/>
      <c r="V32" s="221"/>
      <c r="W32" s="59">
        <f t="shared" si="0"/>
        <v>1.7</v>
      </c>
      <c r="X32" s="69">
        <f t="shared" si="1"/>
        <v>0</v>
      </c>
      <c r="Y32" s="222">
        <f t="shared" si="2"/>
        <v>1.7</v>
      </c>
      <c r="Z32" s="71">
        <f>'[1]cálculos teóricos'!I331</f>
        <v>13.250303361563352</v>
      </c>
      <c r="AA32" s="72">
        <f t="shared" si="3"/>
        <v>12.82989493607657</v>
      </c>
      <c r="AB32" s="3"/>
    </row>
    <row r="33" spans="1:28" ht="18" customHeight="1">
      <c r="A33" s="85">
        <v>25</v>
      </c>
      <c r="B33" s="76">
        <v>28.3</v>
      </c>
      <c r="C33" s="74">
        <f>'[1]cálculos teóricos'!K332</f>
        <v>1.0418647380658455</v>
      </c>
      <c r="D33" s="59">
        <f t="shared" si="4"/>
        <v>429.40147829286087</v>
      </c>
      <c r="E33" s="60">
        <f t="shared" si="5"/>
        <v>17.9781810931655</v>
      </c>
      <c r="F33" s="61">
        <f t="shared" si="6"/>
        <v>22.801808846456876</v>
      </c>
      <c r="G33" s="62">
        <f>'[1]cálculos teóricos'!T332</f>
        <v>42.117939898174072</v>
      </c>
      <c r="H33" s="75">
        <f t="shared" si="7"/>
        <v>54.137996543951083</v>
      </c>
      <c r="I33" s="79"/>
      <c r="J33" s="81">
        <v>0.2</v>
      </c>
      <c r="K33" s="81">
        <v>0.5</v>
      </c>
      <c r="L33" s="81">
        <v>0.5</v>
      </c>
      <c r="M33" s="81">
        <v>0.3</v>
      </c>
      <c r="N33" s="81">
        <v>0.7</v>
      </c>
      <c r="O33" s="78">
        <v>0.5</v>
      </c>
      <c r="P33" s="82">
        <v>0.8</v>
      </c>
      <c r="Q33" s="81">
        <v>0.9</v>
      </c>
      <c r="R33" s="81">
        <v>0.7</v>
      </c>
      <c r="S33" s="81">
        <v>0.6</v>
      </c>
      <c r="T33" s="81">
        <v>0.5</v>
      </c>
      <c r="U33" s="81">
        <v>0.4</v>
      </c>
      <c r="V33" s="221"/>
      <c r="W33" s="59">
        <f t="shared" si="0"/>
        <v>2.7</v>
      </c>
      <c r="X33" s="69">
        <f t="shared" si="1"/>
        <v>3.9000000000000004</v>
      </c>
      <c r="Y33" s="222">
        <f t="shared" si="2"/>
        <v>6.6000000000000005</v>
      </c>
      <c r="Z33" s="71">
        <f>'[1]cálculos teóricos'!I332</f>
        <v>13.264020428776165</v>
      </c>
      <c r="AA33" s="72">
        <f t="shared" si="3"/>
        <v>49.758668839813929</v>
      </c>
      <c r="AB33" s="3"/>
    </row>
    <row r="34" spans="1:28" ht="18" customHeight="1">
      <c r="A34" s="85">
        <v>26</v>
      </c>
      <c r="B34" s="76">
        <v>39</v>
      </c>
      <c r="C34" s="74">
        <f>'[1]cálculos teóricos'!K333</f>
        <v>1.0419955013023439</v>
      </c>
      <c r="D34" s="59">
        <f t="shared" si="4"/>
        <v>591.82895784545065</v>
      </c>
      <c r="E34" s="60">
        <f t="shared" si="5"/>
        <v>24.778694807073325</v>
      </c>
      <c r="F34" s="61">
        <f t="shared" si="6"/>
        <v>31.302450988841656</v>
      </c>
      <c r="G34" s="62">
        <f>'[1]cálculos teóricos'!T333</f>
        <v>42.17798500813155</v>
      </c>
      <c r="H34" s="75">
        <f t="shared" si="7"/>
        <v>74.215140867461585</v>
      </c>
      <c r="I34" s="79"/>
      <c r="J34" s="81">
        <v>1</v>
      </c>
      <c r="K34" s="81">
        <v>1</v>
      </c>
      <c r="L34" s="81">
        <v>1</v>
      </c>
      <c r="M34" s="81">
        <v>1</v>
      </c>
      <c r="N34" s="81">
        <v>1</v>
      </c>
      <c r="O34" s="78">
        <v>1</v>
      </c>
      <c r="P34" s="82">
        <v>1</v>
      </c>
      <c r="Q34" s="81">
        <v>1</v>
      </c>
      <c r="R34" s="81">
        <v>1</v>
      </c>
      <c r="S34" s="81">
        <v>1</v>
      </c>
      <c r="T34" s="81">
        <v>1</v>
      </c>
      <c r="U34" s="81">
        <v>1</v>
      </c>
      <c r="V34" s="221">
        <v>0.2</v>
      </c>
      <c r="W34" s="59">
        <f t="shared" si="0"/>
        <v>6</v>
      </c>
      <c r="X34" s="69">
        <f t="shared" si="1"/>
        <v>6.2</v>
      </c>
      <c r="Y34" s="222">
        <f t="shared" si="2"/>
        <v>12.2</v>
      </c>
      <c r="Z34" s="71">
        <f>'[1]cálculos teóricos'!I333</f>
        <v>13.277342020204403</v>
      </c>
      <c r="AA34" s="72">
        <f t="shared" si="3"/>
        <v>91.885860750103532</v>
      </c>
      <c r="AB34" s="3"/>
    </row>
    <row r="35" spans="1:28" ht="18" customHeight="1">
      <c r="A35" s="85">
        <v>27</v>
      </c>
      <c r="B35" s="76">
        <v>34.700000000000003</v>
      </c>
      <c r="C35" s="74">
        <f>'[1]cálculos teóricos'!K334</f>
        <v>1.0421194970597658</v>
      </c>
      <c r="D35" s="59">
        <f t="shared" si="4"/>
        <v>526.63868315141758</v>
      </c>
      <c r="E35" s="60">
        <f t="shared" si="5"/>
        <v>22.049308386183551</v>
      </c>
      <c r="F35" s="61">
        <f t="shared" si="6"/>
        <v>27.890717962729436</v>
      </c>
      <c r="G35" s="62">
        <f>'[1]cálculos teóricos'!T334</f>
        <v>42.235883192008956</v>
      </c>
      <c r="H35" s="75">
        <f t="shared" si="7"/>
        <v>66.035597825515268</v>
      </c>
      <c r="I35" s="79">
        <v>0.2</v>
      </c>
      <c r="J35" s="81">
        <v>1</v>
      </c>
      <c r="K35" s="81">
        <v>1</v>
      </c>
      <c r="L35" s="81">
        <v>1</v>
      </c>
      <c r="M35" s="81">
        <v>1</v>
      </c>
      <c r="N35" s="81">
        <v>1</v>
      </c>
      <c r="O35" s="78">
        <v>1</v>
      </c>
      <c r="P35" s="82">
        <v>1</v>
      </c>
      <c r="Q35" s="81">
        <v>1</v>
      </c>
      <c r="R35" s="81">
        <v>1</v>
      </c>
      <c r="S35" s="81">
        <v>0.8</v>
      </c>
      <c r="T35" s="81"/>
      <c r="U35" s="81"/>
      <c r="V35" s="221"/>
      <c r="W35" s="59">
        <f t="shared" si="0"/>
        <v>6.2</v>
      </c>
      <c r="X35" s="69">
        <f t="shared" si="1"/>
        <v>3.8</v>
      </c>
      <c r="Y35" s="222">
        <f t="shared" si="2"/>
        <v>10</v>
      </c>
      <c r="Z35" s="71">
        <f>'[1]cálculos teóricos'!I334</f>
        <v>13.290258745823692</v>
      </c>
      <c r="AA35" s="72">
        <f t="shared" si="3"/>
        <v>75.243079847052513</v>
      </c>
      <c r="AB35" s="3"/>
    </row>
    <row r="36" spans="1:28" ht="18" customHeight="1">
      <c r="A36" s="85">
        <v>28</v>
      </c>
      <c r="B36" s="76">
        <v>34</v>
      </c>
      <c r="C36" s="74">
        <f>'[1]cálculos teóricos'!K335</f>
        <v>1.0422369156203868</v>
      </c>
      <c r="D36" s="59">
        <f t="shared" si="4"/>
        <v>516.0729889016751</v>
      </c>
      <c r="E36" s="60">
        <f t="shared" si="5"/>
        <v>21.606943899335334</v>
      </c>
      <c r="F36" s="61">
        <f t="shared" si="6"/>
        <v>27.337762354169168</v>
      </c>
      <c r="G36" s="62">
        <f>'[1]cálculos teóricos'!T335</f>
        <v>42.291644838379867</v>
      </c>
      <c r="H36" s="75">
        <f t="shared" si="7"/>
        <v>64.641047797128991</v>
      </c>
      <c r="I36" s="79"/>
      <c r="J36" s="81">
        <v>0.7</v>
      </c>
      <c r="K36" s="81">
        <v>0.5</v>
      </c>
      <c r="L36" s="81">
        <v>1</v>
      </c>
      <c r="M36" s="81">
        <v>1</v>
      </c>
      <c r="N36" s="81">
        <v>1</v>
      </c>
      <c r="O36" s="78">
        <v>1</v>
      </c>
      <c r="P36" s="82">
        <v>1</v>
      </c>
      <c r="Q36" s="81">
        <v>1</v>
      </c>
      <c r="R36" s="81">
        <v>1</v>
      </c>
      <c r="S36" s="81">
        <v>1</v>
      </c>
      <c r="T36" s="81">
        <v>1</v>
      </c>
      <c r="U36" s="81">
        <v>0.6</v>
      </c>
      <c r="V36" s="221"/>
      <c r="W36" s="59">
        <f t="shared" si="0"/>
        <v>5.2</v>
      </c>
      <c r="X36" s="69">
        <f t="shared" si="1"/>
        <v>5.6</v>
      </c>
      <c r="Y36" s="222">
        <f>W36+X36</f>
        <v>10.8</v>
      </c>
      <c r="Z36" s="71">
        <f>'[1]cálculos teóricos'!I335</f>
        <v>13.302761337848288</v>
      </c>
      <c r="AA36" s="72">
        <f t="shared" si="3"/>
        <v>81.186151699740947</v>
      </c>
      <c r="AB36" s="3"/>
    </row>
    <row r="37" spans="1:28" ht="18" customHeight="1">
      <c r="A37" s="85">
        <v>29</v>
      </c>
      <c r="B37" s="76">
        <v>37.200000000000003</v>
      </c>
      <c r="C37" s="74">
        <f>'[1]cálculos teóricos'!K336</f>
        <v>1.0423479444657391</v>
      </c>
      <c r="D37" s="59">
        <f t="shared" si="4"/>
        <v>564.70471555923666</v>
      </c>
      <c r="E37" s="60">
        <f t="shared" si="5"/>
        <v>23.643057031034118</v>
      </c>
      <c r="F37" s="61">
        <f t="shared" si="6"/>
        <v>29.882903768792652</v>
      </c>
      <c r="G37" s="62">
        <f>'[1]cálculos teóricos'!T336</f>
        <v>42.345280424998855</v>
      </c>
      <c r="H37" s="75">
        <f t="shared" si="7"/>
        <v>70.569620672888632</v>
      </c>
      <c r="I37" s="79"/>
      <c r="J37" s="81">
        <v>0.8</v>
      </c>
      <c r="K37" s="81">
        <v>1</v>
      </c>
      <c r="L37" s="81">
        <v>1</v>
      </c>
      <c r="M37" s="81">
        <v>1</v>
      </c>
      <c r="N37" s="81">
        <v>1</v>
      </c>
      <c r="O37" s="78">
        <v>1</v>
      </c>
      <c r="P37" s="82">
        <v>1</v>
      </c>
      <c r="Q37" s="81">
        <v>1</v>
      </c>
      <c r="R37" s="81">
        <v>1</v>
      </c>
      <c r="S37" s="81">
        <v>1</v>
      </c>
      <c r="T37" s="81">
        <v>1</v>
      </c>
      <c r="U37" s="81">
        <v>1</v>
      </c>
      <c r="V37" s="221"/>
      <c r="W37" s="59">
        <f t="shared" si="0"/>
        <v>5.8</v>
      </c>
      <c r="X37" s="69">
        <f t="shared" si="1"/>
        <v>6</v>
      </c>
      <c r="Y37" s="222">
        <f>W37+X37</f>
        <v>11.8</v>
      </c>
      <c r="Z37" s="71">
        <f>'[1]cálculos teóricos'!I336</f>
        <v>13.314840670031995</v>
      </c>
      <c r="AA37" s="72">
        <f t="shared" si="3"/>
        <v>88.622915530326395</v>
      </c>
      <c r="AB37" s="3"/>
    </row>
    <row r="38" spans="1:28" ht="18" customHeight="1">
      <c r="A38" s="80">
        <v>30</v>
      </c>
      <c r="B38" s="76">
        <v>36.6</v>
      </c>
      <c r="C38" s="74">
        <f>'[1]cálculos teóricos'!K337</f>
        <v>1.0424527678091269</v>
      </c>
      <c r="D38" s="59">
        <f t="shared" si="4"/>
        <v>555.65244835396891</v>
      </c>
      <c r="E38" s="60">
        <f t="shared" si="5"/>
        <v>23.26405670768397</v>
      </c>
      <c r="F38" s="61">
        <f t="shared" si="6"/>
        <v>29.409153364604961</v>
      </c>
      <c r="G38" s="62">
        <f>'[1]cálculos teóricos'!T337</f>
        <v>42.396800456787844</v>
      </c>
      <c r="H38" s="75">
        <f t="shared" si="7"/>
        <v>69.366445221685296</v>
      </c>
      <c r="I38" s="79">
        <v>0.1</v>
      </c>
      <c r="J38" s="81">
        <v>1</v>
      </c>
      <c r="K38" s="81">
        <v>1</v>
      </c>
      <c r="L38" s="81">
        <v>1</v>
      </c>
      <c r="M38" s="81">
        <v>1</v>
      </c>
      <c r="N38" s="81">
        <v>1</v>
      </c>
      <c r="O38" s="77">
        <v>1</v>
      </c>
      <c r="P38" s="82">
        <v>1</v>
      </c>
      <c r="Q38" s="81">
        <v>1</v>
      </c>
      <c r="R38" s="81">
        <v>1</v>
      </c>
      <c r="S38" s="81">
        <v>1</v>
      </c>
      <c r="T38" s="81">
        <v>1</v>
      </c>
      <c r="U38" s="81">
        <v>0.6</v>
      </c>
      <c r="V38" s="221"/>
      <c r="W38" s="59">
        <f t="shared" si="0"/>
        <v>6.1</v>
      </c>
      <c r="X38" s="69">
        <f t="shared" si="1"/>
        <v>5.6</v>
      </c>
      <c r="Y38" s="222">
        <f>W38+X38</f>
        <v>11.7</v>
      </c>
      <c r="Z38" s="71">
        <f>'[1]cálculos teóricos'!I337</f>
        <v>13.326487777193289</v>
      </c>
      <c r="AA38" s="72">
        <f t="shared" si="3"/>
        <v>87.795075458840472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223"/>
      <c r="W39" s="59"/>
      <c r="X39" s="89"/>
      <c r="Y39" s="224"/>
      <c r="Z39" s="187"/>
      <c r="AA39" s="128"/>
      <c r="AB39" s="3"/>
    </row>
    <row r="40" spans="1:28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1.3000000000000003</v>
      </c>
      <c r="J40" s="104">
        <f t="shared" ref="J40:AA40" si="8">SUM(J9:J39)</f>
        <v>11.8</v>
      </c>
      <c r="K40" s="104">
        <f t="shared" si="8"/>
        <v>13.7</v>
      </c>
      <c r="L40" s="104">
        <f t="shared" si="8"/>
        <v>16.5</v>
      </c>
      <c r="M40" s="104">
        <f t="shared" si="8"/>
        <v>16.799999999999997</v>
      </c>
      <c r="N40" s="104">
        <f t="shared" si="8"/>
        <v>18.799999999999997</v>
      </c>
      <c r="O40" s="104">
        <f t="shared" si="8"/>
        <v>18.700000000000003</v>
      </c>
      <c r="P40" s="104">
        <f t="shared" si="8"/>
        <v>17.8</v>
      </c>
      <c r="Q40" s="104">
        <f t="shared" si="8"/>
        <v>20.700000000000003</v>
      </c>
      <c r="R40" s="104">
        <f t="shared" si="8"/>
        <v>18.5</v>
      </c>
      <c r="S40" s="104">
        <f t="shared" si="8"/>
        <v>15.799999999999999</v>
      </c>
      <c r="T40" s="104">
        <f t="shared" si="8"/>
        <v>14.700000000000001</v>
      </c>
      <c r="U40" s="104">
        <f t="shared" si="8"/>
        <v>11.8</v>
      </c>
      <c r="V40" s="104">
        <f t="shared" si="8"/>
        <v>0.2</v>
      </c>
      <c r="W40" s="104">
        <f>SUM(I40:O40)</f>
        <v>97.6</v>
      </c>
      <c r="X40" s="104">
        <f>SUM(P40:V40)</f>
        <v>99.5</v>
      </c>
      <c r="Y40" s="104">
        <f>W40+X40</f>
        <v>197.1</v>
      </c>
      <c r="Z40" s="104">
        <f t="shared" si="8"/>
        <v>393.23114498563649</v>
      </c>
      <c r="AA40" s="104">
        <f t="shared" si="8"/>
        <v>1499.777804300827</v>
      </c>
      <c r="AB40" s="102"/>
    </row>
    <row r="41" spans="1:28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61"/>
  <sheetViews>
    <sheetView topLeftCell="A2" zoomScale="60" zoomScaleNormal="60" workbookViewId="0">
      <selection activeCell="A4" sqref="A4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31" ht="18" customHeight="1">
      <c r="A1" s="1" t="s">
        <v>76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31" ht="18" customHeight="1">
      <c r="A2" s="3"/>
      <c r="B2" s="9" t="s">
        <v>4</v>
      </c>
      <c r="C2" s="3"/>
      <c r="D2" s="3"/>
      <c r="E2" s="3"/>
      <c r="F2" s="3"/>
      <c r="G2" s="5"/>
      <c r="H2" s="3"/>
      <c r="I2" s="3"/>
      <c r="J2" s="3"/>
      <c r="K2" s="225"/>
      <c r="L2" s="226"/>
      <c r="M2" s="3"/>
      <c r="N2" s="3"/>
      <c r="O2" s="3"/>
      <c r="P2" s="3"/>
      <c r="Q2" s="3"/>
      <c r="R2" s="3"/>
      <c r="S2" s="3"/>
      <c r="T2" s="10"/>
      <c r="U2" s="3"/>
      <c r="V2" s="9" t="s">
        <v>60</v>
      </c>
      <c r="W2" s="3"/>
      <c r="X2" s="3"/>
      <c r="Y2" s="3"/>
      <c r="Z2" s="3"/>
      <c r="AA2" s="3"/>
      <c r="AB2" s="3"/>
    </row>
    <row r="3" spans="1:31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27"/>
      <c r="U3" s="3"/>
      <c r="V3" s="9" t="s">
        <v>63</v>
      </c>
      <c r="W3" s="10"/>
      <c r="X3" s="6"/>
      <c r="Y3" s="6"/>
      <c r="Z3" s="6"/>
      <c r="AA3" s="6"/>
      <c r="AB3" s="3"/>
    </row>
    <row r="4" spans="1:31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31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31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31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0" t="s">
        <v>49</v>
      </c>
      <c r="Y8" s="53" t="s">
        <v>50</v>
      </c>
      <c r="Z8" s="54" t="s">
        <v>50</v>
      </c>
      <c r="AA8" s="55" t="s">
        <v>50</v>
      </c>
      <c r="AB8" s="3"/>
    </row>
    <row r="9" spans="1:31" ht="18" customHeight="1">
      <c r="A9" s="111">
        <v>1</v>
      </c>
      <c r="B9" s="57">
        <v>26.8</v>
      </c>
      <c r="C9" s="74">
        <f>'[1]cálculos teóricos'!K338</f>
        <v>1.0425515661325413</v>
      </c>
      <c r="D9" s="59">
        <f>IF(B9&gt;0,B9*C9*14.25*1.022,-999)</f>
        <v>406.9097528543499</v>
      </c>
      <c r="E9" s="60">
        <f>IF(B9&gt;0,D9*4.1868/100,-999)</f>
        <v>17.036497532505919</v>
      </c>
      <c r="F9" s="61">
        <f>IF(B9&gt;0,(7.86+1.25*D9)*4.1868/100,-999)</f>
        <v>21.624704395632403</v>
      </c>
      <c r="G9" s="62">
        <f>'[1]cálculos teóricos'!T338</f>
        <v>42.446215404362263</v>
      </c>
      <c r="H9" s="63">
        <f>IF(B9&gt;0,100*F9/G9,-999)</f>
        <v>50.946130743637504</v>
      </c>
      <c r="I9" s="64"/>
      <c r="J9" s="64"/>
      <c r="K9" s="64">
        <v>0.7</v>
      </c>
      <c r="L9" s="64">
        <v>1</v>
      </c>
      <c r="M9" s="64">
        <v>1</v>
      </c>
      <c r="N9" s="64">
        <v>1</v>
      </c>
      <c r="O9" s="65">
        <v>1</v>
      </c>
      <c r="P9" s="64">
        <v>0.7</v>
      </c>
      <c r="Q9" s="64">
        <v>0.1</v>
      </c>
      <c r="R9" s="64">
        <v>0.3</v>
      </c>
      <c r="S9" s="64"/>
      <c r="T9" s="64"/>
      <c r="U9" s="64"/>
      <c r="V9" s="214"/>
      <c r="W9" s="59">
        <f t="shared" ref="W9:W40" si="0">SUM(I9:O9)</f>
        <v>4.7</v>
      </c>
      <c r="X9" s="206">
        <f>SUM(P9:V9)</f>
        <v>1.0999999999999999</v>
      </c>
      <c r="Y9" s="228">
        <f t="shared" ref="Y9:Y24" si="1">W9+X9</f>
        <v>5.8</v>
      </c>
      <c r="Z9" s="71">
        <f>'[1]cálculos teóricos'!I338</f>
        <v>13.33769387489302</v>
      </c>
      <c r="AA9" s="72">
        <f>100*Y9/Z9</f>
        <v>43.485778384207528</v>
      </c>
      <c r="AB9" s="3"/>
      <c r="AE9" s="229"/>
    </row>
    <row r="10" spans="1:31" ht="18" customHeight="1">
      <c r="A10" s="111">
        <v>2</v>
      </c>
      <c r="B10" s="57">
        <v>19.5</v>
      </c>
      <c r="C10" s="74">
        <f>'[1]cálculos teóricos'!K339</f>
        <v>1.0426445157293678</v>
      </c>
      <c r="D10" s="59">
        <f>IF(B10&gt;0,B10*C10*14.25*1.022,-999)</f>
        <v>296.09879139408065</v>
      </c>
      <c r="E10" s="60">
        <f>IF(B10&gt;0,D10*4.1868/100,-999)</f>
        <v>12.397064198087369</v>
      </c>
      <c r="F10" s="61">
        <f>IF(B10&gt;0,(7.86+1.25*D10)*4.1868/100,-999)</f>
        <v>15.825412727609212</v>
      </c>
      <c r="G10" s="62">
        <f>'[1]cálculos teóricos'!T339</f>
        <v>42.493535643303574</v>
      </c>
      <c r="H10" s="75">
        <f>IF(B10&gt;0,100*F10/G10,-999)</f>
        <v>37.241929832456975</v>
      </c>
      <c r="I10" s="57"/>
      <c r="J10" s="76"/>
      <c r="K10" s="76">
        <v>0.5</v>
      </c>
      <c r="L10" s="76">
        <v>0.7</v>
      </c>
      <c r="M10" s="76">
        <v>0.4</v>
      </c>
      <c r="N10" s="76"/>
      <c r="O10" s="77">
        <v>0.1</v>
      </c>
      <c r="P10" s="79">
        <v>0.4</v>
      </c>
      <c r="Q10" s="76">
        <v>0.6</v>
      </c>
      <c r="R10" s="82">
        <v>0.5</v>
      </c>
      <c r="S10" s="82"/>
      <c r="T10" s="82"/>
      <c r="U10" s="82"/>
      <c r="V10" s="215"/>
      <c r="W10" s="59">
        <f t="shared" si="0"/>
        <v>1.7000000000000002</v>
      </c>
      <c r="X10" s="69">
        <f t="shared" ref="X10:X39" si="2">SUM(P10:V10)</f>
        <v>1.5</v>
      </c>
      <c r="Y10" s="222">
        <f t="shared" si="1"/>
        <v>3.2</v>
      </c>
      <c r="Z10" s="71">
        <f>'[1]cálculos teóricos'!I339</f>
        <v>13.348450379189718</v>
      </c>
      <c r="AA10" s="72">
        <f t="shared" ref="AA10:AA39" si="3">100*Y10/Z10</f>
        <v>23.972820133405236</v>
      </c>
      <c r="AB10" s="3"/>
      <c r="AE10" s="229"/>
    </row>
    <row r="11" spans="1:31" ht="18" customHeight="1">
      <c r="A11" s="111">
        <v>3</v>
      </c>
      <c r="B11" s="57">
        <v>30.3</v>
      </c>
      <c r="C11" s="74">
        <f>'[1]cálculos teóricos'!K340</f>
        <v>1.0427317882542817</v>
      </c>
      <c r="D11" s="59">
        <f t="shared" ref="D11:D39" si="4">IF(B11&gt;0,B11*C11*14.25*1.022,-999)</f>
        <v>460.13047926670936</v>
      </c>
      <c r="E11" s="60">
        <f t="shared" ref="E11:E39" si="5">IF(B11&gt;0,D11*4.1868/100,-999)</f>
        <v>19.264742905938586</v>
      </c>
      <c r="F11" s="61">
        <f t="shared" ref="F11:F39" si="6">IF(B11&gt;0,(7.86+1.25*D11)*4.1868/100,-999)</f>
        <v>24.410011112423231</v>
      </c>
      <c r="G11" s="62">
        <f>'[1]cálculos teóricos'!T340</f>
        <v>42.538771394383659</v>
      </c>
      <c r="H11" s="75">
        <f t="shared" ref="H11:H39" si="7">IF(B11&gt;0,100*F11/G11,-999)</f>
        <v>57.382971609861904</v>
      </c>
      <c r="I11" s="57"/>
      <c r="J11" s="76">
        <v>0.2</v>
      </c>
      <c r="K11" s="76">
        <v>0.9</v>
      </c>
      <c r="L11" s="76">
        <v>1</v>
      </c>
      <c r="M11" s="76">
        <v>1</v>
      </c>
      <c r="N11" s="76">
        <v>1</v>
      </c>
      <c r="O11" s="77">
        <v>1</v>
      </c>
      <c r="P11" s="79">
        <v>1</v>
      </c>
      <c r="Q11" s="79">
        <v>1</v>
      </c>
      <c r="R11" s="79">
        <v>1</v>
      </c>
      <c r="S11" s="79">
        <v>0.4</v>
      </c>
      <c r="T11" s="82"/>
      <c r="U11" s="82"/>
      <c r="V11" s="215"/>
      <c r="W11" s="59">
        <f t="shared" si="0"/>
        <v>5.0999999999999996</v>
      </c>
      <c r="X11" s="69">
        <f t="shared" si="2"/>
        <v>3.4</v>
      </c>
      <c r="Y11" s="222">
        <f t="shared" si="1"/>
        <v>8.5</v>
      </c>
      <c r="Z11" s="71">
        <f>'[1]cálculos teóricos'!I340</f>
        <v>13.358748926394169</v>
      </c>
      <c r="AA11" s="72">
        <f t="shared" si="3"/>
        <v>63.628712889466243</v>
      </c>
      <c r="AB11" s="3"/>
      <c r="AE11" s="229"/>
    </row>
    <row r="12" spans="1:31" ht="18" customHeight="1">
      <c r="A12" s="111">
        <v>4</v>
      </c>
      <c r="B12" s="57">
        <v>25.6</v>
      </c>
      <c r="C12" s="74">
        <f>'[1]cálculos teóricos'!K341</f>
        <v>1.0428135502817324</v>
      </c>
      <c r="D12" s="59">
        <f t="shared" si="4"/>
        <v>388.78758757191707</v>
      </c>
      <c r="E12" s="60">
        <f t="shared" si="5"/>
        <v>16.277758716461022</v>
      </c>
      <c r="F12" s="61">
        <f t="shared" si="6"/>
        <v>20.676280875576282</v>
      </c>
      <c r="G12" s="62">
        <f>'[1]cálculos teóricos'!T341</f>
        <v>42.581932664942727</v>
      </c>
      <c r="H12" s="75">
        <f t="shared" si="7"/>
        <v>48.556464165842932</v>
      </c>
      <c r="I12" s="57"/>
      <c r="J12" s="76">
        <v>0.3</v>
      </c>
      <c r="K12" s="76">
        <v>0.9</v>
      </c>
      <c r="L12" s="76">
        <v>1</v>
      </c>
      <c r="M12" s="76">
        <v>1</v>
      </c>
      <c r="N12" s="76">
        <v>0.9</v>
      </c>
      <c r="O12" s="77">
        <v>0.2</v>
      </c>
      <c r="P12" s="79">
        <v>0.7</v>
      </c>
      <c r="Q12" s="82">
        <v>0.8</v>
      </c>
      <c r="R12" s="82"/>
      <c r="S12" s="82"/>
      <c r="T12" s="82"/>
      <c r="U12" s="82"/>
      <c r="V12" s="215"/>
      <c r="W12" s="59">
        <f t="shared" si="0"/>
        <v>4.3000000000000007</v>
      </c>
      <c r="X12" s="69">
        <f t="shared" si="2"/>
        <v>1.5</v>
      </c>
      <c r="Y12" s="222">
        <f t="shared" si="1"/>
        <v>5.8000000000000007</v>
      </c>
      <c r="Z12" s="71">
        <f>'[1]cálculos teóricos'!I341</f>
        <v>13.368581392741991</v>
      </c>
      <c r="AA12" s="72">
        <f t="shared" si="3"/>
        <v>43.38530641066307</v>
      </c>
      <c r="AB12" s="3"/>
      <c r="AE12" s="229"/>
    </row>
    <row r="13" spans="1:31" ht="18" customHeight="1">
      <c r="A13" s="73">
        <v>5</v>
      </c>
      <c r="B13" s="57">
        <v>32.1</v>
      </c>
      <c r="C13" s="74">
        <f>'[1]cálculos teóricos'!K342</f>
        <v>1.042889962874388</v>
      </c>
      <c r="D13" s="59">
        <f t="shared" si="4"/>
        <v>487.53890797570887</v>
      </c>
      <c r="E13" s="60">
        <f t="shared" si="5"/>
        <v>20.412278999126979</v>
      </c>
      <c r="F13" s="61">
        <f t="shared" si="6"/>
        <v>25.844431228908721</v>
      </c>
      <c r="G13" s="62">
        <f>'[1]cálculos teóricos'!T342</f>
        <v>42.623029191619999</v>
      </c>
      <c r="H13" s="75">
        <f t="shared" si="7"/>
        <v>60.63490023836674</v>
      </c>
      <c r="I13" s="57"/>
      <c r="J13" s="76"/>
      <c r="K13" s="76">
        <v>0.1</v>
      </c>
      <c r="L13" s="76">
        <v>1</v>
      </c>
      <c r="M13" s="76">
        <v>1</v>
      </c>
      <c r="N13" s="76">
        <v>1</v>
      </c>
      <c r="O13" s="77">
        <v>1</v>
      </c>
      <c r="P13" s="79">
        <v>1</v>
      </c>
      <c r="Q13" s="82">
        <v>1</v>
      </c>
      <c r="R13" s="82">
        <v>1</v>
      </c>
      <c r="S13" s="82">
        <v>0.3</v>
      </c>
      <c r="T13" s="82"/>
      <c r="U13" s="82"/>
      <c r="V13" s="215"/>
      <c r="W13" s="59">
        <f t="shared" si="0"/>
        <v>4.0999999999999996</v>
      </c>
      <c r="X13" s="69">
        <f t="shared" si="2"/>
        <v>3.3</v>
      </c>
      <c r="Y13" s="222">
        <f t="shared" si="1"/>
        <v>7.3999999999999995</v>
      </c>
      <c r="Z13" s="71">
        <f>'[1]cálculos teóricos'!I342</f>
        <v>13.37793991390074</v>
      </c>
      <c r="AA13" s="72">
        <f t="shared" si="3"/>
        <v>55.314944211334165</v>
      </c>
      <c r="AB13" s="3"/>
      <c r="AE13" s="229"/>
    </row>
    <row r="14" spans="1:31" ht="18" customHeight="1">
      <c r="A14" s="111">
        <v>6</v>
      </c>
      <c r="B14" s="57">
        <v>31.9</v>
      </c>
      <c r="C14" s="74">
        <f>'[1]cálculos teóricos'!K343</f>
        <v>1.042961181162926</v>
      </c>
      <c r="D14" s="59">
        <f t="shared" si="4"/>
        <v>484.53436866353405</v>
      </c>
      <c r="E14" s="60">
        <f t="shared" si="5"/>
        <v>20.286484947204841</v>
      </c>
      <c r="F14" s="61">
        <f t="shared" si="6"/>
        <v>25.687188664006054</v>
      </c>
      <c r="G14" s="62">
        <f>'[1]cálculos teóricos'!T343</f>
        <v>42.66207038463164</v>
      </c>
      <c r="H14" s="75">
        <f t="shared" si="7"/>
        <v>60.210834665116181</v>
      </c>
      <c r="I14" s="57"/>
      <c r="J14" s="76">
        <v>0.9</v>
      </c>
      <c r="K14" s="76">
        <v>1</v>
      </c>
      <c r="L14" s="76">
        <v>1</v>
      </c>
      <c r="M14" s="76">
        <v>1</v>
      </c>
      <c r="N14" s="76">
        <v>1</v>
      </c>
      <c r="O14" s="77">
        <v>1</v>
      </c>
      <c r="P14" s="79">
        <v>1</v>
      </c>
      <c r="Q14" s="79">
        <v>0.8</v>
      </c>
      <c r="R14" s="82">
        <v>1</v>
      </c>
      <c r="S14" s="82">
        <v>0.5</v>
      </c>
      <c r="T14" s="82"/>
      <c r="U14" s="82"/>
      <c r="V14" s="215"/>
      <c r="W14" s="59">
        <f t="shared" si="0"/>
        <v>5.9</v>
      </c>
      <c r="X14" s="69">
        <f t="shared" si="2"/>
        <v>3.3</v>
      </c>
      <c r="Y14" s="222">
        <f t="shared" si="1"/>
        <v>9.1999999999999993</v>
      </c>
      <c r="Z14" s="71">
        <f>'[1]cálculos teóricos'!I343</f>
        <v>13.386816904225913</v>
      </c>
      <c r="AA14" s="72">
        <f t="shared" si="3"/>
        <v>68.724328313594611</v>
      </c>
      <c r="AB14" s="3"/>
      <c r="AE14" s="229"/>
    </row>
    <row r="15" spans="1:31" ht="18" customHeight="1">
      <c r="A15" s="73">
        <v>7</v>
      </c>
      <c r="B15" s="57">
        <v>29.8</v>
      </c>
      <c r="C15" s="74">
        <f>'[1]cálculos teóricos'!K344</f>
        <v>1.0430273539385098</v>
      </c>
      <c r="D15" s="59">
        <f t="shared" si="4"/>
        <v>452.6658402986879</v>
      </c>
      <c r="E15" s="60">
        <f t="shared" si="5"/>
        <v>18.952213401625464</v>
      </c>
      <c r="F15" s="61">
        <f t="shared" si="6"/>
        <v>24.019349232031832</v>
      </c>
      <c r="G15" s="62">
        <f>'[1]cálculos teóricos'!T344</f>
        <v>42.699065273785024</v>
      </c>
      <c r="H15" s="75">
        <f t="shared" si="7"/>
        <v>56.25263475446252</v>
      </c>
      <c r="I15" s="57"/>
      <c r="J15" s="76">
        <v>0.8</v>
      </c>
      <c r="K15" s="76">
        <v>1</v>
      </c>
      <c r="L15" s="76">
        <v>1</v>
      </c>
      <c r="M15" s="76">
        <v>1</v>
      </c>
      <c r="N15" s="76">
        <v>1</v>
      </c>
      <c r="O15" s="77">
        <v>1</v>
      </c>
      <c r="P15" s="79">
        <v>0.9</v>
      </c>
      <c r="Q15" s="82">
        <v>0.2</v>
      </c>
      <c r="R15" s="82"/>
      <c r="S15" s="82">
        <v>0.2</v>
      </c>
      <c r="T15" s="82">
        <v>0.3</v>
      </c>
      <c r="U15" s="82"/>
      <c r="V15" s="215"/>
      <c r="W15" s="59">
        <f t="shared" si="0"/>
        <v>5.8</v>
      </c>
      <c r="X15" s="69">
        <f t="shared" si="2"/>
        <v>1.6</v>
      </c>
      <c r="Y15" s="222">
        <f t="shared" si="1"/>
        <v>7.4</v>
      </c>
      <c r="Z15" s="71">
        <f>'[1]cálculos teóricos'!I344</f>
        <v>13.395205075679121</v>
      </c>
      <c r="AA15" s="72">
        <f t="shared" si="3"/>
        <v>55.243648441304877</v>
      </c>
      <c r="AB15" s="3"/>
      <c r="AE15" s="229"/>
    </row>
    <row r="16" spans="1:31" ht="18" customHeight="1">
      <c r="A16" s="80">
        <v>8</v>
      </c>
      <c r="B16" s="76">
        <v>17</v>
      </c>
      <c r="C16" s="74">
        <f>'[1]cálculos teóricos'!K345</f>
        <v>1.0430886232592806</v>
      </c>
      <c r="D16" s="59">
        <f t="shared" si="4"/>
        <v>258.24735980222107</v>
      </c>
      <c r="E16" s="60">
        <f t="shared" si="5"/>
        <v>10.812300460199392</v>
      </c>
      <c r="F16" s="61">
        <f t="shared" si="6"/>
        <v>13.844458055249241</v>
      </c>
      <c r="G16" s="62">
        <f>'[1]cálculos teóricos'!T345</f>
        <v>42.734022456413641</v>
      </c>
      <c r="H16" s="75">
        <f t="shared" si="7"/>
        <v>32.396805307456908</v>
      </c>
      <c r="I16" s="79"/>
      <c r="J16" s="81"/>
      <c r="K16" s="81">
        <v>0.4</v>
      </c>
      <c r="L16" s="81">
        <v>1</v>
      </c>
      <c r="M16" s="81">
        <v>0.9</v>
      </c>
      <c r="N16" s="81">
        <v>0.9</v>
      </c>
      <c r="O16" s="78">
        <v>0.8</v>
      </c>
      <c r="P16" s="82"/>
      <c r="Q16" s="82"/>
      <c r="R16" s="81"/>
      <c r="S16" s="81"/>
      <c r="T16" s="81"/>
      <c r="U16" s="81"/>
      <c r="V16" s="215"/>
      <c r="W16" s="59">
        <f t="shared" si="0"/>
        <v>4</v>
      </c>
      <c r="X16" s="69">
        <f t="shared" si="2"/>
        <v>0</v>
      </c>
      <c r="Y16" s="222">
        <f t="shared" si="1"/>
        <v>4</v>
      </c>
      <c r="Z16" s="71">
        <f>'[1]cálculos teóricos'!I345</f>
        <v>13.40309745632074</v>
      </c>
      <c r="AA16" s="72">
        <f t="shared" si="3"/>
        <v>29.843847760083605</v>
      </c>
      <c r="AB16" s="3"/>
      <c r="AE16" s="229"/>
    </row>
    <row r="17" spans="1:31" ht="18" customHeight="1">
      <c r="A17" s="80">
        <v>9</v>
      </c>
      <c r="B17" s="76">
        <v>10</v>
      </c>
      <c r="C17" s="74">
        <f>'[1]cálculos teóricos'!K346</f>
        <v>1.0431451240721528</v>
      </c>
      <c r="D17" s="59">
        <f t="shared" si="4"/>
        <v>151.91844014424797</v>
      </c>
      <c r="E17" s="60">
        <f t="shared" si="5"/>
        <v>6.3605212519593737</v>
      </c>
      <c r="F17" s="61">
        <f t="shared" si="6"/>
        <v>8.2797340449492172</v>
      </c>
      <c r="G17" s="62">
        <f>'[1]cálculos teóricos'!T346</f>
        <v>42.766950047409651</v>
      </c>
      <c r="H17" s="75">
        <f t="shared" si="7"/>
        <v>19.360122795220725</v>
      </c>
      <c r="I17" s="79"/>
      <c r="J17" s="81"/>
      <c r="K17" s="81"/>
      <c r="L17" s="81"/>
      <c r="M17" s="81"/>
      <c r="N17" s="81"/>
      <c r="O17" s="78"/>
      <c r="P17" s="82"/>
      <c r="Q17" s="82"/>
      <c r="R17" s="81"/>
      <c r="S17" s="81"/>
      <c r="T17" s="81"/>
      <c r="U17" s="81"/>
      <c r="V17" s="215"/>
      <c r="W17" s="59">
        <f t="shared" si="0"/>
        <v>0</v>
      </c>
      <c r="X17" s="69">
        <f t="shared" si="2"/>
        <v>0</v>
      </c>
      <c r="Y17" s="222">
        <f t="shared" si="1"/>
        <v>0</v>
      </c>
      <c r="Z17" s="71">
        <f>'[1]cálculos teóricos'!I346</f>
        <v>13.410487408289292</v>
      </c>
      <c r="AA17" s="72">
        <f t="shared" si="3"/>
        <v>0</v>
      </c>
      <c r="AB17" s="3"/>
      <c r="AE17" s="229"/>
    </row>
    <row r="18" spans="1:31" ht="18" customHeight="1">
      <c r="A18" s="80">
        <v>10</v>
      </c>
      <c r="B18" s="76">
        <v>37</v>
      </c>
      <c r="C18" s="74">
        <f>'[1]cálculos teóricos'!K347</f>
        <v>1.0431969838511672</v>
      </c>
      <c r="D18" s="59">
        <f t="shared" si="4"/>
        <v>562.12617314970953</v>
      </c>
      <c r="E18" s="60">
        <f t="shared" si="5"/>
        <v>23.535098617432038</v>
      </c>
      <c r="F18" s="61">
        <f t="shared" si="6"/>
        <v>29.747955751790052</v>
      </c>
      <c r="G18" s="62">
        <f>'[1]cálculos teóricos'!T347</f>
        <v>42.797855631524406</v>
      </c>
      <c r="H18" s="75">
        <f t="shared" si="7"/>
        <v>69.508052010620005</v>
      </c>
      <c r="I18" s="79"/>
      <c r="J18" s="81">
        <v>0.3</v>
      </c>
      <c r="K18" s="81">
        <v>1</v>
      </c>
      <c r="L18" s="81">
        <v>1</v>
      </c>
      <c r="M18" s="81">
        <v>1</v>
      </c>
      <c r="N18" s="81">
        <v>1</v>
      </c>
      <c r="O18" s="78">
        <v>1</v>
      </c>
      <c r="P18" s="79">
        <v>1</v>
      </c>
      <c r="Q18" s="82">
        <v>1</v>
      </c>
      <c r="R18" s="81">
        <v>1</v>
      </c>
      <c r="S18" s="81">
        <v>1</v>
      </c>
      <c r="T18" s="81">
        <v>1</v>
      </c>
      <c r="U18" s="81">
        <v>0.8</v>
      </c>
      <c r="V18" s="215"/>
      <c r="W18" s="59">
        <f t="shared" si="0"/>
        <v>5.3</v>
      </c>
      <c r="X18" s="69">
        <f t="shared" si="2"/>
        <v>5.8</v>
      </c>
      <c r="Y18" s="222">
        <f t="shared" si="1"/>
        <v>11.1</v>
      </c>
      <c r="Z18" s="71">
        <f>'[1]cálculos teóricos'!I347</f>
        <v>13.417368645180208</v>
      </c>
      <c r="AA18" s="72">
        <f t="shared" si="3"/>
        <v>82.728590780632288</v>
      </c>
      <c r="AB18" s="3"/>
      <c r="AE18" s="229"/>
    </row>
    <row r="19" spans="1:31" ht="18" customHeight="1">
      <c r="A19" s="85">
        <v>11</v>
      </c>
      <c r="B19" s="76">
        <v>40.799999999999997</v>
      </c>
      <c r="C19" s="74">
        <f>'[1]cálculos teóricos'!K348</f>
        <v>1.0432443222536116</v>
      </c>
      <c r="D19" s="59">
        <f t="shared" si="4"/>
        <v>619.8861784353312</v>
      </c>
      <c r="E19" s="60">
        <f t="shared" si="5"/>
        <v>25.953394518730448</v>
      </c>
      <c r="F19" s="61">
        <f t="shared" si="6"/>
        <v>32.770825628413057</v>
      </c>
      <c r="G19" s="62">
        <f>'[1]cálculos teóricos'!T348</f>
        <v>42.826746218100261</v>
      </c>
      <c r="H19" s="75">
        <f t="shared" si="7"/>
        <v>76.519531653242481</v>
      </c>
      <c r="I19" s="79"/>
      <c r="J19" s="81">
        <v>1</v>
      </c>
      <c r="K19" s="81">
        <v>1</v>
      </c>
      <c r="L19" s="81">
        <v>1</v>
      </c>
      <c r="M19" s="81">
        <v>1</v>
      </c>
      <c r="N19" s="81">
        <v>1</v>
      </c>
      <c r="O19" s="78">
        <v>1</v>
      </c>
      <c r="P19" s="82">
        <v>1</v>
      </c>
      <c r="Q19" s="81">
        <v>1</v>
      </c>
      <c r="R19" s="81">
        <v>1</v>
      </c>
      <c r="S19" s="81">
        <v>1</v>
      </c>
      <c r="T19" s="81">
        <v>0.8</v>
      </c>
      <c r="U19" s="81">
        <v>1</v>
      </c>
      <c r="V19" s="215"/>
      <c r="W19" s="59">
        <f t="shared" si="0"/>
        <v>6</v>
      </c>
      <c r="X19" s="69">
        <f t="shared" si="2"/>
        <v>5.8</v>
      </c>
      <c r="Y19" s="222">
        <f t="shared" si="1"/>
        <v>11.8</v>
      </c>
      <c r="Z19" s="71">
        <f>'[1]cálculos teóricos'!I348</f>
        <v>13.423735248737781</v>
      </c>
      <c r="AA19" s="72">
        <f t="shared" si="3"/>
        <v>87.903998263892618</v>
      </c>
      <c r="AB19" s="3"/>
      <c r="AE19" s="229"/>
    </row>
    <row r="20" spans="1:31" ht="18" customHeight="1">
      <c r="A20" s="85">
        <v>12</v>
      </c>
      <c r="B20" s="76">
        <v>24.2</v>
      </c>
      <c r="C20" s="74">
        <f>'[1]cálculos teóricos'!K349</f>
        <v>1.043287250795065</v>
      </c>
      <c r="D20" s="59">
        <f t="shared" si="4"/>
        <v>367.69271582228509</v>
      </c>
      <c r="E20" s="60">
        <f t="shared" si="5"/>
        <v>15.394558626047433</v>
      </c>
      <c r="F20" s="61">
        <f t="shared" si="6"/>
        <v>19.572280762559291</v>
      </c>
      <c r="G20" s="62">
        <f>'[1]cálculos teóricos'!T349</f>
        <v>42.853628198387739</v>
      </c>
      <c r="H20" s="75">
        <f t="shared" si="7"/>
        <v>45.672400647037044</v>
      </c>
      <c r="I20" s="79"/>
      <c r="J20" s="81">
        <v>0.9</v>
      </c>
      <c r="K20" s="81">
        <v>1</v>
      </c>
      <c r="L20" s="81">
        <v>1</v>
      </c>
      <c r="M20" s="81">
        <v>1</v>
      </c>
      <c r="N20" s="81">
        <v>1</v>
      </c>
      <c r="O20" s="78">
        <v>0.3</v>
      </c>
      <c r="P20" s="82"/>
      <c r="Q20" s="81"/>
      <c r="R20" s="81"/>
      <c r="S20" s="81"/>
      <c r="T20" s="81"/>
      <c r="U20" s="81"/>
      <c r="V20" s="215"/>
      <c r="W20" s="59">
        <f t="shared" si="0"/>
        <v>5.2</v>
      </c>
      <c r="X20" s="69">
        <f t="shared" si="2"/>
        <v>0</v>
      </c>
      <c r="Y20" s="222">
        <f t="shared" si="1"/>
        <v>5.2</v>
      </c>
      <c r="Z20" s="71">
        <f>'[1]cálculos teóricos'!I349</f>
        <v>13.429581684775858</v>
      </c>
      <c r="AA20" s="72">
        <f t="shared" si="3"/>
        <v>38.720491241323344</v>
      </c>
      <c r="AB20" s="3"/>
      <c r="AE20" s="229"/>
    </row>
    <row r="21" spans="1:31" ht="18" customHeight="1">
      <c r="A21" s="85">
        <v>13</v>
      </c>
      <c r="B21" s="76">
        <v>17.3</v>
      </c>
      <c r="C21" s="74">
        <f>'[1]cálculos teóricos'!K350</f>
        <v>1.043325872544469</v>
      </c>
      <c r="D21" s="59">
        <f>IF(B21&gt;0,B21*C21*14.25*1.022,-999)</f>
        <v>262.86444076506376</v>
      </c>
      <c r="E21" s="60">
        <f>IF(B21&gt;0,D21*4.1868/100,-999)</f>
        <v>11.005608405951689</v>
      </c>
      <c r="F21" s="61">
        <f>IF(B21&gt;0,(7.86+1.25*D21)*4.1868/100,-999)</f>
        <v>14.086092987439613</v>
      </c>
      <c r="G21" s="62">
        <f>'[1]cálculos teóricos'!T350</f>
        <v>42.878507305594937</v>
      </c>
      <c r="H21" s="75">
        <f>IF(B21&gt;0,100*F21/G21,-999)</f>
        <v>32.851173869109033</v>
      </c>
      <c r="I21" s="79"/>
      <c r="J21" s="81"/>
      <c r="K21" s="81"/>
      <c r="L21" s="81"/>
      <c r="M21" s="81"/>
      <c r="N21" s="81">
        <v>0.8</v>
      </c>
      <c r="O21" s="78">
        <v>1</v>
      </c>
      <c r="P21" s="82">
        <v>0.4</v>
      </c>
      <c r="Q21" s="81"/>
      <c r="R21" s="81"/>
      <c r="S21" s="81"/>
      <c r="T21" s="81"/>
      <c r="U21" s="81"/>
      <c r="V21" s="215"/>
      <c r="W21" s="59">
        <f t="shared" si="0"/>
        <v>1.8</v>
      </c>
      <c r="X21" s="69">
        <f t="shared" si="2"/>
        <v>0.4</v>
      </c>
      <c r="Y21" s="222">
        <f t="shared" si="1"/>
        <v>2.2000000000000002</v>
      </c>
      <c r="Z21" s="71">
        <f>'[1]cálculos teóricos'!I350</f>
        <v>13.434902818245344</v>
      </c>
      <c r="AA21" s="72">
        <f t="shared" si="3"/>
        <v>16.375258010889947</v>
      </c>
      <c r="AB21" s="3"/>
      <c r="AE21" s="229"/>
    </row>
    <row r="22" spans="1:31" ht="18" customHeight="1">
      <c r="A22" s="85">
        <v>14</v>
      </c>
      <c r="B22" s="76">
        <v>15.7</v>
      </c>
      <c r="C22" s="74">
        <f>'[1]cálculos teóricos'!K351</f>
        <v>1.0433602818402716</v>
      </c>
      <c r="D22" s="59">
        <f t="shared" si="4"/>
        <v>238.56114619391852</v>
      </c>
      <c r="E22" s="60">
        <f t="shared" si="5"/>
        <v>9.9880780688469812</v>
      </c>
      <c r="F22" s="61">
        <f t="shared" si="6"/>
        <v>12.814180066058725</v>
      </c>
      <c r="G22" s="62">
        <f>'[1]cálculos teóricos'!T351</f>
        <v>42.901388577805832</v>
      </c>
      <c r="H22" s="75">
        <f t="shared" si="7"/>
        <v>29.868916813307724</v>
      </c>
      <c r="I22" s="79"/>
      <c r="J22" s="81"/>
      <c r="K22" s="81">
        <v>0.2</v>
      </c>
      <c r="L22" s="81"/>
      <c r="M22" s="81"/>
      <c r="N22" s="81"/>
      <c r="O22" s="78"/>
      <c r="P22" s="82"/>
      <c r="Q22" s="81">
        <v>0.3</v>
      </c>
      <c r="R22" s="81">
        <v>0.5</v>
      </c>
      <c r="S22" s="81">
        <v>0.5</v>
      </c>
      <c r="T22" s="81"/>
      <c r="U22" s="81"/>
      <c r="V22" s="215"/>
      <c r="W22" s="59">
        <f t="shared" si="0"/>
        <v>0.2</v>
      </c>
      <c r="X22" s="69">
        <f t="shared" si="2"/>
        <v>1.3</v>
      </c>
      <c r="Y22" s="222">
        <f t="shared" si="1"/>
        <v>1.5</v>
      </c>
      <c r="Z22" s="71">
        <f>'[1]cálculos teóricos'!I351</f>
        <v>13.439693927369586</v>
      </c>
      <c r="AA22" s="72">
        <f t="shared" si="3"/>
        <v>11.160968457364115</v>
      </c>
      <c r="AB22" s="3"/>
      <c r="AE22" s="229"/>
    </row>
    <row r="23" spans="1:31" ht="18" customHeight="1">
      <c r="A23" s="85">
        <v>15</v>
      </c>
      <c r="B23" s="76">
        <v>32.5</v>
      </c>
      <c r="C23" s="74">
        <f>'[1]cálculos teóricos'!K352</f>
        <v>1.043390564028623</v>
      </c>
      <c r="D23" s="59">
        <f t="shared" si="4"/>
        <v>493.8511005750027</v>
      </c>
      <c r="E23" s="60">
        <f t="shared" si="5"/>
        <v>20.676557878874213</v>
      </c>
      <c r="F23" s="61">
        <f t="shared" si="6"/>
        <v>26.174779828592765</v>
      </c>
      <c r="G23" s="62">
        <f>'[1]cálculos teóricos'!T352</f>
        <v>42.922276323896114</v>
      </c>
      <c r="H23" s="75">
        <f t="shared" si="7"/>
        <v>60.981807281317188</v>
      </c>
      <c r="I23" s="79"/>
      <c r="J23" s="81">
        <v>0.6</v>
      </c>
      <c r="K23" s="81">
        <v>0.3</v>
      </c>
      <c r="L23" s="81">
        <v>1</v>
      </c>
      <c r="M23" s="81">
        <v>1</v>
      </c>
      <c r="N23" s="81">
        <v>1</v>
      </c>
      <c r="O23" s="78">
        <v>1</v>
      </c>
      <c r="P23" s="82">
        <v>1</v>
      </c>
      <c r="Q23" s="81">
        <v>1</v>
      </c>
      <c r="R23" s="81">
        <v>1</v>
      </c>
      <c r="S23" s="81">
        <v>1</v>
      </c>
      <c r="T23" s="81"/>
      <c r="U23" s="81">
        <v>0.1</v>
      </c>
      <c r="V23" s="215"/>
      <c r="W23" s="59">
        <f t="shared" si="0"/>
        <v>4.9000000000000004</v>
      </c>
      <c r="X23" s="69">
        <f t="shared" si="2"/>
        <v>4.0999999999999996</v>
      </c>
      <c r="Y23" s="222">
        <f t="shared" si="1"/>
        <v>9</v>
      </c>
      <c r="Z23" s="71">
        <f>'[1]cálculos teóricos'!I352</f>
        <v>13.443950716772623</v>
      </c>
      <c r="AA23" s="72">
        <f t="shared" si="3"/>
        <v>66.944607203681826</v>
      </c>
      <c r="AB23" s="3"/>
      <c r="AE23" s="229"/>
    </row>
    <row r="24" spans="1:31" ht="18" customHeight="1">
      <c r="A24" s="85">
        <v>16</v>
      </c>
      <c r="B24" s="76">
        <v>26.5</v>
      </c>
      <c r="C24" s="74">
        <f>'[1]cálculos teóricos'!K353</f>
        <v>1.0434167952245224</v>
      </c>
      <c r="D24" s="59">
        <f t="shared" si="4"/>
        <v>402.68871317718674</v>
      </c>
      <c r="E24" s="60">
        <f t="shared" si="5"/>
        <v>16.859771043302452</v>
      </c>
      <c r="F24" s="61">
        <f t="shared" si="6"/>
        <v>21.40379628412807</v>
      </c>
      <c r="G24" s="62">
        <f>'[1]cálculos teóricos'!T353</f>
        <v>42.941174092563962</v>
      </c>
      <c r="H24" s="75">
        <f t="shared" si="7"/>
        <v>49.844459860343044</v>
      </c>
      <c r="I24" s="79"/>
      <c r="J24" s="81">
        <v>0.3</v>
      </c>
      <c r="K24" s="81">
        <v>0.3</v>
      </c>
      <c r="L24" s="81">
        <v>0.6</v>
      </c>
      <c r="M24" s="81">
        <v>1</v>
      </c>
      <c r="N24" s="81">
        <v>1</v>
      </c>
      <c r="O24" s="78">
        <v>0.8</v>
      </c>
      <c r="P24" s="82">
        <v>0.5</v>
      </c>
      <c r="Q24" s="81">
        <v>0.7</v>
      </c>
      <c r="R24" s="81"/>
      <c r="S24" s="81"/>
      <c r="T24" s="81"/>
      <c r="U24" s="81"/>
      <c r="V24" s="215"/>
      <c r="W24" s="59">
        <f t="shared" si="0"/>
        <v>4</v>
      </c>
      <c r="X24" s="69">
        <f t="shared" si="2"/>
        <v>1.2</v>
      </c>
      <c r="Y24" s="222">
        <f t="shared" si="1"/>
        <v>5.2</v>
      </c>
      <c r="Z24" s="71">
        <f>'[1]cálculos teóricos'!I353</f>
        <v>13.447669329529568</v>
      </c>
      <c r="AA24" s="72">
        <f t="shared" si="3"/>
        <v>38.668410655974306</v>
      </c>
      <c r="AB24" s="3"/>
      <c r="AE24" s="229"/>
    </row>
    <row r="25" spans="1:31" ht="18" customHeight="1">
      <c r="A25" s="85">
        <v>17</v>
      </c>
      <c r="B25" s="76">
        <v>9.9</v>
      </c>
      <c r="C25" s="74">
        <f>'[1]cálculos teóricos'!K354</f>
        <v>1.0434390420967636</v>
      </c>
      <c r="D25" s="59">
        <f t="shared" si="4"/>
        <v>150.44163244680456</v>
      </c>
      <c r="E25" s="60">
        <f t="shared" si="5"/>
        <v>6.2986902672828133</v>
      </c>
      <c r="F25" s="61">
        <f t="shared" si="6"/>
        <v>8.2024453141035174</v>
      </c>
      <c r="G25" s="62">
        <f>'[1]cálculos teóricos'!T354</f>
        <v>42.958084644584673</v>
      </c>
      <c r="H25" s="75">
        <f t="shared" si="7"/>
        <v>19.094066651171154</v>
      </c>
      <c r="I25" s="79"/>
      <c r="J25" s="81"/>
      <c r="K25" s="81"/>
      <c r="L25" s="81"/>
      <c r="M25" s="81"/>
      <c r="N25" s="81"/>
      <c r="O25" s="78"/>
      <c r="P25" s="82"/>
      <c r="Q25" s="81"/>
      <c r="R25" s="81"/>
      <c r="S25" s="81"/>
      <c r="T25" s="81"/>
      <c r="U25" s="81"/>
      <c r="V25" s="215"/>
      <c r="W25" s="59">
        <f t="shared" si="0"/>
        <v>0</v>
      </c>
      <c r="X25" s="69">
        <f t="shared" si="2"/>
        <v>0</v>
      </c>
      <c r="Y25" s="222">
        <f>W25+X25</f>
        <v>0</v>
      </c>
      <c r="Z25" s="71">
        <f>'[1]cálculos teóricos'!I354</f>
        <v>13.450846358073472</v>
      </c>
      <c r="AA25" s="72">
        <f t="shared" si="3"/>
        <v>0</v>
      </c>
      <c r="AB25" s="3"/>
      <c r="AE25" s="229"/>
    </row>
    <row r="26" spans="1:31" ht="18" customHeight="1">
      <c r="A26" s="85">
        <v>18</v>
      </c>
      <c r="B26" s="76">
        <v>15.7</v>
      </c>
      <c r="C26" s="74">
        <f>'[1]cálculos teóricos'!K355</f>
        <v>1.0434573616774252</v>
      </c>
      <c r="D26" s="59">
        <f t="shared" si="4"/>
        <v>238.58334320259016</v>
      </c>
      <c r="E26" s="60">
        <f t="shared" si="5"/>
        <v>9.9890074132060445</v>
      </c>
      <c r="F26" s="61">
        <f t="shared" si="6"/>
        <v>12.815341746507555</v>
      </c>
      <c r="G26" s="62">
        <f>'[1]cálculos teóricos'!T355</f>
        <v>42.973009928386787</v>
      </c>
      <c r="H26" s="75">
        <f t="shared" si="7"/>
        <v>29.821838795709052</v>
      </c>
      <c r="I26" s="79"/>
      <c r="J26" s="81"/>
      <c r="K26" s="81"/>
      <c r="L26" s="81"/>
      <c r="M26" s="81"/>
      <c r="N26" s="81">
        <v>0.2</v>
      </c>
      <c r="O26" s="78"/>
      <c r="P26" s="82"/>
      <c r="Q26" s="81"/>
      <c r="R26" s="81"/>
      <c r="S26" s="81"/>
      <c r="T26" s="81"/>
      <c r="U26" s="81"/>
      <c r="V26" s="215"/>
      <c r="W26" s="59">
        <f t="shared" si="0"/>
        <v>0.2</v>
      </c>
      <c r="X26" s="69">
        <f t="shared" si="2"/>
        <v>0</v>
      </c>
      <c r="Y26" s="222">
        <f t="shared" ref="Y26:Y39" si="8">W26+X26</f>
        <v>0.2</v>
      </c>
      <c r="Z26" s="71">
        <f>'[1]cálculos teóricos'!I355</f>
        <v>13.453478853898625</v>
      </c>
      <c r="AA26" s="72">
        <f t="shared" si="3"/>
        <v>1.4866043361122381</v>
      </c>
      <c r="AB26" s="3"/>
      <c r="AE26" s="229"/>
    </row>
    <row r="27" spans="1:31" ht="18" customHeight="1">
      <c r="A27" s="85">
        <v>19</v>
      </c>
      <c r="B27" s="76">
        <v>13.9</v>
      </c>
      <c r="C27" s="74">
        <f>'[1]cálculos teóricos'!K356</f>
        <v>1.0434718011965771</v>
      </c>
      <c r="D27" s="59">
        <f t="shared" si="4"/>
        <v>211.23276191649629</v>
      </c>
      <c r="E27" s="60">
        <f t="shared" si="5"/>
        <v>8.8438932759198661</v>
      </c>
      <c r="F27" s="61">
        <f t="shared" si="6"/>
        <v>11.383949074899833</v>
      </c>
      <c r="G27" s="62">
        <f>'[1]cálculos teóricos'!T356</f>
        <v>42.985951059037113</v>
      </c>
      <c r="H27" s="75">
        <f t="shared" si="7"/>
        <v>26.482952672758277</v>
      </c>
      <c r="I27" s="79"/>
      <c r="J27" s="81"/>
      <c r="K27" s="81"/>
      <c r="L27" s="81"/>
      <c r="M27" s="81"/>
      <c r="N27" s="81"/>
      <c r="O27" s="78"/>
      <c r="P27" s="82"/>
      <c r="Q27" s="81"/>
      <c r="R27" s="81"/>
      <c r="S27" s="81"/>
      <c r="T27" s="81"/>
      <c r="U27" s="81"/>
      <c r="V27" s="215"/>
      <c r="W27" s="59">
        <f t="shared" si="0"/>
        <v>0</v>
      </c>
      <c r="X27" s="69">
        <f t="shared" si="2"/>
        <v>0</v>
      </c>
      <c r="Y27" s="222">
        <f t="shared" si="8"/>
        <v>0</v>
      </c>
      <c r="Z27" s="71">
        <f>'[1]cálculos teóricos'!I356</f>
        <v>13.455564336006312</v>
      </c>
      <c r="AA27" s="72">
        <f t="shared" si="3"/>
        <v>0</v>
      </c>
      <c r="AB27" s="3"/>
      <c r="AE27" s="229"/>
    </row>
    <row r="28" spans="1:31" ht="18" customHeight="1">
      <c r="A28" s="85">
        <v>20</v>
      </c>
      <c r="B28" s="76">
        <v>30.1</v>
      </c>
      <c r="C28" s="74">
        <f>'[1]cálculos teóricos'!K357</f>
        <v>1.0434823979428147</v>
      </c>
      <c r="D28" s="59">
        <f t="shared" si="4"/>
        <v>457.42235266344954</v>
      </c>
      <c r="E28" s="60">
        <f t="shared" si="5"/>
        <v>19.151359061313304</v>
      </c>
      <c r="F28" s="61">
        <f t="shared" si="6"/>
        <v>24.268281306641629</v>
      </c>
      <c r="G28" s="62">
        <f>'[1]cálculos teóricos'!T357</f>
        <v>42.996908300711738</v>
      </c>
      <c r="H28" s="75">
        <f t="shared" si="7"/>
        <v>56.441921677052093</v>
      </c>
      <c r="I28" s="79"/>
      <c r="J28" s="81">
        <v>0.2</v>
      </c>
      <c r="K28" s="81"/>
      <c r="L28" s="81">
        <v>0.8</v>
      </c>
      <c r="M28" s="81">
        <v>1</v>
      </c>
      <c r="N28" s="81">
        <v>1</v>
      </c>
      <c r="O28" s="78">
        <v>0.9</v>
      </c>
      <c r="P28" s="82">
        <v>0.6</v>
      </c>
      <c r="Q28" s="81">
        <v>1</v>
      </c>
      <c r="R28" s="81">
        <v>1</v>
      </c>
      <c r="S28" s="81">
        <v>1</v>
      </c>
      <c r="T28" s="81">
        <v>0.4</v>
      </c>
      <c r="U28" s="81"/>
      <c r="V28" s="215"/>
      <c r="W28" s="59">
        <f t="shared" si="0"/>
        <v>3.9</v>
      </c>
      <c r="X28" s="69">
        <f t="shared" si="2"/>
        <v>4</v>
      </c>
      <c r="Y28" s="222">
        <f t="shared" si="8"/>
        <v>7.9</v>
      </c>
      <c r="Z28" s="71">
        <f>'[1]cálculos teóricos'!I357</f>
        <v>13.457100798045776</v>
      </c>
      <c r="AA28" s="72">
        <f t="shared" si="3"/>
        <v>58.70506670461463</v>
      </c>
      <c r="AB28" s="3"/>
      <c r="AE28" s="229"/>
    </row>
    <row r="29" spans="1:31" ht="18" customHeight="1">
      <c r="A29" s="85">
        <v>21</v>
      </c>
      <c r="B29" s="76">
        <v>35.299999999999997</v>
      </c>
      <c r="C29" s="74">
        <f>'[1]cálculos teóricos'!K358</f>
        <v>1.0434891791500842</v>
      </c>
      <c r="D29" s="59">
        <f t="shared" si="4"/>
        <v>536.44896951749445</v>
      </c>
      <c r="E29" s="60">
        <f t="shared" si="5"/>
        <v>22.460045455758458</v>
      </c>
      <c r="F29" s="61">
        <f t="shared" si="6"/>
        <v>28.404139299698073</v>
      </c>
      <c r="G29" s="62">
        <f>'[1]cálculos teóricos'!T358</f>
        <v>43.005881052718408</v>
      </c>
      <c r="H29" s="75">
        <f t="shared" si="7"/>
        <v>66.047104731743758</v>
      </c>
      <c r="I29" s="79"/>
      <c r="J29" s="81">
        <v>0.5</v>
      </c>
      <c r="K29" s="81">
        <v>1</v>
      </c>
      <c r="L29" s="81">
        <v>1</v>
      </c>
      <c r="M29" s="81">
        <v>1</v>
      </c>
      <c r="N29" s="81">
        <v>1</v>
      </c>
      <c r="O29" s="78">
        <v>1</v>
      </c>
      <c r="P29" s="82">
        <v>1</v>
      </c>
      <c r="Q29" s="81">
        <v>1</v>
      </c>
      <c r="R29" s="81">
        <v>1</v>
      </c>
      <c r="S29" s="81">
        <v>1</v>
      </c>
      <c r="T29" s="81">
        <v>1</v>
      </c>
      <c r="U29" s="81">
        <v>0.6</v>
      </c>
      <c r="V29" s="215"/>
      <c r="W29" s="59">
        <f t="shared" si="0"/>
        <v>5.5</v>
      </c>
      <c r="X29" s="69">
        <f t="shared" si="2"/>
        <v>5.6</v>
      </c>
      <c r="Y29" s="222">
        <f t="shared" si="8"/>
        <v>11.1</v>
      </c>
      <c r="Z29" s="71">
        <f>'[1]cálculos teóricos'!I358</f>
        <v>13.458086714110046</v>
      </c>
      <c r="AA29" s="72">
        <f t="shared" si="3"/>
        <v>82.478291571433218</v>
      </c>
      <c r="AB29" s="3"/>
      <c r="AE29" s="229"/>
    </row>
    <row r="30" spans="1:31" ht="18" customHeight="1">
      <c r="A30" s="85">
        <v>22</v>
      </c>
      <c r="B30" s="76">
        <v>30</v>
      </c>
      <c r="C30" s="74">
        <f>'[1]cálculos teóricos'!K359</f>
        <v>1.0434921619112543</v>
      </c>
      <c r="D30" s="59">
        <f t="shared" si="4"/>
        <v>455.90694299983653</v>
      </c>
      <c r="E30" s="60">
        <f t="shared" si="5"/>
        <v>19.087911889517155</v>
      </c>
      <c r="F30" s="61">
        <f t="shared" si="6"/>
        <v>24.188972341896442</v>
      </c>
      <c r="G30" s="62">
        <f>'[1]cálculos teóricos'!T359</f>
        <v>43.012867839125683</v>
      </c>
      <c r="H30" s="75">
        <f t="shared" si="7"/>
        <v>56.236595133267286</v>
      </c>
      <c r="I30" s="79"/>
      <c r="J30" s="81">
        <v>0.9</v>
      </c>
      <c r="K30" s="81">
        <v>0.6</v>
      </c>
      <c r="L30" s="81">
        <v>1</v>
      </c>
      <c r="M30" s="81">
        <v>1</v>
      </c>
      <c r="N30" s="81">
        <v>1</v>
      </c>
      <c r="O30" s="78">
        <v>1</v>
      </c>
      <c r="P30" s="82">
        <v>1</v>
      </c>
      <c r="Q30" s="81">
        <v>0.9</v>
      </c>
      <c r="R30" s="81">
        <v>0.1</v>
      </c>
      <c r="S30" s="81">
        <v>0.3</v>
      </c>
      <c r="T30" s="81"/>
      <c r="U30" s="81"/>
      <c r="V30" s="215"/>
      <c r="W30" s="59">
        <f t="shared" si="0"/>
        <v>5.5</v>
      </c>
      <c r="X30" s="69">
        <f t="shared" si="2"/>
        <v>2.2999999999999998</v>
      </c>
      <c r="Y30" s="222">
        <f t="shared" si="8"/>
        <v>7.8</v>
      </c>
      <c r="Z30" s="71">
        <f>'[1]cálculos teóricos'!I359</f>
        <v>13.458521043153825</v>
      </c>
      <c r="AA30" s="72">
        <f t="shared" si="3"/>
        <v>57.95584800878072</v>
      </c>
      <c r="AB30" s="3"/>
      <c r="AE30" s="229"/>
    </row>
    <row r="31" spans="1:31" ht="18" customHeight="1">
      <c r="A31" s="85">
        <v>23</v>
      </c>
      <c r="B31" s="76">
        <v>33.5</v>
      </c>
      <c r="C31" s="74">
        <f>'[1]cálculos teóricos'!K360</f>
        <v>1.0434913531187173</v>
      </c>
      <c r="D31" s="59">
        <f t="shared" si="4"/>
        <v>509.09569175833866</v>
      </c>
      <c r="E31" s="60">
        <f t="shared" si="5"/>
        <v>21.314818422538124</v>
      </c>
      <c r="F31" s="61">
        <f t="shared" si="6"/>
        <v>26.972605508172656</v>
      </c>
      <c r="G31" s="62">
        <f>'[1]cálculos teóricos'!T360</f>
        <v>43.017866302041909</v>
      </c>
      <c r="H31" s="75">
        <f t="shared" si="7"/>
        <v>62.700937602970697</v>
      </c>
      <c r="I31" s="79"/>
      <c r="J31" s="81">
        <v>0.7</v>
      </c>
      <c r="K31" s="81">
        <v>1</v>
      </c>
      <c r="L31" s="81">
        <v>1</v>
      </c>
      <c r="M31" s="81">
        <v>1</v>
      </c>
      <c r="N31" s="81">
        <v>1</v>
      </c>
      <c r="O31" s="78">
        <v>1</v>
      </c>
      <c r="P31" s="82">
        <v>1</v>
      </c>
      <c r="Q31" s="81">
        <v>0.7</v>
      </c>
      <c r="R31" s="81">
        <v>1</v>
      </c>
      <c r="S31" s="81">
        <v>1</v>
      </c>
      <c r="T31" s="81">
        <v>0.9</v>
      </c>
      <c r="U31" s="81">
        <v>0.2</v>
      </c>
      <c r="V31" s="215"/>
      <c r="W31" s="59">
        <f t="shared" si="0"/>
        <v>5.7</v>
      </c>
      <c r="X31" s="69">
        <f t="shared" si="2"/>
        <v>4.8000000000000007</v>
      </c>
      <c r="Y31" s="222">
        <f t="shared" si="8"/>
        <v>10.5</v>
      </c>
      <c r="Z31" s="71">
        <f>'[1]cálculos teóricos'!I360</f>
        <v>13.458403232008276</v>
      </c>
      <c r="AA31" s="72">
        <f t="shared" si="3"/>
        <v>78.018170647671852</v>
      </c>
      <c r="AB31" s="3"/>
      <c r="AE31" s="229"/>
    </row>
    <row r="32" spans="1:31" ht="18" customHeight="1">
      <c r="A32" s="85">
        <v>24</v>
      </c>
      <c r="B32" s="172">
        <v>-99</v>
      </c>
      <c r="C32" s="74">
        <f>'[1]cálculos teóricos'!K361</f>
        <v>1.0434867494322762</v>
      </c>
      <c r="D32" s="59">
        <f t="shared" si="4"/>
        <v>-999</v>
      </c>
      <c r="E32" s="60">
        <f t="shared" si="5"/>
        <v>-999</v>
      </c>
      <c r="F32" s="61">
        <f t="shared" si="6"/>
        <v>-999</v>
      </c>
      <c r="G32" s="62">
        <f>'[1]cálculos teóricos'!T361</f>
        <v>43.020873198576822</v>
      </c>
      <c r="H32" s="75">
        <f t="shared" si="7"/>
        <v>-999</v>
      </c>
      <c r="I32" s="79"/>
      <c r="J32" s="81">
        <v>1</v>
      </c>
      <c r="K32" s="81">
        <v>1</v>
      </c>
      <c r="L32" s="81">
        <v>1</v>
      </c>
      <c r="M32" s="81">
        <v>1</v>
      </c>
      <c r="N32" s="81">
        <v>1</v>
      </c>
      <c r="O32" s="78">
        <v>0.9</v>
      </c>
      <c r="P32" s="82">
        <v>0.9</v>
      </c>
      <c r="Q32" s="81">
        <v>0.9</v>
      </c>
      <c r="R32" s="81">
        <v>0.5</v>
      </c>
      <c r="S32" s="81">
        <v>0.7</v>
      </c>
      <c r="T32" s="81">
        <v>0.7</v>
      </c>
      <c r="U32" s="81">
        <v>0.7</v>
      </c>
      <c r="V32" s="215"/>
      <c r="W32" s="59">
        <f t="shared" si="0"/>
        <v>5.9</v>
      </c>
      <c r="X32" s="69">
        <f t="shared" si="2"/>
        <v>4.4000000000000004</v>
      </c>
      <c r="Y32" s="222">
        <f t="shared" si="8"/>
        <v>10.3</v>
      </c>
      <c r="Z32" s="71">
        <f>'[1]cálculos teóricos'!I361</f>
        <v>13.457733216975646</v>
      </c>
      <c r="AA32" s="72">
        <f t="shared" si="3"/>
        <v>76.535920529376625</v>
      </c>
      <c r="AB32" s="3"/>
      <c r="AE32" s="229"/>
    </row>
    <row r="33" spans="1:31" ht="18" customHeight="1">
      <c r="A33" s="85">
        <v>25</v>
      </c>
      <c r="B33" s="76">
        <v>31.3</v>
      </c>
      <c r="C33" s="74">
        <f>'[1]cálculos teóricos'!K362</f>
        <v>1.0434783372744176</v>
      </c>
      <c r="D33" s="59">
        <f t="shared" si="4"/>
        <v>475.65660874124421</v>
      </c>
      <c r="E33" s="60">
        <f t="shared" si="5"/>
        <v>19.914790894778413</v>
      </c>
      <c r="F33" s="61">
        <f t="shared" si="6"/>
        <v>25.222571098473018</v>
      </c>
      <c r="G33" s="62">
        <f>'[1]cálculos teóricos'!T362</f>
        <v>43.021884401506568</v>
      </c>
      <c r="H33" s="75">
        <f t="shared" si="7"/>
        <v>58.627304334418596</v>
      </c>
      <c r="I33" s="79"/>
      <c r="J33" s="81">
        <v>1</v>
      </c>
      <c r="K33" s="81">
        <v>1</v>
      </c>
      <c r="L33" s="81">
        <v>1</v>
      </c>
      <c r="M33" s="81">
        <v>1</v>
      </c>
      <c r="N33" s="81">
        <v>1</v>
      </c>
      <c r="O33" s="78">
        <v>1</v>
      </c>
      <c r="P33" s="82">
        <v>1</v>
      </c>
      <c r="Q33" s="81">
        <v>0.9</v>
      </c>
      <c r="R33" s="81">
        <v>0.6</v>
      </c>
      <c r="S33" s="81">
        <v>0.5</v>
      </c>
      <c r="T33" s="81">
        <v>1</v>
      </c>
      <c r="U33" s="81"/>
      <c r="V33" s="215"/>
      <c r="W33" s="59">
        <f t="shared" si="0"/>
        <v>6</v>
      </c>
      <c r="X33" s="69">
        <f t="shared" si="2"/>
        <v>4</v>
      </c>
      <c r="Y33" s="222">
        <f t="shared" si="8"/>
        <v>10</v>
      </c>
      <c r="Z33" s="71">
        <f>'[1]cálculos teóricos'!I362</f>
        <v>13.456511423994518</v>
      </c>
      <c r="AA33" s="72">
        <f t="shared" si="3"/>
        <v>74.313465688951453</v>
      </c>
      <c r="AB33" s="3"/>
      <c r="AE33" s="229"/>
    </row>
    <row r="34" spans="1:31" ht="18" customHeight="1">
      <c r="A34" s="85">
        <v>26</v>
      </c>
      <c r="B34" s="76">
        <v>34.1</v>
      </c>
      <c r="C34" s="74">
        <f>'[1]cálculos teóricos'!K363</f>
        <v>1.0434660928530486</v>
      </c>
      <c r="D34" s="59">
        <f t="shared" si="4"/>
        <v>518.20127891534923</v>
      </c>
      <c r="E34" s="60">
        <f t="shared" si="5"/>
        <v>21.696051145627838</v>
      </c>
      <c r="F34" s="61">
        <f t="shared" si="6"/>
        <v>27.449146412034803</v>
      </c>
      <c r="G34" s="62">
        <f>'[1]cálculos teóricos'!T363</f>
        <v>43.020894903651737</v>
      </c>
      <c r="H34" s="75">
        <f t="shared" si="7"/>
        <v>63.804219957555645</v>
      </c>
      <c r="I34" s="79"/>
      <c r="J34" s="81"/>
      <c r="K34" s="81"/>
      <c r="L34" s="81">
        <v>0.2</v>
      </c>
      <c r="M34" s="81">
        <v>0.7</v>
      </c>
      <c r="N34" s="81">
        <v>0.8</v>
      </c>
      <c r="O34" s="78">
        <v>1</v>
      </c>
      <c r="P34" s="82">
        <v>1</v>
      </c>
      <c r="Q34" s="81">
        <v>1</v>
      </c>
      <c r="R34" s="81">
        <v>1</v>
      </c>
      <c r="S34" s="81">
        <v>1</v>
      </c>
      <c r="T34" s="81">
        <v>1</v>
      </c>
      <c r="U34" s="81">
        <v>0.5</v>
      </c>
      <c r="V34" s="215"/>
      <c r="W34" s="59">
        <f t="shared" si="0"/>
        <v>2.7</v>
      </c>
      <c r="X34" s="69">
        <f t="shared" si="2"/>
        <v>5.5</v>
      </c>
      <c r="Y34" s="222">
        <f t="shared" si="8"/>
        <v>8.1999999999999993</v>
      </c>
      <c r="Z34" s="71">
        <f>'[1]cálculos teóricos'!I363</f>
        <v>13.454738767374977</v>
      </c>
      <c r="AA34" s="72">
        <f t="shared" si="3"/>
        <v>60.945070296595738</v>
      </c>
      <c r="AB34" s="3"/>
      <c r="AE34" s="229"/>
    </row>
    <row r="35" spans="1:31" ht="18" customHeight="1">
      <c r="A35" s="85">
        <v>27</v>
      </c>
      <c r="B35" s="76">
        <v>29.9</v>
      </c>
      <c r="C35" s="74">
        <f>'[1]cálculos teóricos'!K364</f>
        <v>1.0434499822115912</v>
      </c>
      <c r="D35" s="59">
        <f t="shared" si="4"/>
        <v>454.36888609656137</v>
      </c>
      <c r="E35" s="60">
        <f t="shared" si="5"/>
        <v>19.02351652309083</v>
      </c>
      <c r="F35" s="61">
        <f t="shared" si="6"/>
        <v>24.108478133863535</v>
      </c>
      <c r="G35" s="62">
        <f>'[1]cálculos teóricos'!T364</f>
        <v>43.017898825966327</v>
      </c>
      <c r="H35" s="75">
        <f t="shared" si="7"/>
        <v>56.04290026204454</v>
      </c>
      <c r="I35" s="79"/>
      <c r="J35" s="81"/>
      <c r="K35" s="81">
        <v>0.8</v>
      </c>
      <c r="L35" s="81">
        <v>1</v>
      </c>
      <c r="M35" s="81">
        <v>1</v>
      </c>
      <c r="N35" s="81">
        <v>1</v>
      </c>
      <c r="O35" s="78">
        <v>1</v>
      </c>
      <c r="P35" s="82">
        <v>1</v>
      </c>
      <c r="Q35" s="81">
        <v>1</v>
      </c>
      <c r="R35" s="81">
        <v>0.9</v>
      </c>
      <c r="S35" s="81">
        <v>0.2</v>
      </c>
      <c r="T35" s="81"/>
      <c r="U35" s="81"/>
      <c r="V35" s="215"/>
      <c r="W35" s="59">
        <f t="shared" si="0"/>
        <v>4.8</v>
      </c>
      <c r="X35" s="69">
        <f t="shared" si="2"/>
        <v>3.1</v>
      </c>
      <c r="Y35" s="222">
        <f t="shared" si="8"/>
        <v>7.9</v>
      </c>
      <c r="Z35" s="71">
        <f>'[1]cálculos teóricos'!I364</f>
        <v>13.45241664711107</v>
      </c>
      <c r="AA35" s="72">
        <f t="shared" si="3"/>
        <v>58.72550789375483</v>
      </c>
      <c r="AB35" s="3"/>
      <c r="AE35" s="229"/>
    </row>
    <row r="36" spans="1:31" ht="18" customHeight="1">
      <c r="A36" s="85">
        <v>28</v>
      </c>
      <c r="B36" s="76">
        <v>32.799999999999997</v>
      </c>
      <c r="C36" s="74">
        <f>'[1]cálculos teóricos'!K365</f>
        <v>1.0434299613063189</v>
      </c>
      <c r="D36" s="59">
        <f t="shared" si="4"/>
        <v>498.428545520694</v>
      </c>
      <c r="E36" s="60">
        <f t="shared" si="5"/>
        <v>20.868206343860415</v>
      </c>
      <c r="F36" s="61">
        <f t="shared" si="6"/>
        <v>26.414340409825524</v>
      </c>
      <c r="G36" s="62">
        <f>'[1]cálculos teóricos'!T365</f>
        <v>43.012889429324311</v>
      </c>
      <c r="H36" s="75">
        <f t="shared" si="7"/>
        <v>61.41029063678149</v>
      </c>
      <c r="I36" s="79"/>
      <c r="J36" s="81">
        <v>0.9</v>
      </c>
      <c r="K36" s="81">
        <v>1</v>
      </c>
      <c r="L36" s="81">
        <v>1</v>
      </c>
      <c r="M36" s="81">
        <v>1</v>
      </c>
      <c r="N36" s="81">
        <v>1</v>
      </c>
      <c r="O36" s="78">
        <v>1</v>
      </c>
      <c r="P36" s="82">
        <v>0.9</v>
      </c>
      <c r="Q36" s="81">
        <v>1</v>
      </c>
      <c r="R36" s="81">
        <v>1</v>
      </c>
      <c r="S36" s="81">
        <v>0.5</v>
      </c>
      <c r="T36" s="81">
        <v>0.8</v>
      </c>
      <c r="U36" s="81"/>
      <c r="V36" s="215"/>
      <c r="W36" s="59">
        <f t="shared" si="0"/>
        <v>5.9</v>
      </c>
      <c r="X36" s="69">
        <f t="shared" si="2"/>
        <v>4.2</v>
      </c>
      <c r="Y36" s="222">
        <f t="shared" si="8"/>
        <v>10.100000000000001</v>
      </c>
      <c r="Z36" s="71">
        <f>'[1]cálculos teóricos'!I365</f>
        <v>13.449546944786</v>
      </c>
      <c r="AA36" s="72">
        <f t="shared" si="3"/>
        <v>75.095466348890497</v>
      </c>
      <c r="AB36" s="3"/>
      <c r="AE36" s="229"/>
    </row>
    <row r="37" spans="1:31" ht="18" customHeight="1">
      <c r="A37" s="85">
        <v>29</v>
      </c>
      <c r="B37" s="76">
        <v>31.3</v>
      </c>
      <c r="C37" s="74">
        <f>'[1]cálculos teóricos'!K366</f>
        <v>1.0434059761106758</v>
      </c>
      <c r="D37" s="59">
        <f t="shared" si="4"/>
        <v>475.623623805649</v>
      </c>
      <c r="E37" s="60">
        <f t="shared" si="5"/>
        <v>19.913409881494911</v>
      </c>
      <c r="F37" s="61">
        <f t="shared" si="6"/>
        <v>25.220844831868639</v>
      </c>
      <c r="G37" s="62">
        <f>'[1]cálculos teóricos'!T366</f>
        <v>43.005859129978646</v>
      </c>
      <c r="H37" s="75">
        <f t="shared" si="7"/>
        <v>58.645136597881894</v>
      </c>
      <c r="I37" s="79"/>
      <c r="J37" s="81"/>
      <c r="K37" s="81">
        <v>1</v>
      </c>
      <c r="L37" s="81">
        <v>1</v>
      </c>
      <c r="M37" s="81">
        <v>1</v>
      </c>
      <c r="N37" s="81">
        <v>1</v>
      </c>
      <c r="O37" s="78">
        <v>0.9</v>
      </c>
      <c r="P37" s="82">
        <v>1</v>
      </c>
      <c r="Q37" s="81">
        <v>0.5</v>
      </c>
      <c r="R37" s="81">
        <v>1</v>
      </c>
      <c r="S37" s="81">
        <v>0.6</v>
      </c>
      <c r="T37" s="81"/>
      <c r="U37" s="81"/>
      <c r="V37" s="215"/>
      <c r="W37" s="59">
        <f t="shared" si="0"/>
        <v>4.9000000000000004</v>
      </c>
      <c r="X37" s="69">
        <f t="shared" si="2"/>
        <v>3.1</v>
      </c>
      <c r="Y37" s="222">
        <f t="shared" si="8"/>
        <v>8</v>
      </c>
      <c r="Z37" s="71">
        <f>'[1]cálculos teóricos'!I366</f>
        <v>13.446132018093639</v>
      </c>
      <c r="AA37" s="72">
        <f t="shared" si="3"/>
        <v>59.496664090720579</v>
      </c>
      <c r="AB37" s="3"/>
      <c r="AE37" s="229"/>
    </row>
    <row r="38" spans="1:31" ht="18" customHeight="1">
      <c r="A38" s="80">
        <v>30</v>
      </c>
      <c r="B38" s="76">
        <v>32.299999999999997</v>
      </c>
      <c r="C38" s="74">
        <f>'[1]cálculos teóricos'!K367</f>
        <v>1.0433779627462227</v>
      </c>
      <c r="D38" s="59">
        <f t="shared" si="4"/>
        <v>490.80608922268402</v>
      </c>
      <c r="E38" s="60">
        <f t="shared" si="5"/>
        <v>20.549069343575333</v>
      </c>
      <c r="F38" s="61">
        <f t="shared" si="6"/>
        <v>26.015419159469172</v>
      </c>
      <c r="G38" s="62">
        <f>'[1]cálculos teóricos'!T367</f>
        <v>42.996799518656061</v>
      </c>
      <c r="H38" s="75">
        <f t="shared" si="7"/>
        <v>60.505478200025635</v>
      </c>
      <c r="I38" s="79"/>
      <c r="J38" s="81"/>
      <c r="K38" s="81">
        <v>0.4</v>
      </c>
      <c r="L38" s="81">
        <v>1</v>
      </c>
      <c r="M38" s="81">
        <v>1</v>
      </c>
      <c r="N38" s="81">
        <v>1</v>
      </c>
      <c r="O38" s="77">
        <v>1</v>
      </c>
      <c r="P38" s="82">
        <v>1</v>
      </c>
      <c r="Q38" s="81">
        <v>1</v>
      </c>
      <c r="R38" s="81">
        <v>0.8</v>
      </c>
      <c r="S38" s="81">
        <v>0.5</v>
      </c>
      <c r="T38" s="81">
        <v>1</v>
      </c>
      <c r="U38" s="81">
        <v>0.5</v>
      </c>
      <c r="V38" s="215"/>
      <c r="W38" s="59">
        <f t="shared" si="0"/>
        <v>4.4000000000000004</v>
      </c>
      <c r="X38" s="69">
        <f t="shared" si="2"/>
        <v>4.8</v>
      </c>
      <c r="Y38" s="222">
        <f t="shared" si="8"/>
        <v>9.1999999999999993</v>
      </c>
      <c r="Z38" s="71">
        <f>'[1]cálculos teóricos'!I367</f>
        <v>13.44217469400769</v>
      </c>
      <c r="AA38" s="72">
        <f t="shared" si="3"/>
        <v>68.441306629508503</v>
      </c>
      <c r="AB38" s="3"/>
      <c r="AE38" s="229"/>
    </row>
    <row r="39" spans="1:31" ht="18" customHeight="1" thickBot="1">
      <c r="A39" s="86">
        <v>31</v>
      </c>
      <c r="B39" s="87">
        <v>31.4</v>
      </c>
      <c r="C39" s="88">
        <f>'[1]cálculos teóricos'!K368</f>
        <v>1.0433458476398019</v>
      </c>
      <c r="D39" s="89">
        <f t="shared" si="4"/>
        <v>477.11569171601082</v>
      </c>
      <c r="E39" s="90">
        <f t="shared" si="5"/>
        <v>19.97587978076594</v>
      </c>
      <c r="F39" s="91">
        <f t="shared" si="6"/>
        <v>25.298932205957421</v>
      </c>
      <c r="G39" s="92">
        <f>'[1]cálculos teóricos'!T368</f>
        <v>42.985701383239665</v>
      </c>
      <c r="H39" s="93">
        <f t="shared" si="7"/>
        <v>58.854296642514711</v>
      </c>
      <c r="I39" s="94"/>
      <c r="J39" s="87">
        <v>0.4</v>
      </c>
      <c r="K39" s="87"/>
      <c r="L39" s="87">
        <v>0.4</v>
      </c>
      <c r="M39" s="87">
        <v>0.9</v>
      </c>
      <c r="N39" s="87">
        <v>1</v>
      </c>
      <c r="O39" s="95">
        <v>0.8</v>
      </c>
      <c r="P39" s="94">
        <v>0.8</v>
      </c>
      <c r="Q39" s="87">
        <v>1</v>
      </c>
      <c r="R39" s="87">
        <v>1</v>
      </c>
      <c r="S39" s="87">
        <v>1</v>
      </c>
      <c r="T39" s="87">
        <v>0.2</v>
      </c>
      <c r="U39" s="87"/>
      <c r="V39" s="216"/>
      <c r="W39" s="59">
        <f t="shared" si="0"/>
        <v>3.5</v>
      </c>
      <c r="X39" s="89">
        <f t="shared" si="2"/>
        <v>4</v>
      </c>
      <c r="Y39" s="230">
        <f t="shared" si="8"/>
        <v>7.5</v>
      </c>
      <c r="Z39" s="100">
        <f>'[1]cálculos teóricos'!I368</f>
        <v>13.437678260637247</v>
      </c>
      <c r="AA39" s="101">
        <f t="shared" si="3"/>
        <v>55.813213075428493</v>
      </c>
      <c r="AB39" s="3"/>
      <c r="AE39" s="229"/>
    </row>
    <row r="40" spans="1:31" s="106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4">
        <f>SUM(I9:I39)</f>
        <v>0</v>
      </c>
      <c r="J40" s="104">
        <f t="shared" ref="J40:AA40" si="9">SUM(J9:J39)</f>
        <v>10.900000000000002</v>
      </c>
      <c r="K40" s="104">
        <f t="shared" si="9"/>
        <v>17.100000000000001</v>
      </c>
      <c r="L40" s="104">
        <f t="shared" si="9"/>
        <v>22.7</v>
      </c>
      <c r="M40" s="104">
        <f t="shared" si="9"/>
        <v>23.9</v>
      </c>
      <c r="N40" s="104">
        <f t="shared" si="9"/>
        <v>24.6</v>
      </c>
      <c r="O40" s="104">
        <f t="shared" si="9"/>
        <v>22.700000000000003</v>
      </c>
      <c r="P40" s="104">
        <f t="shared" si="9"/>
        <v>20.8</v>
      </c>
      <c r="Q40" s="104">
        <f t="shared" si="9"/>
        <v>19.399999999999999</v>
      </c>
      <c r="R40" s="104">
        <f t="shared" si="9"/>
        <v>17.2</v>
      </c>
      <c r="S40" s="104">
        <f t="shared" si="9"/>
        <v>13.199999999999998</v>
      </c>
      <c r="T40" s="104">
        <f t="shared" si="9"/>
        <v>9.1</v>
      </c>
      <c r="U40" s="104">
        <f t="shared" si="9"/>
        <v>4.4000000000000004</v>
      </c>
      <c r="V40" s="104"/>
      <c r="W40" s="104">
        <f t="shared" si="0"/>
        <v>121.89999999999999</v>
      </c>
      <c r="X40" s="104">
        <f>SUM(P40:V40)</f>
        <v>84.100000000000009</v>
      </c>
      <c r="Y40" s="104">
        <f>W40+X40</f>
        <v>206</v>
      </c>
      <c r="Z40" s="104">
        <f t="shared" si="9"/>
        <v>416.21285701052278</v>
      </c>
      <c r="AA40" s="104">
        <f t="shared" si="9"/>
        <v>1534.1123069796572</v>
      </c>
      <c r="AB40" s="102"/>
    </row>
    <row r="41" spans="1:31" s="106" customFormat="1" ht="15">
      <c r="A41" s="102"/>
      <c r="B41" s="102" t="s">
        <v>51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31" s="106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31" s="106" customFormat="1" ht="15">
      <c r="A43" s="102"/>
      <c r="B43" s="102" t="s">
        <v>52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31" s="106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31" s="106" customFormat="1" ht="15">
      <c r="A45" s="102"/>
      <c r="B45" s="102" t="s">
        <v>53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31" s="106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31" s="106" customFormat="1" ht="15">
      <c r="A47" s="102"/>
      <c r="B47" s="102" t="s">
        <v>54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31" s="106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6" customFormat="1" ht="15">
      <c r="A49" s="102"/>
      <c r="B49" s="102" t="s">
        <v>55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6" t="s">
        <v>58</v>
      </c>
    </row>
    <row r="61" spans="1:28">
      <c r="V61" s="231"/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2026-03-11T22:31:29Z</dcterms:created>
  <dcterms:modified xsi:type="dcterms:W3CDTF">2026-03-11T22:31:52Z</dcterms:modified>
</cp:coreProperties>
</file>