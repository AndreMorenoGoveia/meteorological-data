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90" windowWidth="17235" windowHeight="8775"/>
  </bookViews>
  <sheets>
    <sheet name="JAN" sheetId="1" r:id="rId1"/>
    <sheet name="FEV" sheetId="2" r:id="rId2"/>
    <sheet name="MAR" sheetId="3" r:id="rId3"/>
    <sheet name="ABR" sheetId="4" r:id="rId4"/>
    <sheet name="MAI" sheetId="5" r:id="rId5"/>
    <sheet name="JUN" sheetId="6" r:id="rId6"/>
    <sheet name="JUL" sheetId="7" r:id="rId7"/>
    <sheet name="AGO" sheetId="8" r:id="rId8"/>
    <sheet name="SET" sheetId="9" r:id="rId9"/>
    <sheet name="OUT" sheetId="10" r:id="rId10"/>
    <sheet name="NOV" sheetId="11" r:id="rId11"/>
    <sheet name="DEZ" sheetId="12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calcPr calcId="125725" iterateDelta="1E-4"/>
</workbook>
</file>

<file path=xl/calcChain.xml><?xml version="1.0" encoding="utf-8"?>
<calcChain xmlns="http://schemas.openxmlformats.org/spreadsheetml/2006/main">
  <c r="AF18" i="12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C39" s="1"/>
  <c r="AB13"/>
  <c r="AA13"/>
  <c r="Z13"/>
  <c r="Y13"/>
  <c r="X13"/>
  <c r="W13"/>
  <c r="V13"/>
  <c r="U13"/>
  <c r="U31" s="1"/>
  <c r="T13"/>
  <c r="S13"/>
  <c r="R13"/>
  <c r="Q13"/>
  <c r="P13"/>
  <c r="O13"/>
  <c r="N13"/>
  <c r="M13"/>
  <c r="M39" s="1"/>
  <c r="L13"/>
  <c r="K13"/>
  <c r="J13"/>
  <c r="I13"/>
  <c r="H13"/>
  <c r="G13"/>
  <c r="F13"/>
  <c r="E13"/>
  <c r="E31" s="1"/>
  <c r="D13"/>
  <c r="C13"/>
  <c r="B13"/>
  <c r="AF12"/>
  <c r="AE12"/>
  <c r="AD12"/>
  <c r="AC12"/>
  <c r="AB12"/>
  <c r="AB39" s="1"/>
  <c r="AA12"/>
  <c r="Z12"/>
  <c r="Y12"/>
  <c r="X12"/>
  <c r="W12"/>
  <c r="V12"/>
  <c r="U12"/>
  <c r="T12"/>
  <c r="T39" s="1"/>
  <c r="S12"/>
  <c r="R12"/>
  <c r="Q12"/>
  <c r="P12"/>
  <c r="O12"/>
  <c r="N12"/>
  <c r="M12"/>
  <c r="L12"/>
  <c r="L39" s="1"/>
  <c r="K12"/>
  <c r="J12"/>
  <c r="I12"/>
  <c r="H12"/>
  <c r="G12"/>
  <c r="F12"/>
  <c r="E12"/>
  <c r="D12"/>
  <c r="D39" s="1"/>
  <c r="C12"/>
  <c r="B12"/>
  <c r="AF11"/>
  <c r="AF39" s="1"/>
  <c r="AE11"/>
  <c r="AD11"/>
  <c r="AC11"/>
  <c r="AC35" s="1"/>
  <c r="AC43" s="1"/>
  <c r="AB11"/>
  <c r="AA11"/>
  <c r="AA35" s="1"/>
  <c r="Z11"/>
  <c r="Y11"/>
  <c r="X11"/>
  <c r="X35" s="1"/>
  <c r="W11"/>
  <c r="V11"/>
  <c r="U11"/>
  <c r="T11"/>
  <c r="S11"/>
  <c r="S39" s="1"/>
  <c r="R11"/>
  <c r="Q11"/>
  <c r="P11"/>
  <c r="P39" s="1"/>
  <c r="O11"/>
  <c r="N11"/>
  <c r="M11"/>
  <c r="M35" s="1"/>
  <c r="M43" s="1"/>
  <c r="L11"/>
  <c r="K11"/>
  <c r="K35" s="1"/>
  <c r="J11"/>
  <c r="I11"/>
  <c r="H11"/>
  <c r="H35" s="1"/>
  <c r="G11"/>
  <c r="F11"/>
  <c r="E11"/>
  <c r="D11"/>
  <c r="C11"/>
  <c r="C39" s="1"/>
  <c r="B11"/>
  <c r="AF10"/>
  <c r="AE10"/>
  <c r="AE39" s="1"/>
  <c r="AD10"/>
  <c r="AD39" s="1"/>
  <c r="AC10"/>
  <c r="AC31" s="1"/>
  <c r="AB10"/>
  <c r="AB31" s="1"/>
  <c r="AA10"/>
  <c r="AA39" s="1"/>
  <c r="Z10"/>
  <c r="Z39" s="1"/>
  <c r="Y10"/>
  <c r="Y39" s="1"/>
  <c r="X10"/>
  <c r="X39" s="1"/>
  <c r="W10"/>
  <c r="W39" s="1"/>
  <c r="V10"/>
  <c r="V35" s="1"/>
  <c r="U10"/>
  <c r="T10"/>
  <c r="S10"/>
  <c r="R10"/>
  <c r="R39" s="1"/>
  <c r="Q10"/>
  <c r="Q39" s="1"/>
  <c r="P10"/>
  <c r="O10"/>
  <c r="O39" s="1"/>
  <c r="N10"/>
  <c r="N39" s="1"/>
  <c r="M10"/>
  <c r="M31" s="1"/>
  <c r="L10"/>
  <c r="L31" s="1"/>
  <c r="K10"/>
  <c r="K39" s="1"/>
  <c r="J10"/>
  <c r="J39" s="1"/>
  <c r="I10"/>
  <c r="I39" s="1"/>
  <c r="H10"/>
  <c r="H39" s="1"/>
  <c r="G10"/>
  <c r="G39" s="1"/>
  <c r="F10"/>
  <c r="F35" s="1"/>
  <c r="E10"/>
  <c r="D10"/>
  <c r="C10"/>
  <c r="B10"/>
  <c r="B39" s="1"/>
  <c r="AE18" i="11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AA35" s="1"/>
  <c r="Z12"/>
  <c r="Z39" s="1"/>
  <c r="Y12"/>
  <c r="X12"/>
  <c r="W12"/>
  <c r="V12"/>
  <c r="U12"/>
  <c r="T12"/>
  <c r="S12"/>
  <c r="R12"/>
  <c r="R39" s="1"/>
  <c r="Q12"/>
  <c r="P12"/>
  <c r="O12"/>
  <c r="N12"/>
  <c r="M12"/>
  <c r="L12"/>
  <c r="K12"/>
  <c r="K35" s="1"/>
  <c r="J12"/>
  <c r="J39" s="1"/>
  <c r="I12"/>
  <c r="H12"/>
  <c r="G12"/>
  <c r="F12"/>
  <c r="E12"/>
  <c r="D12"/>
  <c r="C12"/>
  <c r="B12"/>
  <c r="B39" s="1"/>
  <c r="AE11"/>
  <c r="AD11"/>
  <c r="AC11"/>
  <c r="AC35" s="1"/>
  <c r="AB11"/>
  <c r="AA11"/>
  <c r="Z11"/>
  <c r="Z31" s="1"/>
  <c r="Y11"/>
  <c r="Y39" s="1"/>
  <c r="X11"/>
  <c r="X35" s="1"/>
  <c r="X43" s="1"/>
  <c r="W11"/>
  <c r="V11"/>
  <c r="U11"/>
  <c r="U39" s="1"/>
  <c r="T11"/>
  <c r="S11"/>
  <c r="R11"/>
  <c r="Q11"/>
  <c r="Q39" s="1"/>
  <c r="P11"/>
  <c r="P35" s="1"/>
  <c r="O11"/>
  <c r="N11"/>
  <c r="M11"/>
  <c r="M35" s="1"/>
  <c r="L11"/>
  <c r="K11"/>
  <c r="J11"/>
  <c r="J31" s="1"/>
  <c r="I11"/>
  <c r="I39" s="1"/>
  <c r="H11"/>
  <c r="H35" s="1"/>
  <c r="H43" s="1"/>
  <c r="G11"/>
  <c r="F11"/>
  <c r="E11"/>
  <c r="E39" s="1"/>
  <c r="D11"/>
  <c r="C11"/>
  <c r="B11"/>
  <c r="AE10"/>
  <c r="AE39" s="1"/>
  <c r="AD10"/>
  <c r="AD35" s="1"/>
  <c r="AC10"/>
  <c r="AB10"/>
  <c r="AB31" s="1"/>
  <c r="AA10"/>
  <c r="AA31" s="1"/>
  <c r="Z10"/>
  <c r="Y10"/>
  <c r="Y35" s="1"/>
  <c r="Y43" s="1"/>
  <c r="X10"/>
  <c r="X39" s="1"/>
  <c r="W10"/>
  <c r="W39" s="1"/>
  <c r="V10"/>
  <c r="V39" s="1"/>
  <c r="U10"/>
  <c r="U35" s="1"/>
  <c r="T10"/>
  <c r="T39" s="1"/>
  <c r="S10"/>
  <c r="S39" s="1"/>
  <c r="R10"/>
  <c r="R31" s="1"/>
  <c r="Q10"/>
  <c r="Q35" s="1"/>
  <c r="Q43" s="1"/>
  <c r="P10"/>
  <c r="P39" s="1"/>
  <c r="O10"/>
  <c r="O39" s="1"/>
  <c r="N10"/>
  <c r="N35" s="1"/>
  <c r="M10"/>
  <c r="L10"/>
  <c r="L31" s="1"/>
  <c r="K10"/>
  <c r="K31" s="1"/>
  <c r="J10"/>
  <c r="I10"/>
  <c r="I35" s="1"/>
  <c r="I43" s="1"/>
  <c r="H10"/>
  <c r="H39" s="1"/>
  <c r="G10"/>
  <c r="G39" s="1"/>
  <c r="F10"/>
  <c r="F39" s="1"/>
  <c r="E10"/>
  <c r="E35" s="1"/>
  <c r="D10"/>
  <c r="D39" s="1"/>
  <c r="C10"/>
  <c r="C39" s="1"/>
  <c r="B10"/>
  <c r="B31" s="1"/>
  <c r="AF18" i="10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B31" s="1"/>
  <c r="AA13"/>
  <c r="Z13"/>
  <c r="Y13"/>
  <c r="X13"/>
  <c r="W13"/>
  <c r="V13"/>
  <c r="U13"/>
  <c r="T13"/>
  <c r="T39" s="1"/>
  <c r="S13"/>
  <c r="R13"/>
  <c r="Q13"/>
  <c r="P13"/>
  <c r="O13"/>
  <c r="N13"/>
  <c r="M13"/>
  <c r="L13"/>
  <c r="L31" s="1"/>
  <c r="K13"/>
  <c r="J13"/>
  <c r="I13"/>
  <c r="H13"/>
  <c r="G13"/>
  <c r="F13"/>
  <c r="E13"/>
  <c r="D13"/>
  <c r="D39" s="1"/>
  <c r="C13"/>
  <c r="B13"/>
  <c r="AF12"/>
  <c r="AE12"/>
  <c r="AD12"/>
  <c r="AC12"/>
  <c r="AB12"/>
  <c r="AA12"/>
  <c r="AA39" s="1"/>
  <c r="Z12"/>
  <c r="Y12"/>
  <c r="X12"/>
  <c r="W12"/>
  <c r="V12"/>
  <c r="U12"/>
  <c r="T12"/>
  <c r="S12"/>
  <c r="S39" s="1"/>
  <c r="R12"/>
  <c r="Q12"/>
  <c r="P12"/>
  <c r="O12"/>
  <c r="N12"/>
  <c r="M12"/>
  <c r="L12"/>
  <c r="K12"/>
  <c r="K39" s="1"/>
  <c r="J12"/>
  <c r="I12"/>
  <c r="H12"/>
  <c r="G12"/>
  <c r="F12"/>
  <c r="E12"/>
  <c r="D12"/>
  <c r="C12"/>
  <c r="C39" s="1"/>
  <c r="B12"/>
  <c r="AF11"/>
  <c r="AE11"/>
  <c r="AE35" s="1"/>
  <c r="AE43" s="1"/>
  <c r="AD11"/>
  <c r="AC11"/>
  <c r="AB11"/>
  <c r="AA11"/>
  <c r="Z11"/>
  <c r="Z39" s="1"/>
  <c r="Y11"/>
  <c r="X11"/>
  <c r="W11"/>
  <c r="W35" s="1"/>
  <c r="V11"/>
  <c r="U11"/>
  <c r="T11"/>
  <c r="S11"/>
  <c r="R11"/>
  <c r="R35" s="1"/>
  <c r="R43" s="1"/>
  <c r="Q11"/>
  <c r="P11"/>
  <c r="O11"/>
  <c r="O35" s="1"/>
  <c r="O43" s="1"/>
  <c r="N11"/>
  <c r="M11"/>
  <c r="L11"/>
  <c r="K11"/>
  <c r="J11"/>
  <c r="J39" s="1"/>
  <c r="I11"/>
  <c r="H11"/>
  <c r="G11"/>
  <c r="G35" s="1"/>
  <c r="F11"/>
  <c r="E11"/>
  <c r="D11"/>
  <c r="C11"/>
  <c r="B11"/>
  <c r="B35" s="1"/>
  <c r="AF10"/>
  <c r="AF39" s="1"/>
  <c r="AE10"/>
  <c r="AE39" s="1"/>
  <c r="AD10"/>
  <c r="AD39" s="1"/>
  <c r="AC10"/>
  <c r="AC35" s="1"/>
  <c r="AB10"/>
  <c r="AA10"/>
  <c r="Z10"/>
  <c r="Y10"/>
  <c r="Y39" s="1"/>
  <c r="X10"/>
  <c r="X39" s="1"/>
  <c r="W10"/>
  <c r="W39" s="1"/>
  <c r="V10"/>
  <c r="V39" s="1"/>
  <c r="U10"/>
  <c r="U39" s="1"/>
  <c r="T10"/>
  <c r="T35" s="1"/>
  <c r="S10"/>
  <c r="S31" s="1"/>
  <c r="R10"/>
  <c r="R39" s="1"/>
  <c r="Q10"/>
  <c r="Q39" s="1"/>
  <c r="P10"/>
  <c r="P39" s="1"/>
  <c r="O10"/>
  <c r="O39" s="1"/>
  <c r="N10"/>
  <c r="N39" s="1"/>
  <c r="M10"/>
  <c r="M35" s="1"/>
  <c r="L10"/>
  <c r="K10"/>
  <c r="J10"/>
  <c r="I10"/>
  <c r="I39" s="1"/>
  <c r="H10"/>
  <c r="H39" s="1"/>
  <c r="G10"/>
  <c r="G39" s="1"/>
  <c r="F10"/>
  <c r="F39" s="1"/>
  <c r="E10"/>
  <c r="E39" s="1"/>
  <c r="D10"/>
  <c r="D35" s="1"/>
  <c r="C10"/>
  <c r="C31" s="1"/>
  <c r="B10"/>
  <c r="B39" s="1"/>
  <c r="AE18" i="9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Y39" s="1"/>
  <c r="X12"/>
  <c r="W12"/>
  <c r="V12"/>
  <c r="U12"/>
  <c r="T12"/>
  <c r="S12"/>
  <c r="R12"/>
  <c r="Q12"/>
  <c r="Q39" s="1"/>
  <c r="P12"/>
  <c r="O12"/>
  <c r="N12"/>
  <c r="M12"/>
  <c r="L12"/>
  <c r="K12"/>
  <c r="J12"/>
  <c r="I12"/>
  <c r="I39" s="1"/>
  <c r="H12"/>
  <c r="G12"/>
  <c r="F12"/>
  <c r="E12"/>
  <c r="D12"/>
  <c r="C12"/>
  <c r="B12"/>
  <c r="AE11"/>
  <c r="AE35" s="1"/>
  <c r="AD11"/>
  <c r="AC11"/>
  <c r="AB11"/>
  <c r="AB39" s="1"/>
  <c r="AA11"/>
  <c r="Z11"/>
  <c r="Y11"/>
  <c r="X11"/>
  <c r="X39" s="1"/>
  <c r="W11"/>
  <c r="W35" s="1"/>
  <c r="V11"/>
  <c r="U11"/>
  <c r="T11"/>
  <c r="T35" s="1"/>
  <c r="S11"/>
  <c r="R11"/>
  <c r="Q11"/>
  <c r="Q31" s="1"/>
  <c r="P11"/>
  <c r="P39" s="1"/>
  <c r="O11"/>
  <c r="O35" s="1"/>
  <c r="N11"/>
  <c r="M11"/>
  <c r="L11"/>
  <c r="L39" s="1"/>
  <c r="K11"/>
  <c r="J11"/>
  <c r="I11"/>
  <c r="H11"/>
  <c r="H39" s="1"/>
  <c r="G11"/>
  <c r="G35" s="1"/>
  <c r="F11"/>
  <c r="E11"/>
  <c r="D11"/>
  <c r="D35" s="1"/>
  <c r="C11"/>
  <c r="B11"/>
  <c r="AE10"/>
  <c r="AE39" s="1"/>
  <c r="AD10"/>
  <c r="AD39" s="1"/>
  <c r="AC10"/>
  <c r="AC39" s="1"/>
  <c r="AB10"/>
  <c r="AB35" s="1"/>
  <c r="AA10"/>
  <c r="AA39" s="1"/>
  <c r="Z10"/>
  <c r="Z39" s="1"/>
  <c r="Y10"/>
  <c r="Y31" s="1"/>
  <c r="X10"/>
  <c r="X35" s="1"/>
  <c r="X43" s="1"/>
  <c r="W10"/>
  <c r="W39" s="1"/>
  <c r="V10"/>
  <c r="V39" s="1"/>
  <c r="U10"/>
  <c r="U35" s="1"/>
  <c r="T10"/>
  <c r="S10"/>
  <c r="S31" s="1"/>
  <c r="R10"/>
  <c r="R31" s="1"/>
  <c r="Q10"/>
  <c r="P10"/>
  <c r="P35" s="1"/>
  <c r="P43" s="1"/>
  <c r="O10"/>
  <c r="O39" s="1"/>
  <c r="N10"/>
  <c r="N39" s="1"/>
  <c r="M10"/>
  <c r="M39" s="1"/>
  <c r="L10"/>
  <c r="L35" s="1"/>
  <c r="K10"/>
  <c r="K39" s="1"/>
  <c r="J10"/>
  <c r="J39" s="1"/>
  <c r="I10"/>
  <c r="I31" s="1"/>
  <c r="H10"/>
  <c r="H35" s="1"/>
  <c r="H43" s="1"/>
  <c r="G10"/>
  <c r="G39" s="1"/>
  <c r="F10"/>
  <c r="F39" s="1"/>
  <c r="E10"/>
  <c r="E35" s="1"/>
  <c r="D10"/>
  <c r="C10"/>
  <c r="C31" s="1"/>
  <c r="B10"/>
  <c r="B31" s="1"/>
  <c r="AF18" i="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AA39" s="1"/>
  <c r="Z13"/>
  <c r="Y13"/>
  <c r="X13"/>
  <c r="W13"/>
  <c r="V13"/>
  <c r="U13"/>
  <c r="T13"/>
  <c r="S13"/>
  <c r="S31" s="1"/>
  <c r="R13"/>
  <c r="Q13"/>
  <c r="P13"/>
  <c r="O13"/>
  <c r="N13"/>
  <c r="M13"/>
  <c r="L13"/>
  <c r="K13"/>
  <c r="K39" s="1"/>
  <c r="J13"/>
  <c r="I13"/>
  <c r="H13"/>
  <c r="G13"/>
  <c r="F13"/>
  <c r="E13"/>
  <c r="D13"/>
  <c r="C13"/>
  <c r="C31" s="1"/>
  <c r="B13"/>
  <c r="AF12"/>
  <c r="AE12"/>
  <c r="AD12"/>
  <c r="AC12"/>
  <c r="AB12"/>
  <c r="AA12"/>
  <c r="Z12"/>
  <c r="Z39" s="1"/>
  <c r="Y12"/>
  <c r="X12"/>
  <c r="W12"/>
  <c r="V12"/>
  <c r="U12"/>
  <c r="T12"/>
  <c r="S12"/>
  <c r="R12"/>
  <c r="R39" s="1"/>
  <c r="Q12"/>
  <c r="P12"/>
  <c r="O12"/>
  <c r="N12"/>
  <c r="M12"/>
  <c r="L12"/>
  <c r="K12"/>
  <c r="J12"/>
  <c r="J39" s="1"/>
  <c r="I12"/>
  <c r="H12"/>
  <c r="G12"/>
  <c r="F12"/>
  <c r="E12"/>
  <c r="D12"/>
  <c r="C12"/>
  <c r="B12"/>
  <c r="B39" s="1"/>
  <c r="AF11"/>
  <c r="AE11"/>
  <c r="AD11"/>
  <c r="AD35" s="1"/>
  <c r="AC11"/>
  <c r="AB11"/>
  <c r="AA11"/>
  <c r="Z11"/>
  <c r="Y11"/>
  <c r="Y35" s="1"/>
  <c r="Y43" s="1"/>
  <c r="X11"/>
  <c r="W11"/>
  <c r="V11"/>
  <c r="V35" s="1"/>
  <c r="U11"/>
  <c r="T11"/>
  <c r="S11"/>
  <c r="R11"/>
  <c r="Q11"/>
  <c r="Q39" s="1"/>
  <c r="P11"/>
  <c r="O11"/>
  <c r="N11"/>
  <c r="N35" s="1"/>
  <c r="M11"/>
  <c r="L11"/>
  <c r="K11"/>
  <c r="J11"/>
  <c r="I11"/>
  <c r="I35" s="1"/>
  <c r="I43" s="1"/>
  <c r="H11"/>
  <c r="G11"/>
  <c r="F11"/>
  <c r="F35" s="1"/>
  <c r="E11"/>
  <c r="D11"/>
  <c r="C11"/>
  <c r="B11"/>
  <c r="AF10"/>
  <c r="AF39" s="1"/>
  <c r="AE10"/>
  <c r="AE39" s="1"/>
  <c r="AD10"/>
  <c r="AD39" s="1"/>
  <c r="AC10"/>
  <c r="AC39" s="1"/>
  <c r="AB10"/>
  <c r="AB39" s="1"/>
  <c r="AA10"/>
  <c r="AA35" s="1"/>
  <c r="Z10"/>
  <c r="Z31" s="1"/>
  <c r="Y10"/>
  <c r="Y39" s="1"/>
  <c r="X10"/>
  <c r="X39" s="1"/>
  <c r="W10"/>
  <c r="W39" s="1"/>
  <c r="V10"/>
  <c r="V39" s="1"/>
  <c r="U10"/>
  <c r="U39" s="1"/>
  <c r="T10"/>
  <c r="T35" s="1"/>
  <c r="S10"/>
  <c r="R10"/>
  <c r="Q10"/>
  <c r="P10"/>
  <c r="P39" s="1"/>
  <c r="O10"/>
  <c r="O39" s="1"/>
  <c r="N10"/>
  <c r="N39" s="1"/>
  <c r="M10"/>
  <c r="M39" s="1"/>
  <c r="L10"/>
  <c r="L39" s="1"/>
  <c r="K10"/>
  <c r="K35" s="1"/>
  <c r="J10"/>
  <c r="J31" s="1"/>
  <c r="I10"/>
  <c r="I39" s="1"/>
  <c r="H10"/>
  <c r="H39" s="1"/>
  <c r="G10"/>
  <c r="G39" s="1"/>
  <c r="F10"/>
  <c r="F39" s="1"/>
  <c r="E10"/>
  <c r="E39" s="1"/>
  <c r="D10"/>
  <c r="D35" s="1"/>
  <c r="C10"/>
  <c r="B10"/>
  <c r="AF18" i="7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C31" s="1"/>
  <c r="AB13"/>
  <c r="AA13"/>
  <c r="Z13"/>
  <c r="Y13"/>
  <c r="X13"/>
  <c r="W13"/>
  <c r="V13"/>
  <c r="U13"/>
  <c r="U39" s="1"/>
  <c r="T13"/>
  <c r="S13"/>
  <c r="R13"/>
  <c r="Q13"/>
  <c r="P13"/>
  <c r="O13"/>
  <c r="N13"/>
  <c r="M13"/>
  <c r="M31" s="1"/>
  <c r="L13"/>
  <c r="K13"/>
  <c r="J13"/>
  <c r="I13"/>
  <c r="H13"/>
  <c r="G13"/>
  <c r="F13"/>
  <c r="E13"/>
  <c r="E39" s="1"/>
  <c r="D13"/>
  <c r="C13"/>
  <c r="B13"/>
  <c r="AF12"/>
  <c r="AE12"/>
  <c r="AD12"/>
  <c r="AC12"/>
  <c r="AB12"/>
  <c r="AB39" s="1"/>
  <c r="AA12"/>
  <c r="Z12"/>
  <c r="Y12"/>
  <c r="X12"/>
  <c r="W12"/>
  <c r="V12"/>
  <c r="U12"/>
  <c r="T12"/>
  <c r="T39" s="1"/>
  <c r="S12"/>
  <c r="R12"/>
  <c r="Q12"/>
  <c r="P12"/>
  <c r="O12"/>
  <c r="N12"/>
  <c r="M12"/>
  <c r="L12"/>
  <c r="L39" s="1"/>
  <c r="K12"/>
  <c r="J12"/>
  <c r="I12"/>
  <c r="H12"/>
  <c r="G12"/>
  <c r="F12"/>
  <c r="E12"/>
  <c r="D12"/>
  <c r="D39" s="1"/>
  <c r="C12"/>
  <c r="B12"/>
  <c r="AF11"/>
  <c r="AF35" s="1"/>
  <c r="AF43" s="1"/>
  <c r="AE11"/>
  <c r="AD11"/>
  <c r="AC11"/>
  <c r="AB11"/>
  <c r="AA11"/>
  <c r="AA35" s="1"/>
  <c r="AA43" s="1"/>
  <c r="Z11"/>
  <c r="Y11"/>
  <c r="X11"/>
  <c r="X35" s="1"/>
  <c r="X43" s="1"/>
  <c r="W11"/>
  <c r="V11"/>
  <c r="U11"/>
  <c r="T11"/>
  <c r="S11"/>
  <c r="S35" s="1"/>
  <c r="R11"/>
  <c r="Q11"/>
  <c r="P11"/>
  <c r="P35" s="1"/>
  <c r="P43" s="1"/>
  <c r="O11"/>
  <c r="N11"/>
  <c r="M11"/>
  <c r="L11"/>
  <c r="K11"/>
  <c r="K35" s="1"/>
  <c r="K43" s="1"/>
  <c r="J11"/>
  <c r="I11"/>
  <c r="H11"/>
  <c r="H35" s="1"/>
  <c r="H43" s="1"/>
  <c r="G11"/>
  <c r="F11"/>
  <c r="E11"/>
  <c r="D11"/>
  <c r="C11"/>
  <c r="C35" s="1"/>
  <c r="B11"/>
  <c r="AF10"/>
  <c r="AF39" s="1"/>
  <c r="AE10"/>
  <c r="AE39" s="1"/>
  <c r="AD10"/>
  <c r="AD35" s="1"/>
  <c r="AC10"/>
  <c r="AC35" s="1"/>
  <c r="AB10"/>
  <c r="AB31" s="1"/>
  <c r="AA10"/>
  <c r="AA39" s="1"/>
  <c r="Z10"/>
  <c r="Z39" s="1"/>
  <c r="Y10"/>
  <c r="Y39" s="1"/>
  <c r="X10"/>
  <c r="X39" s="1"/>
  <c r="W10"/>
  <c r="W39" s="1"/>
  <c r="V10"/>
  <c r="V39" s="1"/>
  <c r="U10"/>
  <c r="U35" s="1"/>
  <c r="U43" s="1"/>
  <c r="T10"/>
  <c r="T31" s="1"/>
  <c r="S10"/>
  <c r="S39" s="1"/>
  <c r="R10"/>
  <c r="R39" s="1"/>
  <c r="Q10"/>
  <c r="Q39" s="1"/>
  <c r="P10"/>
  <c r="P39" s="1"/>
  <c r="O10"/>
  <c r="O39" s="1"/>
  <c r="N10"/>
  <c r="N35" s="1"/>
  <c r="M10"/>
  <c r="M35" s="1"/>
  <c r="L10"/>
  <c r="L31" s="1"/>
  <c r="K10"/>
  <c r="K39" s="1"/>
  <c r="J10"/>
  <c r="J39" s="1"/>
  <c r="I10"/>
  <c r="I39" s="1"/>
  <c r="H10"/>
  <c r="H39" s="1"/>
  <c r="G10"/>
  <c r="G39" s="1"/>
  <c r="F10"/>
  <c r="F39" s="1"/>
  <c r="E10"/>
  <c r="E35" s="1"/>
  <c r="E43" s="1"/>
  <c r="D10"/>
  <c r="D31" s="1"/>
  <c r="C10"/>
  <c r="C39" s="1"/>
  <c r="B10"/>
  <c r="B39" s="1"/>
  <c r="AE18" i="6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Z39" s="1"/>
  <c r="Y12"/>
  <c r="X12"/>
  <c r="W12"/>
  <c r="V12"/>
  <c r="U12"/>
  <c r="T12"/>
  <c r="S12"/>
  <c r="R12"/>
  <c r="R39" s="1"/>
  <c r="Q12"/>
  <c r="P12"/>
  <c r="O12"/>
  <c r="N12"/>
  <c r="M12"/>
  <c r="L12"/>
  <c r="K12"/>
  <c r="J12"/>
  <c r="J39" s="1"/>
  <c r="I12"/>
  <c r="H12"/>
  <c r="G12"/>
  <c r="F12"/>
  <c r="E12"/>
  <c r="D12"/>
  <c r="C12"/>
  <c r="B12"/>
  <c r="B39" s="1"/>
  <c r="AE11"/>
  <c r="AD11"/>
  <c r="AC11"/>
  <c r="AC39" s="1"/>
  <c r="AB11"/>
  <c r="AA11"/>
  <c r="Z11"/>
  <c r="Y11"/>
  <c r="Y39" s="1"/>
  <c r="X11"/>
  <c r="X35" s="1"/>
  <c r="X43" s="1"/>
  <c r="W11"/>
  <c r="V11"/>
  <c r="U11"/>
  <c r="U31" s="1"/>
  <c r="T11"/>
  <c r="S11"/>
  <c r="R11"/>
  <c r="Q11"/>
  <c r="Q39" s="1"/>
  <c r="P11"/>
  <c r="P35" s="1"/>
  <c r="P43" s="1"/>
  <c r="O11"/>
  <c r="N11"/>
  <c r="M11"/>
  <c r="M39" s="1"/>
  <c r="L11"/>
  <c r="K11"/>
  <c r="J11"/>
  <c r="I11"/>
  <c r="I39" s="1"/>
  <c r="H11"/>
  <c r="H35" s="1"/>
  <c r="H43" s="1"/>
  <c r="G11"/>
  <c r="F11"/>
  <c r="E11"/>
  <c r="E31" s="1"/>
  <c r="D11"/>
  <c r="C11"/>
  <c r="B11"/>
  <c r="AE10"/>
  <c r="AE39" s="1"/>
  <c r="AD10"/>
  <c r="AD39" s="1"/>
  <c r="AC10"/>
  <c r="AC35" s="1"/>
  <c r="AC43" s="1"/>
  <c r="AB10"/>
  <c r="AB39" s="1"/>
  <c r="AA10"/>
  <c r="AA39" s="1"/>
  <c r="Z10"/>
  <c r="Z31" s="1"/>
  <c r="Y10"/>
  <c r="Y35" s="1"/>
  <c r="X10"/>
  <c r="X39" s="1"/>
  <c r="W10"/>
  <c r="W39" s="1"/>
  <c r="V10"/>
  <c r="V35" s="1"/>
  <c r="U10"/>
  <c r="U35" s="1"/>
  <c r="T10"/>
  <c r="T31" s="1"/>
  <c r="S10"/>
  <c r="S31" s="1"/>
  <c r="R10"/>
  <c r="R31" s="1"/>
  <c r="Q10"/>
  <c r="Q35" s="1"/>
  <c r="Q43" s="1"/>
  <c r="P10"/>
  <c r="P39" s="1"/>
  <c r="O10"/>
  <c r="O39" s="1"/>
  <c r="N10"/>
  <c r="N39" s="1"/>
  <c r="M10"/>
  <c r="M35" s="1"/>
  <c r="M43" s="1"/>
  <c r="L10"/>
  <c r="L39" s="1"/>
  <c r="K10"/>
  <c r="K39" s="1"/>
  <c r="J10"/>
  <c r="J31" s="1"/>
  <c r="I10"/>
  <c r="I35" s="1"/>
  <c r="H10"/>
  <c r="H39" s="1"/>
  <c r="G10"/>
  <c r="G39" s="1"/>
  <c r="F10"/>
  <c r="F35" s="1"/>
  <c r="E10"/>
  <c r="E35" s="1"/>
  <c r="D10"/>
  <c r="D31" s="1"/>
  <c r="C10"/>
  <c r="C31" s="1"/>
  <c r="B10"/>
  <c r="B31" s="1"/>
  <c r="AF18" i="5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T39" s="1"/>
  <c r="S14"/>
  <c r="R14"/>
  <c r="Q14"/>
  <c r="P14"/>
  <c r="O14"/>
  <c r="N14"/>
  <c r="M14"/>
  <c r="L14"/>
  <c r="K14"/>
  <c r="J14"/>
  <c r="I14"/>
  <c r="H14"/>
  <c r="G14"/>
  <c r="F14"/>
  <c r="E14"/>
  <c r="D14"/>
  <c r="D39" s="1"/>
  <c r="C14"/>
  <c r="B14"/>
  <c r="AF13"/>
  <c r="AE13"/>
  <c r="AD13"/>
  <c r="AC13"/>
  <c r="AB13"/>
  <c r="AB39" s="1"/>
  <c r="AA13"/>
  <c r="Z13"/>
  <c r="Y13"/>
  <c r="X13"/>
  <c r="W13"/>
  <c r="V13"/>
  <c r="U13"/>
  <c r="T13"/>
  <c r="S13"/>
  <c r="S35" s="1"/>
  <c r="R13"/>
  <c r="Q13"/>
  <c r="P13"/>
  <c r="O13"/>
  <c r="N13"/>
  <c r="M13"/>
  <c r="L13"/>
  <c r="L39" s="1"/>
  <c r="K13"/>
  <c r="J13"/>
  <c r="I13"/>
  <c r="H13"/>
  <c r="G13"/>
  <c r="F13"/>
  <c r="E13"/>
  <c r="D13"/>
  <c r="C13"/>
  <c r="C35" s="1"/>
  <c r="B13"/>
  <c r="AF12"/>
  <c r="AE12"/>
  <c r="AD12"/>
  <c r="AC12"/>
  <c r="AB12"/>
  <c r="AA12"/>
  <c r="AA39" s="1"/>
  <c r="Z12"/>
  <c r="Y12"/>
  <c r="X12"/>
  <c r="W12"/>
  <c r="V12"/>
  <c r="U12"/>
  <c r="T12"/>
  <c r="S12"/>
  <c r="S39" s="1"/>
  <c r="R12"/>
  <c r="R31" s="1"/>
  <c r="Q12"/>
  <c r="P12"/>
  <c r="O12"/>
  <c r="N12"/>
  <c r="M12"/>
  <c r="L12"/>
  <c r="K12"/>
  <c r="K39" s="1"/>
  <c r="J12"/>
  <c r="I12"/>
  <c r="H12"/>
  <c r="G12"/>
  <c r="F12"/>
  <c r="E12"/>
  <c r="D12"/>
  <c r="C12"/>
  <c r="C39" s="1"/>
  <c r="B12"/>
  <c r="B31" s="1"/>
  <c r="AF11"/>
  <c r="AE11"/>
  <c r="AE35" s="1"/>
  <c r="AE43" s="1"/>
  <c r="AD11"/>
  <c r="AC11"/>
  <c r="AB11"/>
  <c r="AA11"/>
  <c r="Z11"/>
  <c r="Z35" s="1"/>
  <c r="Z43" s="1"/>
  <c r="Y11"/>
  <c r="X11"/>
  <c r="W11"/>
  <c r="W35" s="1"/>
  <c r="W43" s="1"/>
  <c r="V11"/>
  <c r="U11"/>
  <c r="T11"/>
  <c r="S11"/>
  <c r="R11"/>
  <c r="R35" s="1"/>
  <c r="Q11"/>
  <c r="P11"/>
  <c r="O11"/>
  <c r="O35" s="1"/>
  <c r="O43" s="1"/>
  <c r="N11"/>
  <c r="M11"/>
  <c r="L11"/>
  <c r="K11"/>
  <c r="J11"/>
  <c r="J35" s="1"/>
  <c r="J43" s="1"/>
  <c r="I11"/>
  <c r="H11"/>
  <c r="G11"/>
  <c r="G35" s="1"/>
  <c r="G43" s="1"/>
  <c r="F11"/>
  <c r="E11"/>
  <c r="D11"/>
  <c r="C11"/>
  <c r="B11"/>
  <c r="B35" s="1"/>
  <c r="AF10"/>
  <c r="AF39" s="1"/>
  <c r="AE10"/>
  <c r="AE39" s="1"/>
  <c r="AD10"/>
  <c r="AD39" s="1"/>
  <c r="AC10"/>
  <c r="AC39" s="1"/>
  <c r="AB10"/>
  <c r="AB35" s="1"/>
  <c r="AB43" s="1"/>
  <c r="AA10"/>
  <c r="AA31" s="1"/>
  <c r="Z10"/>
  <c r="Z39" s="1"/>
  <c r="Y10"/>
  <c r="Y39" s="1"/>
  <c r="X10"/>
  <c r="X39" s="1"/>
  <c r="W10"/>
  <c r="W39" s="1"/>
  <c r="V10"/>
  <c r="V39" s="1"/>
  <c r="U10"/>
  <c r="U35" s="1"/>
  <c r="T10"/>
  <c r="T31" s="1"/>
  <c r="S10"/>
  <c r="S31" s="1"/>
  <c r="R10"/>
  <c r="R39" s="1"/>
  <c r="Q10"/>
  <c r="Q39" s="1"/>
  <c r="P10"/>
  <c r="P39" s="1"/>
  <c r="O10"/>
  <c r="O39" s="1"/>
  <c r="N10"/>
  <c r="N39" s="1"/>
  <c r="M10"/>
  <c r="M39" s="1"/>
  <c r="L10"/>
  <c r="L35" s="1"/>
  <c r="L43" s="1"/>
  <c r="K10"/>
  <c r="K31" s="1"/>
  <c r="J10"/>
  <c r="J39" s="1"/>
  <c r="I10"/>
  <c r="I39" s="1"/>
  <c r="H10"/>
  <c r="H39" s="1"/>
  <c r="G10"/>
  <c r="G39" s="1"/>
  <c r="F10"/>
  <c r="F39" s="1"/>
  <c r="E10"/>
  <c r="E35" s="1"/>
  <c r="D10"/>
  <c r="D31" s="1"/>
  <c r="C10"/>
  <c r="C31" s="1"/>
  <c r="B10"/>
  <c r="B39" s="1"/>
  <c r="AE18" i="4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Y39" s="1"/>
  <c r="X12"/>
  <c r="W12"/>
  <c r="V12"/>
  <c r="U12"/>
  <c r="T12"/>
  <c r="S12"/>
  <c r="R12"/>
  <c r="Q12"/>
  <c r="Q39" s="1"/>
  <c r="P12"/>
  <c r="O12"/>
  <c r="N12"/>
  <c r="M12"/>
  <c r="L12"/>
  <c r="K12"/>
  <c r="J12"/>
  <c r="I12"/>
  <c r="I39" s="1"/>
  <c r="H12"/>
  <c r="G12"/>
  <c r="F12"/>
  <c r="E12"/>
  <c r="D12"/>
  <c r="C12"/>
  <c r="B12"/>
  <c r="AE11"/>
  <c r="AE35" s="1"/>
  <c r="AD11"/>
  <c r="AC11"/>
  <c r="AB11"/>
  <c r="AB31" s="1"/>
  <c r="AA11"/>
  <c r="Z11"/>
  <c r="Y11"/>
  <c r="X11"/>
  <c r="X39" s="1"/>
  <c r="W11"/>
  <c r="W35" s="1"/>
  <c r="V11"/>
  <c r="U11"/>
  <c r="T11"/>
  <c r="T39" s="1"/>
  <c r="S11"/>
  <c r="R11"/>
  <c r="Q11"/>
  <c r="P11"/>
  <c r="P39" s="1"/>
  <c r="O11"/>
  <c r="O35" s="1"/>
  <c r="N11"/>
  <c r="M11"/>
  <c r="L11"/>
  <c r="L31" s="1"/>
  <c r="K11"/>
  <c r="J11"/>
  <c r="I11"/>
  <c r="H11"/>
  <c r="H39" s="1"/>
  <c r="G11"/>
  <c r="G35" s="1"/>
  <c r="F11"/>
  <c r="E11"/>
  <c r="D11"/>
  <c r="D39" s="1"/>
  <c r="C11"/>
  <c r="B11"/>
  <c r="AE10"/>
  <c r="AE39" s="1"/>
  <c r="AD10"/>
  <c r="AD39" s="1"/>
  <c r="AC10"/>
  <c r="AC35" s="1"/>
  <c r="AB10"/>
  <c r="AB35" s="1"/>
  <c r="AA10"/>
  <c r="AA31" s="1"/>
  <c r="Z10"/>
  <c r="Z31" s="1"/>
  <c r="Y10"/>
  <c r="Y31" s="1"/>
  <c r="X10"/>
  <c r="X35" s="1"/>
  <c r="X43" s="1"/>
  <c r="W10"/>
  <c r="W39" s="1"/>
  <c r="V10"/>
  <c r="V39" s="1"/>
  <c r="U10"/>
  <c r="U39" s="1"/>
  <c r="T10"/>
  <c r="T35" s="1"/>
  <c r="S10"/>
  <c r="S39" s="1"/>
  <c r="R10"/>
  <c r="R39" s="1"/>
  <c r="Q10"/>
  <c r="Q31" s="1"/>
  <c r="P10"/>
  <c r="P35" s="1"/>
  <c r="P43" s="1"/>
  <c r="O10"/>
  <c r="O39" s="1"/>
  <c r="N10"/>
  <c r="N39" s="1"/>
  <c r="M10"/>
  <c r="M35" s="1"/>
  <c r="L10"/>
  <c r="L35" s="1"/>
  <c r="K10"/>
  <c r="K31" s="1"/>
  <c r="J10"/>
  <c r="J31" s="1"/>
  <c r="I10"/>
  <c r="I31" s="1"/>
  <c r="H10"/>
  <c r="H35" s="1"/>
  <c r="H43" s="1"/>
  <c r="G10"/>
  <c r="G39" s="1"/>
  <c r="F10"/>
  <c r="F39" s="1"/>
  <c r="E10"/>
  <c r="E39" s="1"/>
  <c r="D10"/>
  <c r="D35" s="1"/>
  <c r="C10"/>
  <c r="C39" s="1"/>
  <c r="B10"/>
  <c r="B39" s="1"/>
  <c r="AF18" i="3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AA39" s="1"/>
  <c r="Z14"/>
  <c r="Y14"/>
  <c r="X14"/>
  <c r="W14"/>
  <c r="V14"/>
  <c r="U14"/>
  <c r="T14"/>
  <c r="S14"/>
  <c r="R14"/>
  <c r="Q14"/>
  <c r="P14"/>
  <c r="O14"/>
  <c r="N14"/>
  <c r="M14"/>
  <c r="L14"/>
  <c r="K14"/>
  <c r="K39" s="1"/>
  <c r="J14"/>
  <c r="I14"/>
  <c r="H14"/>
  <c r="G14"/>
  <c r="F14"/>
  <c r="E14"/>
  <c r="D14"/>
  <c r="C14"/>
  <c r="B14"/>
  <c r="AF13"/>
  <c r="AE13"/>
  <c r="AD13"/>
  <c r="AC13"/>
  <c r="AB13"/>
  <c r="AA13"/>
  <c r="Z13"/>
  <c r="Z35" s="1"/>
  <c r="Z43" s="1"/>
  <c r="Y13"/>
  <c r="X13"/>
  <c r="W13"/>
  <c r="V13"/>
  <c r="U13"/>
  <c r="T13"/>
  <c r="S13"/>
  <c r="S39" s="1"/>
  <c r="R13"/>
  <c r="Q13"/>
  <c r="P13"/>
  <c r="O13"/>
  <c r="N13"/>
  <c r="M13"/>
  <c r="L13"/>
  <c r="K13"/>
  <c r="J13"/>
  <c r="J35" s="1"/>
  <c r="J43" s="1"/>
  <c r="I13"/>
  <c r="H13"/>
  <c r="G13"/>
  <c r="F13"/>
  <c r="E13"/>
  <c r="D13"/>
  <c r="C13"/>
  <c r="B13"/>
  <c r="AF12"/>
  <c r="AE12"/>
  <c r="AE39" s="1"/>
  <c r="AD12"/>
  <c r="AC12"/>
  <c r="AB12"/>
  <c r="AA12"/>
  <c r="Z12"/>
  <c r="Y12"/>
  <c r="Y31" s="1"/>
  <c r="X12"/>
  <c r="W12"/>
  <c r="V12"/>
  <c r="U12"/>
  <c r="T12"/>
  <c r="S12"/>
  <c r="R12"/>
  <c r="R39" s="1"/>
  <c r="Q12"/>
  <c r="P12"/>
  <c r="O12"/>
  <c r="O39" s="1"/>
  <c r="N12"/>
  <c r="M12"/>
  <c r="L12"/>
  <c r="K12"/>
  <c r="J12"/>
  <c r="I12"/>
  <c r="I31" s="1"/>
  <c r="H12"/>
  <c r="G12"/>
  <c r="F12"/>
  <c r="E12"/>
  <c r="D12"/>
  <c r="C12"/>
  <c r="C39" s="1"/>
  <c r="B12"/>
  <c r="B39" s="1"/>
  <c r="AF11"/>
  <c r="AE11"/>
  <c r="AD11"/>
  <c r="AD35" s="1"/>
  <c r="AC11"/>
  <c r="AB11"/>
  <c r="AA11"/>
  <c r="Z11"/>
  <c r="Y11"/>
  <c r="X11"/>
  <c r="W11"/>
  <c r="V11"/>
  <c r="V31" s="1"/>
  <c r="U11"/>
  <c r="T11"/>
  <c r="S11"/>
  <c r="R11"/>
  <c r="R35" s="1"/>
  <c r="R43" s="1"/>
  <c r="Q11"/>
  <c r="Q35" s="1"/>
  <c r="P11"/>
  <c r="O11"/>
  <c r="N11"/>
  <c r="N35" s="1"/>
  <c r="M11"/>
  <c r="L11"/>
  <c r="K11"/>
  <c r="J11"/>
  <c r="I11"/>
  <c r="H11"/>
  <c r="G11"/>
  <c r="F11"/>
  <c r="F31" s="1"/>
  <c r="E11"/>
  <c r="D11"/>
  <c r="C11"/>
  <c r="B11"/>
  <c r="B35" s="1"/>
  <c r="AF10"/>
  <c r="AF39" s="1"/>
  <c r="AE10"/>
  <c r="AE31" s="1"/>
  <c r="AD10"/>
  <c r="AD39" s="1"/>
  <c r="AC10"/>
  <c r="AC39" s="1"/>
  <c r="AB10"/>
  <c r="AB35" s="1"/>
  <c r="AA10"/>
  <c r="AA31" s="1"/>
  <c r="Z10"/>
  <c r="Z39" s="1"/>
  <c r="Y10"/>
  <c r="Y39" s="1"/>
  <c r="X10"/>
  <c r="X39" s="1"/>
  <c r="W10"/>
  <c r="W39" s="1"/>
  <c r="V10"/>
  <c r="V39" s="1"/>
  <c r="U10"/>
  <c r="U39" s="1"/>
  <c r="T10"/>
  <c r="T39" s="1"/>
  <c r="S10"/>
  <c r="S35" s="1"/>
  <c r="S43" s="1"/>
  <c r="R10"/>
  <c r="R31" s="1"/>
  <c r="Q10"/>
  <c r="Q39" s="1"/>
  <c r="P10"/>
  <c r="P39" s="1"/>
  <c r="O10"/>
  <c r="O31" s="1"/>
  <c r="N10"/>
  <c r="N39" s="1"/>
  <c r="M10"/>
  <c r="M39" s="1"/>
  <c r="L10"/>
  <c r="L35" s="1"/>
  <c r="K10"/>
  <c r="K31" s="1"/>
  <c r="J10"/>
  <c r="J39" s="1"/>
  <c r="I10"/>
  <c r="I39" s="1"/>
  <c r="H10"/>
  <c r="H39" s="1"/>
  <c r="G10"/>
  <c r="G39" s="1"/>
  <c r="F10"/>
  <c r="F39" s="1"/>
  <c r="E10"/>
  <c r="E39" s="1"/>
  <c r="D10"/>
  <c r="D39" s="1"/>
  <c r="C10"/>
  <c r="C35" s="1"/>
  <c r="C43" s="1"/>
  <c r="B10"/>
  <c r="B31" s="1"/>
  <c r="AD18" i="2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D16"/>
  <c r="AC16"/>
  <c r="AB16"/>
  <c r="AA16"/>
  <c r="Z16"/>
  <c r="Y16"/>
  <c r="X16"/>
  <c r="W16"/>
  <c r="V16"/>
  <c r="U16"/>
  <c r="T16"/>
  <c r="S16"/>
  <c r="R16"/>
  <c r="R35" s="1"/>
  <c r="Q16"/>
  <c r="P16"/>
  <c r="O16"/>
  <c r="N16"/>
  <c r="M16"/>
  <c r="L16"/>
  <c r="K16"/>
  <c r="J16"/>
  <c r="I16"/>
  <c r="H16"/>
  <c r="G16"/>
  <c r="F16"/>
  <c r="E16"/>
  <c r="D16"/>
  <c r="C16"/>
  <c r="B16"/>
  <c r="B35" s="1"/>
  <c r="AD15"/>
  <c r="AC15"/>
  <c r="AB15"/>
  <c r="AA15"/>
  <c r="Z15"/>
  <c r="Y15"/>
  <c r="X15"/>
  <c r="W15"/>
  <c r="V15"/>
  <c r="U15"/>
  <c r="T15"/>
  <c r="S15"/>
  <c r="R15"/>
  <c r="Q15"/>
  <c r="P15"/>
  <c r="O15"/>
  <c r="O31" s="1"/>
  <c r="N15"/>
  <c r="M15"/>
  <c r="L15"/>
  <c r="K15"/>
  <c r="J15"/>
  <c r="I15"/>
  <c r="H15"/>
  <c r="G15"/>
  <c r="F15"/>
  <c r="E15"/>
  <c r="D15"/>
  <c r="C15"/>
  <c r="B15"/>
  <c r="AD14"/>
  <c r="AC14"/>
  <c r="AB14"/>
  <c r="AA14"/>
  <c r="Z14"/>
  <c r="Y14"/>
  <c r="X14"/>
  <c r="W14"/>
  <c r="V14"/>
  <c r="U14"/>
  <c r="T14"/>
  <c r="S14"/>
  <c r="R14"/>
  <c r="Q14"/>
  <c r="Q39" s="1"/>
  <c r="P14"/>
  <c r="O14"/>
  <c r="N14"/>
  <c r="M14"/>
  <c r="L14"/>
  <c r="K14"/>
  <c r="J14"/>
  <c r="I14"/>
  <c r="H14"/>
  <c r="G14"/>
  <c r="F14"/>
  <c r="E14"/>
  <c r="D14"/>
  <c r="C14"/>
  <c r="B14"/>
  <c r="AD13"/>
  <c r="AD35" s="1"/>
  <c r="AC13"/>
  <c r="AB13"/>
  <c r="AA13"/>
  <c r="Z13"/>
  <c r="Y13"/>
  <c r="X13"/>
  <c r="W13"/>
  <c r="V13"/>
  <c r="U13"/>
  <c r="T13"/>
  <c r="S13"/>
  <c r="R13"/>
  <c r="Q13"/>
  <c r="P13"/>
  <c r="O13"/>
  <c r="N13"/>
  <c r="N35" s="1"/>
  <c r="M13"/>
  <c r="L13"/>
  <c r="K13"/>
  <c r="J13"/>
  <c r="I13"/>
  <c r="H13"/>
  <c r="G13"/>
  <c r="F13"/>
  <c r="E13"/>
  <c r="D13"/>
  <c r="C13"/>
  <c r="B13"/>
  <c r="AD12"/>
  <c r="AC12"/>
  <c r="AB12"/>
  <c r="AA12"/>
  <c r="AA31" s="1"/>
  <c r="Z12"/>
  <c r="Y12"/>
  <c r="X12"/>
  <c r="W12"/>
  <c r="V12"/>
  <c r="V39" s="1"/>
  <c r="U12"/>
  <c r="T12"/>
  <c r="S12"/>
  <c r="R12"/>
  <c r="Q12"/>
  <c r="P12"/>
  <c r="O12"/>
  <c r="N12"/>
  <c r="M12"/>
  <c r="L12"/>
  <c r="K12"/>
  <c r="K31" s="1"/>
  <c r="J12"/>
  <c r="I12"/>
  <c r="H12"/>
  <c r="G12"/>
  <c r="F12"/>
  <c r="F39" s="1"/>
  <c r="E12"/>
  <c r="D12"/>
  <c r="C12"/>
  <c r="B12"/>
  <c r="AD11"/>
  <c r="AC11"/>
  <c r="AB11"/>
  <c r="AA11"/>
  <c r="Z11"/>
  <c r="Y11"/>
  <c r="X11"/>
  <c r="X39" s="1"/>
  <c r="W11"/>
  <c r="V11"/>
  <c r="U11"/>
  <c r="T11"/>
  <c r="S11"/>
  <c r="S35" s="1"/>
  <c r="R11"/>
  <c r="Q11"/>
  <c r="P11"/>
  <c r="O11"/>
  <c r="N11"/>
  <c r="M11"/>
  <c r="L11"/>
  <c r="K11"/>
  <c r="J11"/>
  <c r="I11"/>
  <c r="H11"/>
  <c r="H39" s="1"/>
  <c r="G11"/>
  <c r="F11"/>
  <c r="E11"/>
  <c r="D11"/>
  <c r="C11"/>
  <c r="C35" s="1"/>
  <c r="B11"/>
  <c r="AD10"/>
  <c r="AD31" s="1"/>
  <c r="AC10"/>
  <c r="AC31" s="1"/>
  <c r="AB10"/>
  <c r="AB39" s="1"/>
  <c r="AA10"/>
  <c r="AA39" s="1"/>
  <c r="Z10"/>
  <c r="Z39" s="1"/>
  <c r="Y10"/>
  <c r="Y39" s="1"/>
  <c r="X10"/>
  <c r="X35" s="1"/>
  <c r="X43" s="1"/>
  <c r="W10"/>
  <c r="W39" s="1"/>
  <c r="V10"/>
  <c r="V35" s="1"/>
  <c r="V43" s="1"/>
  <c r="U10"/>
  <c r="U39" s="1"/>
  <c r="T10"/>
  <c r="T39" s="1"/>
  <c r="S10"/>
  <c r="S39" s="1"/>
  <c r="R10"/>
  <c r="R39" s="1"/>
  <c r="Q10"/>
  <c r="Q35" s="1"/>
  <c r="P10"/>
  <c r="P35" s="1"/>
  <c r="O10"/>
  <c r="O39" s="1"/>
  <c r="N10"/>
  <c r="N31" s="1"/>
  <c r="M10"/>
  <c r="M31" s="1"/>
  <c r="L10"/>
  <c r="L39" s="1"/>
  <c r="K10"/>
  <c r="K39" s="1"/>
  <c r="J10"/>
  <c r="J39" s="1"/>
  <c r="I10"/>
  <c r="I39" s="1"/>
  <c r="H10"/>
  <c r="H35" s="1"/>
  <c r="H43" s="1"/>
  <c r="G10"/>
  <c r="G39" s="1"/>
  <c r="F10"/>
  <c r="F35" s="1"/>
  <c r="F43" s="1"/>
  <c r="E10"/>
  <c r="E39" s="1"/>
  <c r="D10"/>
  <c r="D39" s="1"/>
  <c r="C10"/>
  <c r="C39" s="1"/>
  <c r="B10"/>
  <c r="B39" s="1"/>
  <c r="AF18" i="1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F39" s="1"/>
  <c r="AE10"/>
  <c r="AE39" s="1"/>
  <c r="AD10"/>
  <c r="AD39" s="1"/>
  <c r="AC10"/>
  <c r="AC39" s="1"/>
  <c r="AB10"/>
  <c r="AB39" s="1"/>
  <c r="AA10"/>
  <c r="AA39" s="1"/>
  <c r="Z10"/>
  <c r="Z39" s="1"/>
  <c r="Y10"/>
  <c r="Y39" s="1"/>
  <c r="X10"/>
  <c r="X39" s="1"/>
  <c r="W10"/>
  <c r="W39" s="1"/>
  <c r="V10"/>
  <c r="V35" s="1"/>
  <c r="U10"/>
  <c r="U31" s="1"/>
  <c r="T10"/>
  <c r="T39" s="1"/>
  <c r="S10"/>
  <c r="S39" s="1"/>
  <c r="R10"/>
  <c r="R39" s="1"/>
  <c r="Q10"/>
  <c r="Q39" s="1"/>
  <c r="P10"/>
  <c r="P39" s="1"/>
  <c r="O10"/>
  <c r="O39" s="1"/>
  <c r="N10"/>
  <c r="N39" s="1"/>
  <c r="M10"/>
  <c r="M39" s="1"/>
  <c r="L10"/>
  <c r="L39" s="1"/>
  <c r="K10"/>
  <c r="K39" s="1"/>
  <c r="J10"/>
  <c r="J39" s="1"/>
  <c r="I10"/>
  <c r="I39" s="1"/>
  <c r="H10"/>
  <c r="H39" s="1"/>
  <c r="G10"/>
  <c r="G39" s="1"/>
  <c r="F10"/>
  <c r="F35" s="1"/>
  <c r="E10"/>
  <c r="E31" s="1"/>
  <c r="D10"/>
  <c r="D39" s="1"/>
  <c r="C10"/>
  <c r="C39" s="1"/>
  <c r="B10"/>
  <c r="B39" s="1"/>
  <c r="V43" i="6" l="1"/>
  <c r="E43" i="11"/>
  <c r="U43"/>
  <c r="H43" i="12"/>
  <c r="X43"/>
  <c r="B43" i="3"/>
  <c r="V43" i="12"/>
  <c r="Q43" i="3"/>
  <c r="N43" i="8"/>
  <c r="AD43"/>
  <c r="N43" i="3"/>
  <c r="AD43"/>
  <c r="G43" i="9"/>
  <c r="W43"/>
  <c r="Q43" i="2"/>
  <c r="G43" i="4"/>
  <c r="W43"/>
  <c r="C43" i="7"/>
  <c r="S43"/>
  <c r="K43" i="8"/>
  <c r="AA43"/>
  <c r="G43" i="10"/>
  <c r="W43"/>
  <c r="B43" i="2"/>
  <c r="P43"/>
  <c r="C43"/>
  <c r="S43"/>
  <c r="R43"/>
  <c r="D43" i="4"/>
  <c r="T43"/>
  <c r="N43" i="11"/>
  <c r="P43"/>
  <c r="D43" i="10"/>
  <c r="T43"/>
  <c r="N43" i="7"/>
  <c r="M43" i="11"/>
  <c r="B43" i="10"/>
  <c r="B43" i="5"/>
  <c r="AB43" i="4"/>
  <c r="R43" i="5"/>
  <c r="F43" i="8"/>
  <c r="V43"/>
  <c r="C43" i="5"/>
  <c r="S43"/>
  <c r="I43" i="6"/>
  <c r="Y43"/>
  <c r="T43" i="8"/>
  <c r="O43" i="9"/>
  <c r="AE43"/>
  <c r="K43" i="12"/>
  <c r="AA43"/>
  <c r="AC43" i="4"/>
  <c r="O43"/>
  <c r="AE43"/>
  <c r="L43" i="9"/>
  <c r="AB43"/>
  <c r="D31" i="1"/>
  <c r="T31"/>
  <c r="E35"/>
  <c r="U35"/>
  <c r="F39"/>
  <c r="F43" s="1"/>
  <c r="V39"/>
  <c r="V43" s="1"/>
  <c r="L31" i="2"/>
  <c r="AB31"/>
  <c r="O35"/>
  <c r="O43" s="1"/>
  <c r="J31" i="3"/>
  <c r="Z31"/>
  <c r="K35"/>
  <c r="K43" s="1"/>
  <c r="AA35"/>
  <c r="AA43" s="1"/>
  <c r="L39"/>
  <c r="L43" s="1"/>
  <c r="AB39"/>
  <c r="AB43" s="1"/>
  <c r="K35" i="4"/>
  <c r="AA35"/>
  <c r="M39"/>
  <c r="M43" s="1"/>
  <c r="AC39"/>
  <c r="D35" i="5"/>
  <c r="D43" s="1"/>
  <c r="T35"/>
  <c r="T43" s="1"/>
  <c r="E39"/>
  <c r="E43" s="1"/>
  <c r="U39"/>
  <c r="U43" s="1"/>
  <c r="D35" i="6"/>
  <c r="D43" s="1"/>
  <c r="T35"/>
  <c r="F39"/>
  <c r="F43" s="1"/>
  <c r="V39"/>
  <c r="N39" i="7"/>
  <c r="AD39"/>
  <c r="AD43" s="1"/>
  <c r="B31" i="8"/>
  <c r="R31"/>
  <c r="C35"/>
  <c r="S35"/>
  <c r="D39"/>
  <c r="D43" s="1"/>
  <c r="T39"/>
  <c r="C35" i="9"/>
  <c r="S35"/>
  <c r="S43" s="1"/>
  <c r="E39"/>
  <c r="E43" s="1"/>
  <c r="U39"/>
  <c r="U43" s="1"/>
  <c r="K31" i="10"/>
  <c r="AA31"/>
  <c r="L35"/>
  <c r="L43" s="1"/>
  <c r="AB35"/>
  <c r="M39"/>
  <c r="M43" s="1"/>
  <c r="AC39"/>
  <c r="AC43" s="1"/>
  <c r="L35" i="11"/>
  <c r="AB35"/>
  <c r="N39"/>
  <c r="AD39"/>
  <c r="AD43" s="1"/>
  <c r="D31" i="12"/>
  <c r="T31"/>
  <c r="E35"/>
  <c r="U35"/>
  <c r="U43" s="1"/>
  <c r="F39"/>
  <c r="F43" s="1"/>
  <c r="V39"/>
  <c r="C31" i="1"/>
  <c r="S31"/>
  <c r="D35"/>
  <c r="D43" s="1"/>
  <c r="T35"/>
  <c r="T43" s="1"/>
  <c r="E39"/>
  <c r="W49" s="1"/>
  <c r="U39"/>
  <c r="H31" i="4"/>
  <c r="X31"/>
  <c r="J35"/>
  <c r="Z35"/>
  <c r="L39"/>
  <c r="L43" s="1"/>
  <c r="AB39"/>
  <c r="Q31" i="6"/>
  <c r="C35"/>
  <c r="S35"/>
  <c r="E39"/>
  <c r="E43" s="1"/>
  <c r="U39"/>
  <c r="U43" s="1"/>
  <c r="K31" i="7"/>
  <c r="AA31"/>
  <c r="L35"/>
  <c r="L43" s="1"/>
  <c r="AB35"/>
  <c r="AB43" s="1"/>
  <c r="M39"/>
  <c r="M43" s="1"/>
  <c r="AC39"/>
  <c r="AC43" s="1"/>
  <c r="Q31" i="8"/>
  <c r="B35"/>
  <c r="R35"/>
  <c r="R43" s="1"/>
  <c r="C39"/>
  <c r="O49" s="1"/>
  <c r="S39"/>
  <c r="P31" i="9"/>
  <c r="B35"/>
  <c r="R35"/>
  <c r="R43" s="1"/>
  <c r="D39"/>
  <c r="D43" s="1"/>
  <c r="T39"/>
  <c r="T43" s="1"/>
  <c r="J31" i="10"/>
  <c r="Z31"/>
  <c r="K35"/>
  <c r="K43" s="1"/>
  <c r="AA35"/>
  <c r="AA43" s="1"/>
  <c r="L39"/>
  <c r="W49" s="1"/>
  <c r="AB39"/>
  <c r="I31" i="11"/>
  <c r="Y31"/>
  <c r="M39"/>
  <c r="AC39"/>
  <c r="AC43" s="1"/>
  <c r="C31" i="12"/>
  <c r="S31"/>
  <c r="D35"/>
  <c r="D43" s="1"/>
  <c r="T35"/>
  <c r="T43" s="1"/>
  <c r="E39"/>
  <c r="W49" s="1"/>
  <c r="U39"/>
  <c r="B31" i="1"/>
  <c r="R31"/>
  <c r="C35"/>
  <c r="C43" s="1"/>
  <c r="S35"/>
  <c r="S43" s="1"/>
  <c r="J31" i="2"/>
  <c r="Z31"/>
  <c r="M35"/>
  <c r="AC35"/>
  <c r="P39"/>
  <c r="H31" i="3"/>
  <c r="X31"/>
  <c r="I35"/>
  <c r="I43" s="1"/>
  <c r="Y35"/>
  <c r="Y43" s="1"/>
  <c r="G31" i="4"/>
  <c r="W31"/>
  <c r="I35"/>
  <c r="I43" s="1"/>
  <c r="Y35"/>
  <c r="Y43" s="1"/>
  <c r="K39"/>
  <c r="AA39"/>
  <c r="Q31" i="5"/>
  <c r="P31" i="6"/>
  <c r="B35"/>
  <c r="R35"/>
  <c r="R43" s="1"/>
  <c r="D39"/>
  <c r="T39"/>
  <c r="J31" i="7"/>
  <c r="Z31"/>
  <c r="P31" i="8"/>
  <c r="AF31"/>
  <c r="Q35"/>
  <c r="Q43" s="1"/>
  <c r="O31" i="9"/>
  <c r="AE31"/>
  <c r="Q35"/>
  <c r="Q43" s="1"/>
  <c r="C39"/>
  <c r="S39"/>
  <c r="I31" i="10"/>
  <c r="Y31"/>
  <c r="J35"/>
  <c r="J43" s="1"/>
  <c r="Z35"/>
  <c r="Z43" s="1"/>
  <c r="H31" i="11"/>
  <c r="X31"/>
  <c r="J35"/>
  <c r="J43" s="1"/>
  <c r="Z35"/>
  <c r="Z43" s="1"/>
  <c r="L39"/>
  <c r="AB39"/>
  <c r="B31" i="12"/>
  <c r="R31"/>
  <c r="C35"/>
  <c r="C43" s="1"/>
  <c r="S35"/>
  <c r="S43" s="1"/>
  <c r="Q31" i="1"/>
  <c r="B35"/>
  <c r="R35"/>
  <c r="R43" s="1"/>
  <c r="I31" i="2"/>
  <c r="Y31"/>
  <c r="L35"/>
  <c r="L43" s="1"/>
  <c r="AB35"/>
  <c r="AB43" s="1"/>
  <c r="G31" i="3"/>
  <c r="W31"/>
  <c r="H35"/>
  <c r="H43" s="1"/>
  <c r="X35"/>
  <c r="X43" s="1"/>
  <c r="F31" i="4"/>
  <c r="V31"/>
  <c r="J39"/>
  <c r="W49" s="1"/>
  <c r="Z39"/>
  <c r="P31" i="5"/>
  <c r="AF31"/>
  <c r="Q35"/>
  <c r="Q43" s="1"/>
  <c r="O31" i="6"/>
  <c r="AE31"/>
  <c r="C39"/>
  <c r="W49" s="1"/>
  <c r="S39"/>
  <c r="I31" i="7"/>
  <c r="Y31"/>
  <c r="J35"/>
  <c r="J43" s="1"/>
  <c r="Z35"/>
  <c r="Z43" s="1"/>
  <c r="O31" i="8"/>
  <c r="AE31"/>
  <c r="P35"/>
  <c r="P43" s="1"/>
  <c r="AF35"/>
  <c r="AF43" s="1"/>
  <c r="N31" i="9"/>
  <c r="AD31"/>
  <c r="B39"/>
  <c r="R39"/>
  <c r="H31" i="10"/>
  <c r="X31"/>
  <c r="I35"/>
  <c r="I43" s="1"/>
  <c r="Y35"/>
  <c r="Y43" s="1"/>
  <c r="G31" i="11"/>
  <c r="W31"/>
  <c r="K39"/>
  <c r="W49" s="1"/>
  <c r="AA39"/>
  <c r="AA43" s="1"/>
  <c r="Q31" i="12"/>
  <c r="B35"/>
  <c r="R35"/>
  <c r="R43" s="1"/>
  <c r="P31" i="1"/>
  <c r="AF31"/>
  <c r="Q35"/>
  <c r="Q43" s="1"/>
  <c r="H31" i="2"/>
  <c r="X31"/>
  <c r="K35"/>
  <c r="K43" s="1"/>
  <c r="AA35"/>
  <c r="AA43" s="1"/>
  <c r="N39"/>
  <c r="N43" s="1"/>
  <c r="AD39"/>
  <c r="AD43" s="1"/>
  <c r="G35" i="3"/>
  <c r="G43" s="1"/>
  <c r="W35"/>
  <c r="W43" s="1"/>
  <c r="E31" i="4"/>
  <c r="U31"/>
  <c r="O31" i="5"/>
  <c r="AE31"/>
  <c r="P35"/>
  <c r="P43" s="1"/>
  <c r="AF35"/>
  <c r="AF43" s="1"/>
  <c r="N31" i="6"/>
  <c r="AD31"/>
  <c r="H31" i="7"/>
  <c r="X31"/>
  <c r="I35"/>
  <c r="I43" s="1"/>
  <c r="Y35"/>
  <c r="Y43" s="1"/>
  <c r="N31" i="8"/>
  <c r="AD31"/>
  <c r="O35"/>
  <c r="O43" s="1"/>
  <c r="AE35"/>
  <c r="AE43" s="1"/>
  <c r="M31" i="9"/>
  <c r="AC31"/>
  <c r="G31" i="10"/>
  <c r="W31"/>
  <c r="H35"/>
  <c r="H43" s="1"/>
  <c r="X35"/>
  <c r="X43" s="1"/>
  <c r="F31" i="11"/>
  <c r="V31"/>
  <c r="P31" i="12"/>
  <c r="AF31"/>
  <c r="Q35"/>
  <c r="Q43" s="1"/>
  <c r="O31" i="1"/>
  <c r="AE31"/>
  <c r="P35"/>
  <c r="P43" s="1"/>
  <c r="AF35"/>
  <c r="AF43" s="1"/>
  <c r="G31" i="2"/>
  <c r="W31"/>
  <c r="J35"/>
  <c r="J43" s="1"/>
  <c r="Z35"/>
  <c r="Z43" s="1"/>
  <c r="M39"/>
  <c r="W49" s="1"/>
  <c r="AC39"/>
  <c r="E31" i="3"/>
  <c r="U31"/>
  <c r="F35"/>
  <c r="F43" s="1"/>
  <c r="V35"/>
  <c r="V43" s="1"/>
  <c r="D31" i="4"/>
  <c r="T31"/>
  <c r="F35"/>
  <c r="F43" s="1"/>
  <c r="V35"/>
  <c r="V43" s="1"/>
  <c r="N31" i="5"/>
  <c r="AD31"/>
  <c r="M31" i="6"/>
  <c r="AC31"/>
  <c r="O35"/>
  <c r="O43" s="1"/>
  <c r="AE35"/>
  <c r="AE43" s="1"/>
  <c r="G31" i="7"/>
  <c r="W31"/>
  <c r="M31" i="8"/>
  <c r="AC31"/>
  <c r="L31" i="9"/>
  <c r="AB31"/>
  <c r="N35"/>
  <c r="N43" s="1"/>
  <c r="AD35"/>
  <c r="AD43" s="1"/>
  <c r="F31" i="10"/>
  <c r="V31"/>
  <c r="E31" i="11"/>
  <c r="U31"/>
  <c r="G35"/>
  <c r="G43" s="1"/>
  <c r="W35"/>
  <c r="W43" s="1"/>
  <c r="O31" i="12"/>
  <c r="AE31"/>
  <c r="P35"/>
  <c r="P43" s="1"/>
  <c r="AF35"/>
  <c r="AF43" s="1"/>
  <c r="N31" i="1"/>
  <c r="AD31"/>
  <c r="O35"/>
  <c r="O43" s="1"/>
  <c r="AE35"/>
  <c r="AE43" s="1"/>
  <c r="F31" i="2"/>
  <c r="V31"/>
  <c r="I35"/>
  <c r="I43" s="1"/>
  <c r="Y35"/>
  <c r="Y43" s="1"/>
  <c r="D31" i="3"/>
  <c r="T31"/>
  <c r="E35"/>
  <c r="E43" s="1"/>
  <c r="U35"/>
  <c r="U43" s="1"/>
  <c r="C31" i="4"/>
  <c r="S31"/>
  <c r="E35"/>
  <c r="E43" s="1"/>
  <c r="U35"/>
  <c r="U43" s="1"/>
  <c r="M31" i="5"/>
  <c r="AC31"/>
  <c r="N35"/>
  <c r="N43" s="1"/>
  <c r="AD35"/>
  <c r="AD43" s="1"/>
  <c r="L31" i="6"/>
  <c r="AB31"/>
  <c r="N35"/>
  <c r="N43" s="1"/>
  <c r="AD35"/>
  <c r="AD43" s="1"/>
  <c r="F31" i="7"/>
  <c r="V31"/>
  <c r="G35"/>
  <c r="G43" s="1"/>
  <c r="W35"/>
  <c r="W43" s="1"/>
  <c r="L31" i="8"/>
  <c r="AB31"/>
  <c r="M35"/>
  <c r="M43" s="1"/>
  <c r="AC35"/>
  <c r="AC43" s="1"/>
  <c r="K31" i="9"/>
  <c r="AA31"/>
  <c r="M35"/>
  <c r="M43" s="1"/>
  <c r="AC35"/>
  <c r="AC43" s="1"/>
  <c r="E31" i="10"/>
  <c r="U31"/>
  <c r="F35"/>
  <c r="F43" s="1"/>
  <c r="V35"/>
  <c r="V43" s="1"/>
  <c r="D31" i="11"/>
  <c r="T31"/>
  <c r="F35"/>
  <c r="F43" s="1"/>
  <c r="V35"/>
  <c r="V43" s="1"/>
  <c r="N31" i="12"/>
  <c r="AD31"/>
  <c r="O35"/>
  <c r="O43" s="1"/>
  <c r="AE35"/>
  <c r="AE43" s="1"/>
  <c r="M31" i="1"/>
  <c r="AC31"/>
  <c r="N35"/>
  <c r="N43" s="1"/>
  <c r="AD35"/>
  <c r="AD43" s="1"/>
  <c r="E31" i="2"/>
  <c r="U31"/>
  <c r="C31" i="3"/>
  <c r="I49" s="1"/>
  <c r="S31"/>
  <c r="D35"/>
  <c r="D43" s="1"/>
  <c r="T35"/>
  <c r="T43" s="1"/>
  <c r="B31" i="4"/>
  <c r="R31"/>
  <c r="L31" i="5"/>
  <c r="AB31"/>
  <c r="M35"/>
  <c r="M43" s="1"/>
  <c r="AC35"/>
  <c r="AC43" s="1"/>
  <c r="K31" i="6"/>
  <c r="AA31"/>
  <c r="E31" i="7"/>
  <c r="U31"/>
  <c r="F35"/>
  <c r="F43" s="1"/>
  <c r="V35"/>
  <c r="V43" s="1"/>
  <c r="K31" i="8"/>
  <c r="AA31"/>
  <c r="L35"/>
  <c r="L43" s="1"/>
  <c r="AB35"/>
  <c r="AB43" s="1"/>
  <c r="J31" i="9"/>
  <c r="Z31"/>
  <c r="D31" i="10"/>
  <c r="T31"/>
  <c r="E35"/>
  <c r="E43" s="1"/>
  <c r="U35"/>
  <c r="U43" s="1"/>
  <c r="C31" i="11"/>
  <c r="I49" s="1"/>
  <c r="S31"/>
  <c r="N35" i="12"/>
  <c r="N43" s="1"/>
  <c r="AD35"/>
  <c r="AD43" s="1"/>
  <c r="L31" i="1"/>
  <c r="AB31"/>
  <c r="M35"/>
  <c r="M43" s="1"/>
  <c r="AC35"/>
  <c r="AC43" s="1"/>
  <c r="D31" i="2"/>
  <c r="T31"/>
  <c r="G35"/>
  <c r="G43" s="1"/>
  <c r="W35"/>
  <c r="W43" s="1"/>
  <c r="C35" i="4"/>
  <c r="C43" s="1"/>
  <c r="S35"/>
  <c r="S43" s="1"/>
  <c r="L35" i="6"/>
  <c r="L43" s="1"/>
  <c r="AB35"/>
  <c r="AB43" s="1"/>
  <c r="K35" i="9"/>
  <c r="K43" s="1"/>
  <c r="AA35"/>
  <c r="AA43" s="1"/>
  <c r="D35" i="11"/>
  <c r="D43" s="1"/>
  <c r="T35"/>
  <c r="T43" s="1"/>
  <c r="K31" i="1"/>
  <c r="AA31"/>
  <c r="L35"/>
  <c r="L43" s="1"/>
  <c r="AB35"/>
  <c r="AB43" s="1"/>
  <c r="C31" i="2"/>
  <c r="S31"/>
  <c r="Q31" i="3"/>
  <c r="P31" i="4"/>
  <c r="B35"/>
  <c r="R35"/>
  <c r="R43" s="1"/>
  <c r="J31" i="5"/>
  <c r="Z31"/>
  <c r="K35"/>
  <c r="K43" s="1"/>
  <c r="AA35"/>
  <c r="AA43" s="1"/>
  <c r="I31" i="6"/>
  <c r="Y31"/>
  <c r="K35"/>
  <c r="K43" s="1"/>
  <c r="AA35"/>
  <c r="AA43" s="1"/>
  <c r="C31" i="7"/>
  <c r="S31"/>
  <c r="D35"/>
  <c r="D43" s="1"/>
  <c r="T35"/>
  <c r="T43" s="1"/>
  <c r="I31" i="8"/>
  <c r="Y31"/>
  <c r="J35"/>
  <c r="J43" s="1"/>
  <c r="Z35"/>
  <c r="Z43" s="1"/>
  <c r="H31" i="9"/>
  <c r="X31"/>
  <c r="J35"/>
  <c r="J43" s="1"/>
  <c r="Z35"/>
  <c r="Z43" s="1"/>
  <c r="B31" i="10"/>
  <c r="R31"/>
  <c r="C35"/>
  <c r="C43" s="1"/>
  <c r="S35"/>
  <c r="S43" s="1"/>
  <c r="Q31" i="11"/>
  <c r="C35"/>
  <c r="C43" s="1"/>
  <c r="S35"/>
  <c r="S43" s="1"/>
  <c r="K31" i="12"/>
  <c r="AA31"/>
  <c r="L35"/>
  <c r="L43" s="1"/>
  <c r="AB35"/>
  <c r="AB43" s="1"/>
  <c r="J31" i="1"/>
  <c r="Z31"/>
  <c r="K35"/>
  <c r="K43" s="1"/>
  <c r="AA35"/>
  <c r="AA43" s="1"/>
  <c r="B31" i="2"/>
  <c r="R31"/>
  <c r="E35"/>
  <c r="E43" s="1"/>
  <c r="U35"/>
  <c r="U43" s="1"/>
  <c r="P31" i="3"/>
  <c r="AF31"/>
  <c r="O31" i="4"/>
  <c r="AE31"/>
  <c r="Q35"/>
  <c r="Q43" s="1"/>
  <c r="I31" i="5"/>
  <c r="Y31"/>
  <c r="H31" i="6"/>
  <c r="X31"/>
  <c r="J35"/>
  <c r="J43" s="1"/>
  <c r="Z35"/>
  <c r="Z43" s="1"/>
  <c r="B31" i="7"/>
  <c r="R31"/>
  <c r="H31" i="8"/>
  <c r="X31"/>
  <c r="G31" i="9"/>
  <c r="W31"/>
  <c r="I35"/>
  <c r="I43" s="1"/>
  <c r="Y35"/>
  <c r="Y43" s="1"/>
  <c r="Q31" i="10"/>
  <c r="P31" i="11"/>
  <c r="B35"/>
  <c r="R35"/>
  <c r="R43" s="1"/>
  <c r="J31" i="12"/>
  <c r="Z31"/>
  <c r="I31" i="1"/>
  <c r="Y31"/>
  <c r="J35"/>
  <c r="J43" s="1"/>
  <c r="Z35"/>
  <c r="Z43" s="1"/>
  <c r="Q31" i="2"/>
  <c r="D35"/>
  <c r="D43" s="1"/>
  <c r="T35"/>
  <c r="T43" s="1"/>
  <c r="P35" i="3"/>
  <c r="P43" s="1"/>
  <c r="AF35"/>
  <c r="AF43" s="1"/>
  <c r="N31" i="4"/>
  <c r="AD31"/>
  <c r="H31" i="5"/>
  <c r="X31"/>
  <c r="I35"/>
  <c r="I43" s="1"/>
  <c r="Y35"/>
  <c r="Y43" s="1"/>
  <c r="G31" i="6"/>
  <c r="W31"/>
  <c r="Q31" i="7"/>
  <c r="B35"/>
  <c r="R35"/>
  <c r="R43" s="1"/>
  <c r="G31" i="8"/>
  <c r="W31"/>
  <c r="H35"/>
  <c r="H43" s="1"/>
  <c r="X35"/>
  <c r="X43" s="1"/>
  <c r="F31" i="9"/>
  <c r="V31"/>
  <c r="P31" i="10"/>
  <c r="AF31"/>
  <c r="Q35"/>
  <c r="Q43" s="1"/>
  <c r="O31" i="11"/>
  <c r="AE31"/>
  <c r="I31" i="12"/>
  <c r="Y31"/>
  <c r="J35"/>
  <c r="J43" s="1"/>
  <c r="Z35"/>
  <c r="Z43" s="1"/>
  <c r="H31" i="1"/>
  <c r="X31"/>
  <c r="I35"/>
  <c r="I43" s="1"/>
  <c r="Y35"/>
  <c r="Y43" s="1"/>
  <c r="P31" i="2"/>
  <c r="N31" i="3"/>
  <c r="AD31"/>
  <c r="O35"/>
  <c r="O43" s="1"/>
  <c r="AE35"/>
  <c r="AE43" s="1"/>
  <c r="M31" i="4"/>
  <c r="AC31"/>
  <c r="G31" i="5"/>
  <c r="W31"/>
  <c r="H35"/>
  <c r="H43" s="1"/>
  <c r="X35"/>
  <c r="X43" s="1"/>
  <c r="F31" i="6"/>
  <c r="I49" s="1"/>
  <c r="V31"/>
  <c r="P31" i="7"/>
  <c r="AF31"/>
  <c r="Q35"/>
  <c r="Q43" s="1"/>
  <c r="F31" i="8"/>
  <c r="V31"/>
  <c r="G35"/>
  <c r="G43" s="1"/>
  <c r="W35"/>
  <c r="W43" s="1"/>
  <c r="E31" i="9"/>
  <c r="U31"/>
  <c r="O31" i="10"/>
  <c r="AE31"/>
  <c r="P35"/>
  <c r="P43" s="1"/>
  <c r="AF35"/>
  <c r="AF43" s="1"/>
  <c r="N31" i="11"/>
  <c r="AD31"/>
  <c r="H31" i="12"/>
  <c r="X31"/>
  <c r="I35"/>
  <c r="I43" s="1"/>
  <c r="Y35"/>
  <c r="Y43" s="1"/>
  <c r="G31" i="1"/>
  <c r="W31"/>
  <c r="H35"/>
  <c r="H43" s="1"/>
  <c r="X35"/>
  <c r="X43" s="1"/>
  <c r="M31" i="3"/>
  <c r="AC31"/>
  <c r="N35" i="4"/>
  <c r="N43" s="1"/>
  <c r="AD35"/>
  <c r="AD43" s="1"/>
  <c r="F31" i="5"/>
  <c r="I49" s="1"/>
  <c r="V31"/>
  <c r="G35" i="6"/>
  <c r="G43" s="1"/>
  <c r="W35"/>
  <c r="W43" s="1"/>
  <c r="O31" i="7"/>
  <c r="AE31"/>
  <c r="E31" i="8"/>
  <c r="U31"/>
  <c r="D31" i="9"/>
  <c r="I49" s="1"/>
  <c r="T31"/>
  <c r="F35"/>
  <c r="F43" s="1"/>
  <c r="V35"/>
  <c r="V43" s="1"/>
  <c r="N31" i="10"/>
  <c r="AD31"/>
  <c r="M31" i="11"/>
  <c r="AC31"/>
  <c r="O35"/>
  <c r="O43" s="1"/>
  <c r="AE35"/>
  <c r="AE43" s="1"/>
  <c r="G31" i="12"/>
  <c r="W31"/>
  <c r="F31" i="1"/>
  <c r="V31"/>
  <c r="G35"/>
  <c r="G43" s="1"/>
  <c r="W35"/>
  <c r="W43" s="1"/>
  <c r="L31" i="3"/>
  <c r="AB31"/>
  <c r="M35"/>
  <c r="M43" s="1"/>
  <c r="AC35"/>
  <c r="AC43" s="1"/>
  <c r="E31" i="5"/>
  <c r="U31"/>
  <c r="F35"/>
  <c r="F43" s="1"/>
  <c r="V35"/>
  <c r="V43" s="1"/>
  <c r="N31" i="7"/>
  <c r="AD31"/>
  <c r="O35"/>
  <c r="O43" s="1"/>
  <c r="AE35"/>
  <c r="AE43" s="1"/>
  <c r="D31" i="8"/>
  <c r="T31"/>
  <c r="E35"/>
  <c r="E43" s="1"/>
  <c r="U35"/>
  <c r="U43" s="1"/>
  <c r="M31" i="10"/>
  <c r="AC31"/>
  <c r="N35"/>
  <c r="N43" s="1"/>
  <c r="AD35"/>
  <c r="AD43" s="1"/>
  <c r="F31" i="12"/>
  <c r="V31"/>
  <c r="G35"/>
  <c r="G43" s="1"/>
  <c r="W35"/>
  <c r="W43" s="1"/>
  <c r="O49" i="9" l="1"/>
  <c r="W49"/>
  <c r="L49" i="1"/>
  <c r="R49" s="1"/>
  <c r="B43"/>
  <c r="U49"/>
  <c r="Y49" s="1"/>
  <c r="AB43" i="10"/>
  <c r="O49" i="6"/>
  <c r="O49" i="3"/>
  <c r="L49" i="2"/>
  <c r="W49" i="3"/>
  <c r="L49" i="6"/>
  <c r="B43"/>
  <c r="U49"/>
  <c r="Y49" s="1"/>
  <c r="L43" i="11"/>
  <c r="I49" i="8"/>
  <c r="O49" i="5"/>
  <c r="U49" i="2"/>
  <c r="Y49" s="1"/>
  <c r="M43"/>
  <c r="W49" i="5"/>
  <c r="O49" i="11"/>
  <c r="O49" i="7"/>
  <c r="L49" i="8"/>
  <c r="R49" s="1"/>
  <c r="B43"/>
  <c r="U49"/>
  <c r="K43" i="11"/>
  <c r="AC43" i="2"/>
  <c r="J43" i="4"/>
  <c r="C43" i="8"/>
  <c r="K43" i="4"/>
  <c r="L49" i="10"/>
  <c r="W49" i="7"/>
  <c r="L49" i="11"/>
  <c r="B43"/>
  <c r="U49"/>
  <c r="Y49" s="1"/>
  <c r="AB43"/>
  <c r="I49" i="4"/>
  <c r="Z43"/>
  <c r="S43" i="8"/>
  <c r="AA43" i="4"/>
  <c r="L49" i="3"/>
  <c r="R49" s="1"/>
  <c r="U49" i="10"/>
  <c r="Y49" s="1"/>
  <c r="L49" i="4"/>
  <c r="R49" s="1"/>
  <c r="B43"/>
  <c r="U49"/>
  <c r="Y49" s="1"/>
  <c r="E43" i="1"/>
  <c r="U49" i="3"/>
  <c r="E43" i="12"/>
  <c r="C43" i="9"/>
  <c r="U43" i="1"/>
  <c r="O49" i="2"/>
  <c r="W49" i="8"/>
  <c r="L49" i="12"/>
  <c r="R49" s="1"/>
  <c r="B43"/>
  <c r="U49"/>
  <c r="Y49" s="1"/>
  <c r="L49" i="9"/>
  <c r="B43"/>
  <c r="U49"/>
  <c r="C43" i="6"/>
  <c r="O49" i="1"/>
  <c r="I49" i="12"/>
  <c r="S43" i="6"/>
  <c r="O49" i="4"/>
  <c r="O49" i="12"/>
  <c r="I49" i="7"/>
  <c r="L49" i="5"/>
  <c r="R49" s="1"/>
  <c r="L49" i="7"/>
  <c r="R49" s="1"/>
  <c r="B43"/>
  <c r="U49"/>
  <c r="Y49" s="1"/>
  <c r="I49" i="2"/>
  <c r="O49" i="10"/>
  <c r="I49"/>
  <c r="I49" i="1"/>
  <c r="T43" i="6"/>
  <c r="U49" i="5"/>
  <c r="R49" i="9" l="1"/>
  <c r="Y49"/>
  <c r="Y49" i="8"/>
  <c r="R49" i="2"/>
  <c r="Y49" i="5"/>
  <c r="R49" i="6"/>
  <c r="Y49" i="3"/>
  <c r="R49" i="10"/>
  <c r="R49" i="11"/>
</calcChain>
</file>

<file path=xl/sharedStrings.xml><?xml version="1.0" encoding="utf-8"?>
<sst xmlns="http://schemas.openxmlformats.org/spreadsheetml/2006/main" count="337" uniqueCount="28">
  <si>
    <t xml:space="preserve"> JANEIRO DE  2024</t>
  </si>
  <si>
    <t>Ponto de</t>
  </si>
  <si>
    <t xml:space="preserve">Orvalho  </t>
  </si>
  <si>
    <t>(ºC)</t>
  </si>
  <si>
    <t>H/D</t>
  </si>
  <si>
    <t>NÃO ESTÃO SENDO MAIS INTERPOLADOS AS OBSERVAÇÕES ENTRE AS 16H E 6H.</t>
  </si>
  <si>
    <t>MÉDIA</t>
  </si>
  <si>
    <t>DIÁRIA</t>
  </si>
  <si>
    <t>MÁXIMA</t>
  </si>
  <si>
    <t>MÍNIMA</t>
  </si>
  <si>
    <t>AMVLITUDE</t>
  </si>
  <si>
    <t>DIF. DAS</t>
  </si>
  <si>
    <t>MENSAL</t>
  </si>
  <si>
    <t>DAS MÁX.</t>
  </si>
  <si>
    <t>DAS MÍN.</t>
  </si>
  <si>
    <t>MÉDIAS</t>
  </si>
  <si>
    <t xml:space="preserve"> FEVEREIRO DE  2024</t>
  </si>
  <si>
    <t xml:space="preserve"> MARÇO DE  2024</t>
  </si>
  <si>
    <t xml:space="preserve"> ABRIL DE  2024</t>
  </si>
  <si>
    <t>MAIO  DE  2024</t>
  </si>
  <si>
    <t>JUNHO DE  2024</t>
  </si>
  <si>
    <t xml:space="preserve"> JULHO DE  2024</t>
  </si>
  <si>
    <t>AGOSTO DE  2024</t>
  </si>
  <si>
    <t>Perda de Observação -99</t>
  </si>
  <si>
    <t xml:space="preserve"> SETEMBRO DE 2024</t>
  </si>
  <si>
    <t xml:space="preserve"> OUTUBRO DE  2024</t>
  </si>
  <si>
    <t xml:space="preserve"> NOVEMBRO DE 2024</t>
  </si>
  <si>
    <t xml:space="preserve"> DEZEMBRO DE 2024</t>
  </si>
</sst>
</file>

<file path=xl/styles.xml><?xml version="1.0" encoding="utf-8"?>
<styleSheet xmlns="http://schemas.openxmlformats.org/spreadsheetml/2006/main">
  <numFmts count="4">
    <numFmt numFmtId="164" formatCode="0.0"/>
    <numFmt numFmtId="165" formatCode="#,##0.0"/>
    <numFmt numFmtId="166" formatCode="#,##0.000"/>
    <numFmt numFmtId="167" formatCode="0.000"/>
  </numFmts>
  <fonts count="8">
    <font>
      <sz val="10"/>
      <name val="Arial"/>
    </font>
    <font>
      <b/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sz val="12"/>
      <color rgb="FFFF0000"/>
      <name val="Arial"/>
      <family val="2"/>
    </font>
    <font>
      <sz val="12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2" borderId="0" xfId="0" applyFill="1"/>
    <xf numFmtId="164" fontId="1" fillId="2" borderId="0" xfId="0" applyNumberFormat="1" applyFont="1" applyFill="1"/>
    <xf numFmtId="164" fontId="0" fillId="2" borderId="0" xfId="0" applyNumberFormat="1" applyFill="1"/>
    <xf numFmtId="164" fontId="1" fillId="2" borderId="0" xfId="0" applyNumberFormat="1" applyFont="1" applyFill="1" applyAlignment="1">
      <alignment horizontal="right"/>
    </xf>
    <xf numFmtId="164" fontId="1" fillId="2" borderId="0" xfId="0" applyNumberFormat="1" applyFont="1" applyFill="1" applyAlignment="1">
      <alignment horizontal="left"/>
    </xf>
    <xf numFmtId="0" fontId="2" fillId="2" borderId="0" xfId="0" applyFont="1" applyFill="1"/>
    <xf numFmtId="0" fontId="3" fillId="2" borderId="1" xfId="0" applyFont="1" applyFill="1" applyBorder="1" applyAlignment="1">
      <alignment horizontal="right"/>
    </xf>
    <xf numFmtId="0" fontId="3" fillId="2" borderId="0" xfId="0" applyFont="1" applyFill="1" applyAlignment="1">
      <alignment horizontal="right"/>
    </xf>
    <xf numFmtId="0" fontId="3" fillId="2" borderId="0" xfId="0" applyFont="1" applyFill="1" applyAlignment="1">
      <alignment horizontal="left"/>
    </xf>
    <xf numFmtId="0" fontId="4" fillId="0" borderId="0" xfId="0" applyFont="1"/>
    <xf numFmtId="0" fontId="2" fillId="2" borderId="2" xfId="0" applyFont="1" applyFill="1" applyBorder="1" applyAlignment="1" applyProtection="1">
      <alignment horizontal="center"/>
    </xf>
    <xf numFmtId="1" fontId="2" fillId="2" borderId="3" xfId="0" applyNumberFormat="1" applyFont="1" applyFill="1" applyBorder="1" applyAlignment="1" applyProtection="1">
      <alignment horizontal="center"/>
    </xf>
    <xf numFmtId="1" fontId="2" fillId="2" borderId="4" xfId="0" applyNumberFormat="1" applyFont="1" applyFill="1" applyBorder="1" applyAlignment="1" applyProtection="1">
      <alignment horizontal="center"/>
    </xf>
    <xf numFmtId="1" fontId="2" fillId="2" borderId="4" xfId="0" applyNumberFormat="1" applyFont="1" applyFill="1" applyBorder="1" applyAlignment="1">
      <alignment horizontal="center"/>
    </xf>
    <xf numFmtId="1" fontId="2" fillId="2" borderId="5" xfId="0" applyNumberFormat="1" applyFont="1" applyFill="1" applyBorder="1" applyAlignment="1">
      <alignment horizontal="center"/>
    </xf>
    <xf numFmtId="0" fontId="2" fillId="2" borderId="6" xfId="0" applyFont="1" applyFill="1" applyBorder="1" applyAlignment="1" applyProtection="1">
      <alignment horizontal="center"/>
    </xf>
    <xf numFmtId="165" fontId="5" fillId="2" borderId="7" xfId="0" applyNumberFormat="1" applyFont="1" applyFill="1" applyBorder="1" applyAlignment="1">
      <alignment horizontal="center"/>
    </xf>
    <xf numFmtId="165" fontId="5" fillId="2" borderId="6" xfId="0" applyNumberFormat="1" applyFont="1" applyFill="1" applyBorder="1" applyAlignment="1">
      <alignment horizontal="center"/>
    </xf>
    <xf numFmtId="166" fontId="4" fillId="0" borderId="0" xfId="0" applyNumberFormat="1" applyFont="1"/>
    <xf numFmtId="166" fontId="2" fillId="0" borderId="0" xfId="0" applyNumberFormat="1" applyFont="1"/>
    <xf numFmtId="166" fontId="0" fillId="0" borderId="0" xfId="0" applyNumberFormat="1"/>
    <xf numFmtId="165" fontId="6" fillId="2" borderId="7" xfId="0" applyNumberFormat="1" applyFont="1" applyFill="1" applyBorder="1" applyAlignment="1">
      <alignment horizontal="center"/>
    </xf>
    <xf numFmtId="165" fontId="6" fillId="2" borderId="6" xfId="0" applyNumberFormat="1" applyFont="1" applyFill="1" applyBorder="1" applyAlignment="1">
      <alignment horizontal="center"/>
    </xf>
    <xf numFmtId="0" fontId="0" fillId="2" borderId="8" xfId="0" applyFill="1" applyBorder="1"/>
    <xf numFmtId="164" fontId="6" fillId="2" borderId="9" xfId="0" applyNumberFormat="1" applyFont="1" applyFill="1" applyBorder="1"/>
    <xf numFmtId="164" fontId="6" fillId="2" borderId="10" xfId="0" applyNumberFormat="1" applyFont="1" applyFill="1" applyBorder="1"/>
    <xf numFmtId="0" fontId="0" fillId="2" borderId="11" xfId="0" applyFill="1" applyBorder="1"/>
    <xf numFmtId="0" fontId="7" fillId="2" borderId="0" xfId="0" applyFont="1" applyFill="1"/>
    <xf numFmtId="164" fontId="6" fillId="2" borderId="0" xfId="0" applyNumberFormat="1" applyFont="1" applyFill="1" applyBorder="1"/>
    <xf numFmtId="164" fontId="6" fillId="2" borderId="12" xfId="0" applyNumberFormat="1" applyFont="1" applyFill="1" applyBorder="1"/>
    <xf numFmtId="0" fontId="2" fillId="2" borderId="11" xfId="0" quotePrefix="1" applyFont="1" applyFill="1" applyBorder="1" applyAlignment="1">
      <alignment horizontal="left"/>
    </xf>
    <xf numFmtId="164" fontId="6" fillId="2" borderId="0" xfId="0" applyNumberFormat="1" applyFont="1" applyFill="1"/>
    <xf numFmtId="164" fontId="6" fillId="2" borderId="0" xfId="0" applyNumberFormat="1" applyFont="1" applyFill="1" applyAlignment="1">
      <alignment horizontal="center"/>
    </xf>
    <xf numFmtId="164" fontId="6" fillId="2" borderId="12" xfId="0" applyNumberFormat="1" applyFont="1" applyFill="1" applyBorder="1" applyAlignment="1">
      <alignment horizontal="center"/>
    </xf>
    <xf numFmtId="0" fontId="6" fillId="2" borderId="11" xfId="0" applyFont="1" applyFill="1" applyBorder="1"/>
    <xf numFmtId="0" fontId="6" fillId="2" borderId="0" xfId="0" applyFont="1" applyFill="1"/>
    <xf numFmtId="0" fontId="6" fillId="2" borderId="12" xfId="0" applyFont="1" applyFill="1" applyBorder="1"/>
    <xf numFmtId="0" fontId="0" fillId="2" borderId="12" xfId="0" applyFill="1" applyBorder="1"/>
    <xf numFmtId="164" fontId="6" fillId="2" borderId="0" xfId="0" applyNumberFormat="1" applyFont="1" applyFill="1" applyBorder="1" applyAlignment="1">
      <alignment horizontal="center"/>
    </xf>
    <xf numFmtId="0" fontId="2" fillId="2" borderId="0" xfId="0" quotePrefix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2" fillId="2" borderId="0" xfId="0" quotePrefix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0" fillId="2" borderId="13" xfId="0" applyFill="1" applyBorder="1"/>
    <xf numFmtId="0" fontId="0" fillId="2" borderId="14" xfId="0" applyFill="1" applyBorder="1"/>
    <xf numFmtId="164" fontId="6" fillId="2" borderId="14" xfId="0" applyNumberFormat="1" applyFont="1" applyFill="1" applyBorder="1" applyAlignment="1">
      <alignment horizontal="center"/>
    </xf>
    <xf numFmtId="0" fontId="6" fillId="2" borderId="14" xfId="0" applyFont="1" applyFill="1" applyBorder="1"/>
    <xf numFmtId="0" fontId="6" fillId="2" borderId="14" xfId="0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Border="1"/>
    <xf numFmtId="2" fontId="4" fillId="0" borderId="0" xfId="0" applyNumberFormat="1" applyFont="1"/>
    <xf numFmtId="165" fontId="2" fillId="0" borderId="0" xfId="0" applyNumberFormat="1" applyFont="1"/>
    <xf numFmtId="167" fontId="0" fillId="0" borderId="0" xfId="0" applyNumberFormat="1"/>
    <xf numFmtId="0" fontId="3" fillId="2" borderId="0" xfId="0" applyFont="1" applyFill="1" applyAlignment="1">
      <alignment horizontal="center"/>
    </xf>
    <xf numFmtId="164" fontId="7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1f2024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2f2024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3f2024c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4f2024c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5f2024c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6f2024c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7f2024c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8f2024c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9f2024c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10f2024c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11f2024c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12f2024c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0">
          <cell r="V10">
            <v>2.3585407849829871</v>
          </cell>
        </row>
        <row r="16">
          <cell r="V16">
            <v>15.601076049200131</v>
          </cell>
        </row>
        <row r="17">
          <cell r="V17">
            <v>16.190127103439398</v>
          </cell>
        </row>
        <row r="18">
          <cell r="V18">
            <v>15.766296495432282</v>
          </cell>
        </row>
        <row r="19">
          <cell r="V19">
            <v>16.16438596880052</v>
          </cell>
        </row>
        <row r="20">
          <cell r="V20">
            <v>16.921225440574023</v>
          </cell>
        </row>
        <row r="21">
          <cell r="V21">
            <v>17.748493664792274</v>
          </cell>
        </row>
        <row r="22">
          <cell r="V22">
            <v>17.592094153472463</v>
          </cell>
        </row>
        <row r="23">
          <cell r="V23">
            <v>17.532261413457359</v>
          </cell>
        </row>
        <row r="24">
          <cell r="V24">
            <v>17.559628606668539</v>
          </cell>
        </row>
      </sheetData>
      <sheetData sheetId="5"/>
      <sheetData sheetId="6">
        <row r="10">
          <cell r="V10">
            <v>2.6581951174409837</v>
          </cell>
        </row>
        <row r="16">
          <cell r="V16">
            <v>16.663224905103995</v>
          </cell>
        </row>
        <row r="17">
          <cell r="V17">
            <v>16.639889283611531</v>
          </cell>
        </row>
        <row r="18">
          <cell r="V18">
            <v>16.944915426414365</v>
          </cell>
        </row>
        <row r="19">
          <cell r="V19">
            <v>16.969397353024188</v>
          </cell>
        </row>
        <row r="20">
          <cell r="V20">
            <v>16.919985921793714</v>
          </cell>
        </row>
        <row r="21">
          <cell r="V21">
            <v>18.467008206884476</v>
          </cell>
        </row>
        <row r="22">
          <cell r="V22">
            <v>18.854135260027459</v>
          </cell>
        </row>
        <row r="23">
          <cell r="V23">
            <v>19.189432755403853</v>
          </cell>
        </row>
        <row r="24">
          <cell r="V24">
            <v>18.593904148976716</v>
          </cell>
        </row>
      </sheetData>
      <sheetData sheetId="7"/>
      <sheetData sheetId="8">
        <row r="10">
          <cell r="V10">
            <v>2.8222327783954717</v>
          </cell>
        </row>
        <row r="16">
          <cell r="V16">
            <v>19.343450204098314</v>
          </cell>
        </row>
        <row r="17">
          <cell r="V17">
            <v>19.669263041071982</v>
          </cell>
        </row>
        <row r="18">
          <cell r="V18">
            <v>19.625853622773874</v>
          </cell>
        </row>
        <row r="19">
          <cell r="V19">
            <v>19.50269262748095</v>
          </cell>
        </row>
        <row r="20">
          <cell r="V20">
            <v>19.247425361953784</v>
          </cell>
        </row>
        <row r="21">
          <cell r="V21">
            <v>18.198874906057863</v>
          </cell>
        </row>
        <row r="22">
          <cell r="V22">
            <v>17.974202309872933</v>
          </cell>
        </row>
        <row r="23">
          <cell r="V23">
            <v>21.366900476143584</v>
          </cell>
        </row>
        <row r="24">
          <cell r="V24">
            <v>20.717919588633283</v>
          </cell>
        </row>
      </sheetData>
      <sheetData sheetId="9"/>
      <sheetData sheetId="10">
        <row r="10">
          <cell r="V10">
            <v>2.4999999999999982</v>
          </cell>
        </row>
        <row r="16">
          <cell r="V16">
            <v>19.193132027930194</v>
          </cell>
        </row>
        <row r="17">
          <cell r="V17">
            <v>19.701239059338597</v>
          </cell>
        </row>
        <row r="18">
          <cell r="V18">
            <v>20.023076243506559</v>
          </cell>
        </row>
        <row r="19">
          <cell r="V19">
            <v>20.347989153902692</v>
          </cell>
        </row>
        <row r="20">
          <cell r="V20">
            <v>20.179349132535023</v>
          </cell>
        </row>
        <row r="21">
          <cell r="V21">
            <v>21.206899369279832</v>
          </cell>
        </row>
        <row r="22">
          <cell r="V22">
            <v>20.514562678535885</v>
          </cell>
        </row>
        <row r="23">
          <cell r="V23">
            <v>20.922337363388294</v>
          </cell>
        </row>
        <row r="24">
          <cell r="V24">
            <v>19.928164671121536</v>
          </cell>
        </row>
      </sheetData>
      <sheetData sheetId="11"/>
      <sheetData sheetId="12">
        <row r="10">
          <cell r="V10">
            <v>2.7580798012435777</v>
          </cell>
        </row>
        <row r="16">
          <cell r="V16">
            <v>18.887897741989953</v>
          </cell>
        </row>
        <row r="17">
          <cell r="V17">
            <v>18.776959582044082</v>
          </cell>
        </row>
        <row r="18">
          <cell r="V18">
            <v>19.176296674164213</v>
          </cell>
        </row>
        <row r="19">
          <cell r="V19">
            <v>18.986431930663553</v>
          </cell>
        </row>
        <row r="20">
          <cell r="V20">
            <v>19.098785757045786</v>
          </cell>
        </row>
        <row r="21">
          <cell r="V21">
            <v>19.320641683893285</v>
          </cell>
        </row>
        <row r="22">
          <cell r="V22">
            <v>19.186678873175769</v>
          </cell>
        </row>
        <row r="23">
          <cell r="V23">
            <v>19.905592995602408</v>
          </cell>
        </row>
        <row r="24">
          <cell r="V24">
            <v>19.234549232952766</v>
          </cell>
        </row>
      </sheetData>
      <sheetData sheetId="13"/>
      <sheetData sheetId="14">
        <row r="10">
          <cell r="V10">
            <v>2.4584256093107202</v>
          </cell>
        </row>
        <row r="16">
          <cell r="V16">
            <v>18.202539248375562</v>
          </cell>
        </row>
        <row r="17">
          <cell r="V17">
            <v>17.574427213438224</v>
          </cell>
        </row>
        <row r="18">
          <cell r="V18">
            <v>18.604086341359519</v>
          </cell>
        </row>
        <row r="19">
          <cell r="V19">
            <v>17.936507902174014</v>
          </cell>
        </row>
        <row r="20">
          <cell r="V20">
            <v>18.009263045783044</v>
          </cell>
        </row>
        <row r="21">
          <cell r="V21">
            <v>19.629104784627014</v>
          </cell>
        </row>
        <row r="22">
          <cell r="V22">
            <v>19.58144735496581</v>
          </cell>
        </row>
        <row r="23">
          <cell r="V23">
            <v>18.851063893117423</v>
          </cell>
        </row>
        <row r="24">
          <cell r="V24">
            <v>18.874252728987869</v>
          </cell>
        </row>
      </sheetData>
      <sheetData sheetId="15"/>
      <sheetData sheetId="16">
        <row r="10">
          <cell r="V10">
            <v>3</v>
          </cell>
        </row>
        <row r="16">
          <cell r="V16">
            <v>18.176497286485439</v>
          </cell>
        </row>
        <row r="17">
          <cell r="V17">
            <v>18.485878327216845</v>
          </cell>
        </row>
        <row r="18">
          <cell r="V18">
            <v>18.328897409016378</v>
          </cell>
        </row>
        <row r="19">
          <cell r="V19">
            <v>18.115632705704169</v>
          </cell>
        </row>
        <row r="20">
          <cell r="V20">
            <v>18.848367802220505</v>
          </cell>
        </row>
        <row r="21">
          <cell r="V21">
            <v>16.973553411345883</v>
          </cell>
        </row>
        <row r="22">
          <cell r="V22">
            <v>15.92717648148318</v>
          </cell>
        </row>
        <row r="23">
          <cell r="V23">
            <v>21.320991465925957</v>
          </cell>
        </row>
        <row r="24">
          <cell r="V24">
            <v>21.0920149777861</v>
          </cell>
        </row>
      </sheetData>
      <sheetData sheetId="17"/>
      <sheetData sheetId="18">
        <row r="10">
          <cell r="V10">
            <v>2.9000000000000008</v>
          </cell>
        </row>
        <row r="16">
          <cell r="V16">
            <v>20.284190392031331</v>
          </cell>
        </row>
        <row r="17">
          <cell r="V17">
            <v>19.475788368211177</v>
          </cell>
        </row>
        <row r="18">
          <cell r="V18">
            <v>18.886855034431907</v>
          </cell>
        </row>
        <row r="19">
          <cell r="V19">
            <v>17.812013934913384</v>
          </cell>
        </row>
        <row r="20">
          <cell r="V20">
            <v>18.680844807738985</v>
          </cell>
        </row>
        <row r="21">
          <cell r="V21">
            <v>18.097135250703914</v>
          </cell>
        </row>
        <row r="22">
          <cell r="V22">
            <v>17.910431663267214</v>
          </cell>
        </row>
        <row r="23">
          <cell r="V23">
            <v>18.431445537892934</v>
          </cell>
        </row>
        <row r="24">
          <cell r="V24">
            <v>17.72088149206752</v>
          </cell>
        </row>
      </sheetData>
      <sheetData sheetId="19"/>
      <sheetData sheetId="20">
        <row r="10">
          <cell r="V10">
            <v>2.415348013719036</v>
          </cell>
        </row>
        <row r="16">
          <cell r="V16">
            <v>20.674738007303525</v>
          </cell>
        </row>
        <row r="17">
          <cell r="V17">
            <v>19.555434621529905</v>
          </cell>
        </row>
        <row r="18">
          <cell r="V18">
            <v>19.828460742483632</v>
          </cell>
        </row>
        <row r="19">
          <cell r="V19">
            <v>19.007360588849348</v>
          </cell>
        </row>
        <row r="20">
          <cell r="V20">
            <v>20.595526688940893</v>
          </cell>
        </row>
        <row r="21">
          <cell r="V21">
            <v>19.452421526544025</v>
          </cell>
        </row>
        <row r="22">
          <cell r="V22">
            <v>18.280584329747992</v>
          </cell>
        </row>
        <row r="23">
          <cell r="V23">
            <v>18.188198557396436</v>
          </cell>
        </row>
        <row r="24">
          <cell r="V24">
            <v>17.672304241581418</v>
          </cell>
        </row>
      </sheetData>
      <sheetData sheetId="21"/>
      <sheetData sheetId="22">
        <row r="10">
          <cell r="V10">
            <v>2.9141895400442941</v>
          </cell>
        </row>
        <row r="16">
          <cell r="V16">
            <v>20.5722813556599</v>
          </cell>
        </row>
        <row r="17">
          <cell r="V17">
            <v>20.020309924542076</v>
          </cell>
        </row>
        <row r="18">
          <cell r="V18">
            <v>19.815034195844209</v>
          </cell>
        </row>
        <row r="19">
          <cell r="V19">
            <v>18.980817659141767</v>
          </cell>
        </row>
        <row r="20">
          <cell r="V20">
            <v>18.768657979574201</v>
          </cell>
        </row>
        <row r="21">
          <cell r="V21">
            <v>17.797662569839236</v>
          </cell>
        </row>
        <row r="22">
          <cell r="V22">
            <v>17.128936093523411</v>
          </cell>
        </row>
        <row r="23">
          <cell r="V23">
            <v>16.730880970322367</v>
          </cell>
        </row>
        <row r="24">
          <cell r="V24">
            <v>15.89576436210932</v>
          </cell>
        </row>
      </sheetData>
      <sheetData sheetId="23"/>
      <sheetData sheetId="24">
        <row r="10">
          <cell r="V10">
            <v>3.057733571601585</v>
          </cell>
        </row>
        <row r="16">
          <cell r="V16">
            <v>20.798017467307986</v>
          </cell>
        </row>
        <row r="17">
          <cell r="V17">
            <v>21.350566760173439</v>
          </cell>
        </row>
        <row r="18">
          <cell r="V18">
            <v>20.712744851410132</v>
          </cell>
        </row>
        <row r="19">
          <cell r="V19">
            <v>20.199791542532996</v>
          </cell>
        </row>
        <row r="20">
          <cell r="V20">
            <v>20.241574221957826</v>
          </cell>
        </row>
        <row r="21">
          <cell r="V21">
            <v>19.976190960809475</v>
          </cell>
        </row>
        <row r="22">
          <cell r="V22">
            <v>19.413053933787612</v>
          </cell>
        </row>
        <row r="23">
          <cell r="V23">
            <v>19.124547602151203</v>
          </cell>
        </row>
        <row r="24">
          <cell r="V24">
            <v>18.462581691587264</v>
          </cell>
        </row>
      </sheetData>
      <sheetData sheetId="25"/>
      <sheetData sheetId="26">
        <row r="10">
          <cell r="V10">
            <v>3.5</v>
          </cell>
        </row>
        <row r="16">
          <cell r="V16">
            <v>20.963176614849932</v>
          </cell>
        </row>
        <row r="17">
          <cell r="V17">
            <v>21.007657793858236</v>
          </cell>
        </row>
        <row r="18">
          <cell r="V18">
            <v>20.697284758870232</v>
          </cell>
        </row>
        <row r="19">
          <cell r="V19">
            <v>20.513323930865106</v>
          </cell>
        </row>
        <row r="20">
          <cell r="V20">
            <v>20.656994901433404</v>
          </cell>
        </row>
        <row r="21">
          <cell r="V21">
            <v>20.324905076728541</v>
          </cell>
        </row>
        <row r="22">
          <cell r="V22">
            <v>20.381610379171374</v>
          </cell>
        </row>
        <row r="23">
          <cell r="V23">
            <v>22.69280098891489</v>
          </cell>
        </row>
        <row r="24">
          <cell r="V24">
            <v>22.055844487798677</v>
          </cell>
        </row>
      </sheetData>
      <sheetData sheetId="27"/>
      <sheetData sheetId="28">
        <row r="10">
          <cell r="V10">
            <v>2.8579644382045206</v>
          </cell>
        </row>
        <row r="16">
          <cell r="V16">
            <v>19.584132053561383</v>
          </cell>
        </row>
        <row r="17">
          <cell r="V17">
            <v>20.089831907121035</v>
          </cell>
        </row>
        <row r="18">
          <cell r="V18">
            <v>20.309592603477366</v>
          </cell>
        </row>
        <row r="19">
          <cell r="V19">
            <v>19.39490398721405</v>
          </cell>
        </row>
        <row r="20">
          <cell r="V20">
            <v>18.683738290890265</v>
          </cell>
        </row>
        <row r="21">
          <cell r="V21">
            <v>18.475852430042519</v>
          </cell>
        </row>
        <row r="22">
          <cell r="V22">
            <v>18.33703625243178</v>
          </cell>
        </row>
        <row r="23">
          <cell r="V23">
            <v>17.739956156699805</v>
          </cell>
        </row>
        <row r="24">
          <cell r="V24">
            <v>17.484401284872217</v>
          </cell>
        </row>
      </sheetData>
      <sheetData sheetId="29"/>
      <sheetData sheetId="30">
        <row r="10">
          <cell r="V10">
            <v>2.1255054669944582</v>
          </cell>
        </row>
        <row r="16">
          <cell r="V16">
            <v>17.009462129649645</v>
          </cell>
        </row>
        <row r="17">
          <cell r="V17">
            <v>17.053043742701121</v>
          </cell>
        </row>
        <row r="18">
          <cell r="V18">
            <v>17.614530955274446</v>
          </cell>
        </row>
        <row r="19">
          <cell r="V19">
            <v>18.416543223443732</v>
          </cell>
        </row>
        <row r="20">
          <cell r="V20">
            <v>18.660525475868475</v>
          </cell>
        </row>
        <row r="21">
          <cell r="V21">
            <v>18.968538400849688</v>
          </cell>
        </row>
        <row r="22">
          <cell r="V22">
            <v>18.251209470380431</v>
          </cell>
        </row>
        <row r="23">
          <cell r="V23">
            <v>18.522091708205217</v>
          </cell>
        </row>
        <row r="24">
          <cell r="V24">
            <v>20.558699972168174</v>
          </cell>
        </row>
      </sheetData>
      <sheetData sheetId="31"/>
      <sheetData sheetId="32">
        <row r="10">
          <cell r="V10">
            <v>3.0999999999999996</v>
          </cell>
        </row>
        <row r="16">
          <cell r="V16">
            <v>21.85676801685943</v>
          </cell>
        </row>
        <row r="17">
          <cell r="V17">
            <v>20.645217785274262</v>
          </cell>
        </row>
        <row r="18">
          <cell r="V18">
            <v>21.234150095348042</v>
          </cell>
        </row>
        <row r="19">
          <cell r="V19">
            <v>20.668648387366048</v>
          </cell>
        </row>
        <row r="20">
          <cell r="V20">
            <v>19.666801585129409</v>
          </cell>
        </row>
        <row r="21">
          <cell r="V21">
            <v>19.565019196795159</v>
          </cell>
        </row>
        <row r="22">
          <cell r="V22">
            <v>18.811612286259695</v>
          </cell>
        </row>
        <row r="23">
          <cell r="V23">
            <v>18.354859749269593</v>
          </cell>
        </row>
        <row r="24">
          <cell r="V24">
            <v>18.450855555585477</v>
          </cell>
        </row>
      </sheetData>
      <sheetData sheetId="33"/>
      <sheetData sheetId="34">
        <row r="10">
          <cell r="V10">
            <v>3.2999999999999989</v>
          </cell>
        </row>
        <row r="16">
          <cell r="V16">
            <v>20.562690173992685</v>
          </cell>
        </row>
        <row r="17">
          <cell r="V17">
            <v>20.195364421469126</v>
          </cell>
        </row>
        <row r="18">
          <cell r="V18">
            <v>20.021361999450829</v>
          </cell>
        </row>
        <row r="19">
          <cell r="V19">
            <v>19.47607854645549</v>
          </cell>
        </row>
        <row r="20">
          <cell r="V20">
            <v>19.051587031990561</v>
          </cell>
        </row>
        <row r="21">
          <cell r="V21">
            <v>18.890784674695048</v>
          </cell>
        </row>
        <row r="22">
          <cell r="V22">
            <v>18.402326000958322</v>
          </cell>
        </row>
        <row r="23">
          <cell r="V23">
            <v>17.529762973308436</v>
          </cell>
        </row>
        <row r="24">
          <cell r="V24">
            <v>18.204561517552218</v>
          </cell>
        </row>
      </sheetData>
      <sheetData sheetId="35"/>
      <sheetData sheetId="36">
        <row r="10">
          <cell r="V10">
            <v>3.2575025176324552</v>
          </cell>
        </row>
        <row r="16">
          <cell r="V16">
            <v>21.812593882439124</v>
          </cell>
        </row>
        <row r="17">
          <cell r="V17">
            <v>20.861443307286805</v>
          </cell>
        </row>
        <row r="18">
          <cell r="V18">
            <v>21.316749499280455</v>
          </cell>
        </row>
        <row r="19">
          <cell r="V19">
            <v>20.259899953654845</v>
          </cell>
        </row>
        <row r="20">
          <cell r="V20">
            <v>20.469538721983461</v>
          </cell>
        </row>
        <row r="21">
          <cell r="V21">
            <v>20.388508654564568</v>
          </cell>
        </row>
        <row r="22">
          <cell r="V22">
            <v>19.174677999488175</v>
          </cell>
        </row>
        <row r="23">
          <cell r="V23">
            <v>18.851829680773797</v>
          </cell>
        </row>
        <row r="24">
          <cell r="V24">
            <v>22.861237891631024</v>
          </cell>
        </row>
      </sheetData>
      <sheetData sheetId="37"/>
      <sheetData sheetId="38">
        <row r="10">
          <cell r="V10">
            <v>3.956692353235467</v>
          </cell>
        </row>
        <row r="16">
          <cell r="V16">
            <v>21.331066096880875</v>
          </cell>
        </row>
        <row r="17">
          <cell r="V17">
            <v>21.443467129187571</v>
          </cell>
        </row>
        <row r="18">
          <cell r="V18">
            <v>21.392960581979164</v>
          </cell>
        </row>
        <row r="19">
          <cell r="V19">
            <v>20.890098373196103</v>
          </cell>
        </row>
        <row r="20">
          <cell r="V20">
            <v>20.797426215547624</v>
          </cell>
        </row>
        <row r="21">
          <cell r="V21">
            <v>19.550200251435093</v>
          </cell>
        </row>
        <row r="22">
          <cell r="V22">
            <v>19.377782533170663</v>
          </cell>
        </row>
        <row r="23">
          <cell r="V23">
            <v>20.296055177655081</v>
          </cell>
        </row>
        <row r="24">
          <cell r="V24">
            <v>22.897744271909147</v>
          </cell>
        </row>
      </sheetData>
      <sheetData sheetId="39"/>
      <sheetData sheetId="40">
        <row r="10">
          <cell r="V10">
            <v>2.399999999999999</v>
          </cell>
        </row>
        <row r="16">
          <cell r="V16">
            <v>18.83263177623753</v>
          </cell>
        </row>
        <row r="17">
          <cell r="V17">
            <v>18.250280758751309</v>
          </cell>
        </row>
        <row r="18">
          <cell r="V18">
            <v>18.196655492394431</v>
          </cell>
        </row>
        <row r="19">
          <cell r="V19">
            <v>19.140167160047955</v>
          </cell>
        </row>
        <row r="20">
          <cell r="V20">
            <v>19.25572740951181</v>
          </cell>
        </row>
        <row r="21">
          <cell r="V21">
            <v>18.737711005391269</v>
          </cell>
        </row>
        <row r="22">
          <cell r="V22">
            <v>20.231916886377736</v>
          </cell>
        </row>
        <row r="23">
          <cell r="V23">
            <v>20.181151258543302</v>
          </cell>
        </row>
        <row r="24">
          <cell r="V24">
            <v>20.666843524520143</v>
          </cell>
        </row>
      </sheetData>
      <sheetData sheetId="41"/>
      <sheetData sheetId="42">
        <row r="10">
          <cell r="V10">
            <v>2.5750528161882973</v>
          </cell>
        </row>
        <row r="16">
          <cell r="V16">
            <v>19.134251406275986</v>
          </cell>
        </row>
        <row r="17">
          <cell r="V17">
            <v>19.440435736899708</v>
          </cell>
        </row>
        <row r="18">
          <cell r="V18">
            <v>19.478581687200819</v>
          </cell>
        </row>
        <row r="19">
          <cell r="V19">
            <v>20.510960488280322</v>
          </cell>
        </row>
        <row r="20">
          <cell r="V20">
            <v>21.042524160176246</v>
          </cell>
        </row>
        <row r="21">
          <cell r="V21">
            <v>21.023422589068669</v>
          </cell>
        </row>
        <row r="22">
          <cell r="V22">
            <v>21.263033011816049</v>
          </cell>
        </row>
        <row r="23">
          <cell r="V23">
            <v>20.994955162876643</v>
          </cell>
        </row>
        <row r="24">
          <cell r="V24">
            <v>21.056008639974468</v>
          </cell>
        </row>
      </sheetData>
      <sheetData sheetId="43"/>
      <sheetData sheetId="44">
        <row r="10">
          <cell r="V10">
            <v>3.0999999999999996</v>
          </cell>
        </row>
        <row r="16">
          <cell r="V16">
            <v>19.861799351134295</v>
          </cell>
        </row>
        <row r="17">
          <cell r="V17">
            <v>19.446900650516657</v>
          </cell>
        </row>
        <row r="18">
          <cell r="V18">
            <v>19.733152515065274</v>
          </cell>
        </row>
        <row r="19">
          <cell r="V19">
            <v>19.256938768708174</v>
          </cell>
        </row>
        <row r="20">
          <cell r="V20">
            <v>20.325603721126292</v>
          </cell>
        </row>
        <row r="21">
          <cell r="V21">
            <v>19.756050564430975</v>
          </cell>
        </row>
        <row r="22">
          <cell r="V22">
            <v>20.384778164998323</v>
          </cell>
        </row>
        <row r="23">
          <cell r="V23">
            <v>21.316471687962569</v>
          </cell>
        </row>
        <row r="24">
          <cell r="V24">
            <v>20.984390587210235</v>
          </cell>
        </row>
      </sheetData>
      <sheetData sheetId="45"/>
      <sheetData sheetId="46">
        <row r="10">
          <cell r="V10">
            <v>2.2586559138134703</v>
          </cell>
        </row>
        <row r="16">
          <cell r="V16">
            <v>18.819761813031636</v>
          </cell>
        </row>
        <row r="17">
          <cell r="V17">
            <v>18.774350496272632</v>
          </cell>
        </row>
        <row r="18">
          <cell r="V18">
            <v>19.454253181178512</v>
          </cell>
        </row>
        <row r="19">
          <cell r="V19">
            <v>18.355434143975636</v>
          </cell>
        </row>
        <row r="20">
          <cell r="V20">
            <v>18.201412163020215</v>
          </cell>
        </row>
        <row r="21">
          <cell r="V21">
            <v>18.592302633579209</v>
          </cell>
        </row>
        <row r="22">
          <cell r="V22">
            <v>18.565150805363192</v>
          </cell>
        </row>
        <row r="23">
          <cell r="V23">
            <v>18.185614759922267</v>
          </cell>
        </row>
        <row r="24">
          <cell r="V24">
            <v>18.218747737850055</v>
          </cell>
        </row>
      </sheetData>
      <sheetData sheetId="47"/>
      <sheetData sheetId="48">
        <row r="10">
          <cell r="V10">
            <v>1.8591159607169385</v>
          </cell>
        </row>
        <row r="16">
          <cell r="V16">
            <v>17.110431309592556</v>
          </cell>
        </row>
        <row r="17">
          <cell r="V17">
            <v>17.413696550010691</v>
          </cell>
        </row>
        <row r="18">
          <cell r="V18">
            <v>17.815547865923936</v>
          </cell>
        </row>
        <row r="19">
          <cell r="V19">
            <v>18.120053945362223</v>
          </cell>
        </row>
        <row r="20">
          <cell r="V20">
            <v>17.713831714195607</v>
          </cell>
        </row>
        <row r="21">
          <cell r="V21">
            <v>18.120457552129494</v>
          </cell>
        </row>
        <row r="22">
          <cell r="V22">
            <v>18.136760223286299</v>
          </cell>
        </row>
        <row r="23">
          <cell r="V23">
            <v>17.206298015916225</v>
          </cell>
        </row>
        <row r="24">
          <cell r="V24">
            <v>16.442732936345568</v>
          </cell>
        </row>
      </sheetData>
      <sheetData sheetId="49"/>
      <sheetData sheetId="50">
        <row r="10">
          <cell r="V10">
            <v>2.8579644382045153</v>
          </cell>
        </row>
        <row r="16">
          <cell r="V16">
            <v>15.82507233513144</v>
          </cell>
        </row>
        <row r="17">
          <cell r="V17">
            <v>16.342382304973782</v>
          </cell>
        </row>
        <row r="18">
          <cell r="V18">
            <v>16.25323463659462</v>
          </cell>
        </row>
        <row r="19">
          <cell r="V19">
            <v>16.413091094430193</v>
          </cell>
        </row>
        <row r="20">
          <cell r="V20">
            <v>16.801261708261531</v>
          </cell>
        </row>
        <row r="21">
          <cell r="V21">
            <v>17.413975076655053</v>
          </cell>
        </row>
        <row r="22">
          <cell r="V22">
            <v>17.414185911550579</v>
          </cell>
        </row>
        <row r="23">
          <cell r="V23">
            <v>17.680874472529631</v>
          </cell>
        </row>
        <row r="24">
          <cell r="V24">
            <v>17.668839459611256</v>
          </cell>
        </row>
      </sheetData>
      <sheetData sheetId="51"/>
      <sheetData sheetId="52">
        <row r="10">
          <cell r="V10">
            <v>2.3585407849829898</v>
          </cell>
        </row>
        <row r="16">
          <cell r="V16">
            <v>16.749461364361764</v>
          </cell>
        </row>
        <row r="17">
          <cell r="V17">
            <v>16.956153665799505</v>
          </cell>
        </row>
        <row r="18">
          <cell r="V18">
            <v>17.673019900722256</v>
          </cell>
        </row>
        <row r="19">
          <cell r="V19">
            <v>19.002166752565213</v>
          </cell>
        </row>
        <row r="20">
          <cell r="V20">
            <v>17.061776740022641</v>
          </cell>
        </row>
        <row r="21">
          <cell r="V21">
            <v>16.83091088126368</v>
          </cell>
        </row>
        <row r="22">
          <cell r="V22">
            <v>16.148523352125896</v>
          </cell>
        </row>
        <row r="23">
          <cell r="V23">
            <v>17.11961405356362</v>
          </cell>
        </row>
        <row r="24">
          <cell r="V24">
            <v>16.707073399600237</v>
          </cell>
        </row>
      </sheetData>
      <sheetData sheetId="53"/>
      <sheetData sheetId="54">
        <row r="10">
          <cell r="V10">
            <v>2.399999999999999</v>
          </cell>
        </row>
        <row r="16">
          <cell r="V16">
            <v>15.410608753640966</v>
          </cell>
        </row>
        <row r="17">
          <cell r="V17">
            <v>15.929586423108876</v>
          </cell>
        </row>
        <row r="18">
          <cell r="V18">
            <v>16.39061998967793</v>
          </cell>
        </row>
        <row r="19">
          <cell r="V19">
            <v>16.759135303320729</v>
          </cell>
        </row>
        <row r="20">
          <cell r="V20">
            <v>16.340235460581003</v>
          </cell>
        </row>
        <row r="21">
          <cell r="V21">
            <v>16.580640462101908</v>
          </cell>
        </row>
        <row r="22">
          <cell r="V22">
            <v>17.773217758833162</v>
          </cell>
        </row>
        <row r="23">
          <cell r="V23">
            <v>16.319091246186911</v>
          </cell>
        </row>
        <row r="24">
          <cell r="V24">
            <v>16.152832059508203</v>
          </cell>
        </row>
      </sheetData>
      <sheetData sheetId="55"/>
      <sheetData sheetId="56">
        <row r="10">
          <cell r="V10">
            <v>2.4584256093107228</v>
          </cell>
        </row>
        <row r="16">
          <cell r="V16">
            <v>17.810100765926464</v>
          </cell>
        </row>
        <row r="17">
          <cell r="V17">
            <v>17.876739911566951</v>
          </cell>
        </row>
        <row r="18">
          <cell r="V18">
            <v>17.852654240443858</v>
          </cell>
        </row>
        <row r="19">
          <cell r="V19">
            <v>17.823477864842104</v>
          </cell>
        </row>
        <row r="20">
          <cell r="V20">
            <v>18.163727526111078</v>
          </cell>
        </row>
        <row r="21">
          <cell r="V21">
            <v>17.793291313843476</v>
          </cell>
        </row>
        <row r="22">
          <cell r="V22">
            <v>18.393870051261882</v>
          </cell>
        </row>
        <row r="23">
          <cell r="V23">
            <v>18.127949978738656</v>
          </cell>
        </row>
        <row r="24">
          <cell r="V24">
            <v>19.032735814013463</v>
          </cell>
        </row>
      </sheetData>
      <sheetData sheetId="57"/>
      <sheetData sheetId="58">
        <row r="10">
          <cell r="V10">
            <v>2.8000000000000003</v>
          </cell>
        </row>
        <row r="16">
          <cell r="V16">
            <v>18.167306597912404</v>
          </cell>
        </row>
        <row r="17">
          <cell r="V17">
            <v>17.891769388126804</v>
          </cell>
        </row>
        <row r="18">
          <cell r="V18">
            <v>17.678996324911832</v>
          </cell>
        </row>
        <row r="19">
          <cell r="V19">
            <v>18.009313690271803</v>
          </cell>
        </row>
        <row r="20">
          <cell r="V20">
            <v>16.646291725134102</v>
          </cell>
        </row>
        <row r="21">
          <cell r="V21">
            <v>17.356497595827996</v>
          </cell>
        </row>
        <row r="22">
          <cell r="V22">
            <v>17.891040590787995</v>
          </cell>
        </row>
        <row r="23">
          <cell r="V23">
            <v>17.271344599955363</v>
          </cell>
        </row>
        <row r="24">
          <cell r="V24">
            <v>16.365259459659523</v>
          </cell>
        </row>
      </sheetData>
      <sheetData sheetId="59"/>
      <sheetData sheetId="60">
        <row r="10">
          <cell r="V10">
            <v>2.0259722369183666</v>
          </cell>
        </row>
        <row r="16">
          <cell r="V16">
            <v>17.356875286506636</v>
          </cell>
        </row>
        <row r="17">
          <cell r="V17">
            <v>16.95578308183833</v>
          </cell>
        </row>
        <row r="18">
          <cell r="V18">
            <v>16.750470342214474</v>
          </cell>
        </row>
        <row r="19">
          <cell r="V19">
            <v>16.721667273720769</v>
          </cell>
        </row>
        <row r="20">
          <cell r="V20">
            <v>16.276387550810437</v>
          </cell>
        </row>
        <row r="21">
          <cell r="V21">
            <v>16.209366291858121</v>
          </cell>
        </row>
        <row r="22">
          <cell r="V22">
            <v>16.605070071747605</v>
          </cell>
        </row>
        <row r="23">
          <cell r="V23">
            <v>14.773021544157833</v>
          </cell>
        </row>
        <row r="24">
          <cell r="V24">
            <v>13.123050501156618</v>
          </cell>
        </row>
      </sheetData>
      <sheetData sheetId="61"/>
      <sheetData sheetId="62">
        <row r="10">
          <cell r="V10">
            <v>2.6581951174409837</v>
          </cell>
        </row>
        <row r="16">
          <cell r="V16">
            <v>19.439691213955779</v>
          </cell>
        </row>
        <row r="17">
          <cell r="V17">
            <v>18.476262589212663</v>
          </cell>
        </row>
        <row r="18">
          <cell r="V18">
            <v>16.520348957067178</v>
          </cell>
        </row>
        <row r="19">
          <cell r="V19">
            <v>15.51728582721103</v>
          </cell>
        </row>
        <row r="20">
          <cell r="V20">
            <v>13.46878928378927</v>
          </cell>
        </row>
        <row r="21">
          <cell r="V21">
            <v>13.919056440412403</v>
          </cell>
        </row>
        <row r="22">
          <cell r="V22">
            <v>11.654043342609862</v>
          </cell>
        </row>
        <row r="23">
          <cell r="V23">
            <v>11.832050819238329</v>
          </cell>
        </row>
        <row r="24">
          <cell r="V24">
            <v>11.951436725440239</v>
          </cell>
        </row>
      </sheetData>
      <sheetData sheetId="63"/>
      <sheetData sheetId="64">
        <row r="10">
          <cell r="V10">
            <v>2.4584256093107228</v>
          </cell>
        </row>
        <row r="16">
          <cell r="V16">
            <v>19.189538932944796</v>
          </cell>
        </row>
        <row r="17">
          <cell r="V17">
            <v>19.038218238346612</v>
          </cell>
        </row>
        <row r="18">
          <cell r="V18">
            <v>18.740576328998952</v>
          </cell>
        </row>
        <row r="19">
          <cell r="V19">
            <v>18.459285580187306</v>
          </cell>
        </row>
        <row r="20">
          <cell r="V20">
            <v>17.447874291961256</v>
          </cell>
        </row>
        <row r="21">
          <cell r="V21">
            <v>18.456700978400015</v>
          </cell>
        </row>
        <row r="22">
          <cell r="V22">
            <v>20.541987650094473</v>
          </cell>
        </row>
        <row r="23">
          <cell r="V23">
            <v>21.099006038174643</v>
          </cell>
        </row>
        <row r="24">
          <cell r="V24">
            <v>15.603959644314637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0">
          <cell r="V10">
            <v>2.5583103867967103</v>
          </cell>
        </row>
        <row r="16">
          <cell r="V16">
            <v>17.821262702522287</v>
          </cell>
        </row>
        <row r="17">
          <cell r="V17">
            <v>17.088077112389442</v>
          </cell>
        </row>
        <row r="18">
          <cell r="V18">
            <v>16.868894029606441</v>
          </cell>
        </row>
        <row r="19">
          <cell r="V19">
            <v>18.433009177996478</v>
          </cell>
        </row>
        <row r="20">
          <cell r="V20">
            <v>16.985821533206153</v>
          </cell>
        </row>
        <row r="21">
          <cell r="V21">
            <v>16.029610736615915</v>
          </cell>
        </row>
        <row r="22">
          <cell r="V22">
            <v>17.151384244983877</v>
          </cell>
        </row>
        <row r="23">
          <cell r="V23">
            <v>17.316428160836065</v>
          </cell>
        </row>
        <row r="24">
          <cell r="V24">
            <v>19.965633416916006</v>
          </cell>
        </row>
      </sheetData>
      <sheetData sheetId="5"/>
      <sheetData sheetId="6">
        <row r="10">
          <cell r="V10">
            <v>2.3585407849829871</v>
          </cell>
        </row>
        <row r="16">
          <cell r="V16">
            <v>18.819238643201992</v>
          </cell>
        </row>
        <row r="17">
          <cell r="V17">
            <v>18.531637831827442</v>
          </cell>
        </row>
        <row r="18">
          <cell r="V18">
            <v>18.183154158220788</v>
          </cell>
        </row>
        <row r="19">
          <cell r="V19">
            <v>19.767672505043162</v>
          </cell>
        </row>
        <row r="20">
          <cell r="V20">
            <v>19.580386503849361</v>
          </cell>
        </row>
        <row r="21">
          <cell r="V21">
            <v>18.842641805984179</v>
          </cell>
        </row>
        <row r="22">
          <cell r="V22">
            <v>20.693335315677874</v>
          </cell>
        </row>
        <row r="23">
          <cell r="V23">
            <v>17.62726137968863</v>
          </cell>
        </row>
        <row r="24">
          <cell r="V24">
            <v>18.43258825371398</v>
          </cell>
        </row>
      </sheetData>
      <sheetData sheetId="7"/>
      <sheetData sheetId="8">
        <row r="10">
          <cell r="V10">
            <v>2.2999999999999989</v>
          </cell>
        </row>
        <row r="16">
          <cell r="V16">
            <v>18.5449598552946</v>
          </cell>
        </row>
        <row r="17">
          <cell r="V17">
            <v>18.681896934882204</v>
          </cell>
        </row>
        <row r="18">
          <cell r="V18">
            <v>18.735694631645185</v>
          </cell>
        </row>
        <row r="19">
          <cell r="V19">
            <v>18.935485040193974</v>
          </cell>
        </row>
        <row r="20">
          <cell r="V20">
            <v>18.923396609876693</v>
          </cell>
        </row>
        <row r="21">
          <cell r="V21">
            <v>19.805184284663817</v>
          </cell>
        </row>
        <row r="22">
          <cell r="V22">
            <v>18.119170558329522</v>
          </cell>
        </row>
        <row r="23">
          <cell r="V23">
            <v>19.241702331048209</v>
          </cell>
        </row>
        <row r="24">
          <cell r="V24">
            <v>19.310989201559178</v>
          </cell>
        </row>
      </sheetData>
      <sheetData sheetId="9"/>
      <sheetData sheetId="10">
        <row r="10">
          <cell r="V10">
            <v>2.8579644382045175</v>
          </cell>
        </row>
        <row r="16">
          <cell r="V16">
            <v>19.627179473316815</v>
          </cell>
        </row>
        <row r="17">
          <cell r="V17">
            <v>18.195006713652578</v>
          </cell>
        </row>
        <row r="18">
          <cell r="V18">
            <v>18.910540778034825</v>
          </cell>
        </row>
        <row r="19">
          <cell r="V19">
            <v>15.912874572334488</v>
          </cell>
        </row>
        <row r="20">
          <cell r="V20">
            <v>16.758113888662901</v>
          </cell>
        </row>
        <row r="21">
          <cell r="V21">
            <v>15.913208920779111</v>
          </cell>
        </row>
        <row r="22">
          <cell r="V22">
            <v>16.672914165276016</v>
          </cell>
        </row>
        <row r="23">
          <cell r="V23">
            <v>19.971852414233755</v>
          </cell>
        </row>
        <row r="24">
          <cell r="V24">
            <v>19.218082026688457</v>
          </cell>
        </row>
      </sheetData>
      <sheetData sheetId="11"/>
      <sheetData sheetId="12">
        <row r="10">
          <cell r="V10">
            <v>1.959001019253904</v>
          </cell>
        </row>
        <row r="16">
          <cell r="V16">
            <v>18.361111023385508</v>
          </cell>
        </row>
        <row r="17">
          <cell r="V17">
            <v>18.078871864538378</v>
          </cell>
        </row>
        <row r="18">
          <cell r="V18">
            <v>18.916892048306</v>
          </cell>
        </row>
        <row r="19">
          <cell r="V19">
            <v>16.342478898660008</v>
          </cell>
        </row>
        <row r="20">
          <cell r="V20">
            <v>14.668736626376356</v>
          </cell>
        </row>
        <row r="21">
          <cell r="V21">
            <v>14.541590684915761</v>
          </cell>
        </row>
        <row r="22">
          <cell r="V22">
            <v>17.550452136912266</v>
          </cell>
        </row>
        <row r="23">
          <cell r="V23">
            <v>14.997516877814236</v>
          </cell>
        </row>
        <row r="24">
          <cell r="V24">
            <v>15.495942615834235</v>
          </cell>
        </row>
      </sheetData>
      <sheetData sheetId="13"/>
      <sheetData sheetId="14">
        <row r="10">
          <cell r="V10">
            <v>2.0000000000000013</v>
          </cell>
        </row>
        <row r="16">
          <cell r="V16">
            <v>18.750324016309509</v>
          </cell>
        </row>
        <row r="17">
          <cell r="V17">
            <v>19.105140143220751</v>
          </cell>
        </row>
        <row r="18">
          <cell r="V18">
            <v>18.091931493424546</v>
          </cell>
        </row>
        <row r="19">
          <cell r="V19">
            <v>18.071098949356429</v>
          </cell>
        </row>
        <row r="20">
          <cell r="V20">
            <v>19.290915888934659</v>
          </cell>
        </row>
        <row r="21">
          <cell r="V21">
            <v>18.306427873803727</v>
          </cell>
        </row>
        <row r="22">
          <cell r="V22">
            <v>18.026601509353473</v>
          </cell>
        </row>
        <row r="23">
          <cell r="V23">
            <v>19.792357762759476</v>
          </cell>
        </row>
        <row r="24">
          <cell r="V24">
            <v>19.741618860758937</v>
          </cell>
        </row>
      </sheetData>
      <sheetData sheetId="15"/>
      <sheetData sheetId="16">
        <row r="10">
          <cell r="V10">
            <v>2.2999999999999989</v>
          </cell>
        </row>
        <row r="16">
          <cell r="V16">
            <v>19.249287406778809</v>
          </cell>
        </row>
        <row r="17">
          <cell r="V17">
            <v>19.627853509015814</v>
          </cell>
        </row>
        <row r="18">
          <cell r="V18">
            <v>19.312357709348511</v>
          </cell>
        </row>
        <row r="19">
          <cell r="V19">
            <v>17.967331063482678</v>
          </cell>
        </row>
        <row r="20">
          <cell r="V20">
            <v>16.835863204863884</v>
          </cell>
        </row>
        <row r="21">
          <cell r="V21">
            <v>16.41160135871592</v>
          </cell>
        </row>
        <row r="22">
          <cell r="V22">
            <v>16.275218215864477</v>
          </cell>
        </row>
        <row r="23">
          <cell r="V23">
            <v>20.495534395899888</v>
          </cell>
        </row>
        <row r="24">
          <cell r="V24">
            <v>21.41458257269613</v>
          </cell>
        </row>
      </sheetData>
      <sheetData sheetId="17"/>
      <sheetData sheetId="18">
        <row r="10">
          <cell r="V10">
            <v>2.2000000000000006</v>
          </cell>
        </row>
        <row r="16">
          <cell r="V16">
            <v>19.338049893260699</v>
          </cell>
        </row>
        <row r="17">
          <cell r="V17">
            <v>19.64272672092337</v>
          </cell>
        </row>
        <row r="18">
          <cell r="V18">
            <v>19.762049805572985</v>
          </cell>
        </row>
        <row r="19">
          <cell r="V19">
            <v>19.18757929700087</v>
          </cell>
        </row>
        <row r="20">
          <cell r="V20">
            <v>17.316242407862408</v>
          </cell>
        </row>
        <row r="21">
          <cell r="V21">
            <v>16.765405668506475</v>
          </cell>
        </row>
        <row r="22">
          <cell r="V22">
            <v>19.408444230732645</v>
          </cell>
        </row>
        <row r="23">
          <cell r="V23">
            <v>19.411234624907603</v>
          </cell>
        </row>
        <row r="24">
          <cell r="V24">
            <v>20.157903377190898</v>
          </cell>
        </row>
      </sheetData>
      <sheetData sheetId="19"/>
      <sheetData sheetId="20">
        <row r="10">
          <cell r="V10">
            <v>2.7580798012435754</v>
          </cell>
        </row>
        <row r="16">
          <cell r="V16">
            <v>19.233082718812447</v>
          </cell>
        </row>
        <row r="17">
          <cell r="V17">
            <v>18.97327161559004</v>
          </cell>
        </row>
        <row r="18">
          <cell r="V18">
            <v>18.933241369944763</v>
          </cell>
        </row>
        <row r="19">
          <cell r="V19">
            <v>19.764304330096145</v>
          </cell>
        </row>
        <row r="20">
          <cell r="V20">
            <v>18.840402939044399</v>
          </cell>
        </row>
        <row r="21">
          <cell r="V21">
            <v>20.229826284174191</v>
          </cell>
        </row>
        <row r="22">
          <cell r="V22">
            <v>21.065343259407946</v>
          </cell>
        </row>
        <row r="23">
          <cell r="V23">
            <v>21.384798707719636</v>
          </cell>
        </row>
        <row r="24">
          <cell r="V24">
            <v>20.942509886280952</v>
          </cell>
        </row>
      </sheetData>
      <sheetData sheetId="21"/>
      <sheetData sheetId="22">
        <row r="10">
          <cell r="V10">
            <v>2.9578490283238437</v>
          </cell>
        </row>
        <row r="16">
          <cell r="V16">
            <v>19.903679608079031</v>
          </cell>
        </row>
        <row r="17">
          <cell r="V17">
            <v>19.74691207945332</v>
          </cell>
        </row>
        <row r="18">
          <cell r="V18">
            <v>19.70606945976732</v>
          </cell>
        </row>
        <row r="19">
          <cell r="V19">
            <v>18.858589507082176</v>
          </cell>
        </row>
        <row r="20">
          <cell r="V20">
            <v>18.046989304510266</v>
          </cell>
        </row>
        <row r="21">
          <cell r="V21">
            <v>17.979218586212522</v>
          </cell>
        </row>
        <row r="22">
          <cell r="V22">
            <v>15.422950625373376</v>
          </cell>
        </row>
        <row r="23">
          <cell r="V23">
            <v>19.163398715786492</v>
          </cell>
        </row>
        <row r="24">
          <cell r="V24">
            <v>20.604344096544249</v>
          </cell>
        </row>
      </sheetData>
      <sheetData sheetId="23"/>
      <sheetData sheetId="24">
        <row r="10">
          <cell r="V10">
            <v>2.957849028323841</v>
          </cell>
        </row>
        <row r="16">
          <cell r="V16">
            <v>19.773800635110042</v>
          </cell>
        </row>
        <row r="17">
          <cell r="V17">
            <v>19.462853816770082</v>
          </cell>
        </row>
        <row r="18">
          <cell r="V18">
            <v>18.225385046722849</v>
          </cell>
        </row>
        <row r="19">
          <cell r="V19">
            <v>17.715339701885071</v>
          </cell>
        </row>
        <row r="20">
          <cell r="V20">
            <v>17.133873349670097</v>
          </cell>
        </row>
        <row r="21">
          <cell r="V21">
            <v>16.876205085849655</v>
          </cell>
        </row>
        <row r="22">
          <cell r="V22">
            <v>17.231853129759116</v>
          </cell>
        </row>
        <row r="23">
          <cell r="V23">
            <v>16.423558262996828</v>
          </cell>
        </row>
        <row r="24">
          <cell r="V24">
            <v>20.535635205763654</v>
          </cell>
        </row>
      </sheetData>
      <sheetData sheetId="25"/>
      <sheetData sheetId="26">
        <row r="10">
          <cell r="V10">
            <v>3.2000000000000028</v>
          </cell>
        </row>
        <row r="16">
          <cell r="V16">
            <v>19.556838910504926</v>
          </cell>
        </row>
        <row r="17">
          <cell r="V17">
            <v>19.395090710842528</v>
          </cell>
        </row>
        <row r="18">
          <cell r="V18">
            <v>19.28561040912729</v>
          </cell>
        </row>
        <row r="19">
          <cell r="V19">
            <v>18.629690209904652</v>
          </cell>
        </row>
        <row r="20">
          <cell r="V20">
            <v>19.068226522488544</v>
          </cell>
        </row>
        <row r="21">
          <cell r="V21">
            <v>18.265215662955384</v>
          </cell>
        </row>
        <row r="22">
          <cell r="V22">
            <v>17.744152071666278</v>
          </cell>
        </row>
        <row r="23">
          <cell r="V23">
            <v>18.415822390779542</v>
          </cell>
        </row>
        <row r="24">
          <cell r="V24">
            <v>17.832065054773306</v>
          </cell>
        </row>
      </sheetData>
      <sheetData sheetId="27"/>
      <sheetData sheetId="28">
        <row r="10">
          <cell r="V10">
            <v>2.6581951174409837</v>
          </cell>
        </row>
        <row r="16">
          <cell r="V16">
            <v>18.808070737390196</v>
          </cell>
        </row>
        <row r="17">
          <cell r="V17">
            <v>18.598183423338128</v>
          </cell>
        </row>
        <row r="18">
          <cell r="V18">
            <v>18.655766794009768</v>
          </cell>
        </row>
        <row r="19">
          <cell r="V19">
            <v>18.748944909833053</v>
          </cell>
        </row>
        <row r="20">
          <cell r="V20">
            <v>19.277429802952554</v>
          </cell>
        </row>
        <row r="21">
          <cell r="V21">
            <v>19.95934702078366</v>
          </cell>
        </row>
        <row r="22">
          <cell r="V22">
            <v>19.562497963971563</v>
          </cell>
        </row>
        <row r="23">
          <cell r="V23">
            <v>19.09187780008163</v>
          </cell>
        </row>
        <row r="24">
          <cell r="V24">
            <v>18.394276486696619</v>
          </cell>
        </row>
      </sheetData>
      <sheetData sheetId="29"/>
      <sheetData sheetId="30">
        <row r="10">
          <cell r="V10">
            <v>2.8579644382045175</v>
          </cell>
        </row>
        <row r="16">
          <cell r="V16">
            <v>19.833975353948805</v>
          </cell>
        </row>
        <row r="17">
          <cell r="V17">
            <v>19.574633956926906</v>
          </cell>
        </row>
        <row r="18">
          <cell r="V18">
            <v>19.267126257169092</v>
          </cell>
        </row>
        <row r="19">
          <cell r="V19">
            <v>19.187647364233847</v>
          </cell>
        </row>
        <row r="20">
          <cell r="V20">
            <v>20.923395236486147</v>
          </cell>
        </row>
        <row r="21">
          <cell r="V21">
            <v>20.28258683774283</v>
          </cell>
        </row>
        <row r="22">
          <cell r="V22">
            <v>21.662281315712523</v>
          </cell>
        </row>
        <row r="23">
          <cell r="V23">
            <v>21.353994054292468</v>
          </cell>
        </row>
        <row r="24">
          <cell r="V24">
            <v>21.299599750697983</v>
          </cell>
        </row>
      </sheetData>
      <sheetData sheetId="31"/>
      <sheetData sheetId="32">
        <row r="10">
          <cell r="V10">
            <v>2.8579644382045175</v>
          </cell>
        </row>
        <row r="16">
          <cell r="V16">
            <v>19.223611368240348</v>
          </cell>
        </row>
        <row r="17">
          <cell r="V17">
            <v>19.425328044550902</v>
          </cell>
        </row>
        <row r="18">
          <cell r="V18">
            <v>19.337288762596337</v>
          </cell>
        </row>
        <row r="19">
          <cell r="V19">
            <v>19.742782801686328</v>
          </cell>
        </row>
        <row r="20">
          <cell r="V20">
            <v>19.773974389245712</v>
          </cell>
        </row>
        <row r="21">
          <cell r="V21">
            <v>19.85997156926468</v>
          </cell>
        </row>
        <row r="22">
          <cell r="V22">
            <v>19.721163623341443</v>
          </cell>
        </row>
        <row r="23">
          <cell r="V23">
            <v>19.540185713241833</v>
          </cell>
        </row>
        <row r="24">
          <cell r="V24">
            <v>19.627196497975678</v>
          </cell>
        </row>
      </sheetData>
      <sheetData sheetId="33"/>
      <sheetData sheetId="34">
        <row r="10">
          <cell r="V10">
            <v>2.4153480137190386</v>
          </cell>
        </row>
        <row r="16">
          <cell r="V16">
            <v>18.213745524488225</v>
          </cell>
        </row>
        <row r="17">
          <cell r="V17">
            <v>18.728800171538637</v>
          </cell>
        </row>
        <row r="18">
          <cell r="V18">
            <v>18.659310697965584</v>
          </cell>
        </row>
        <row r="19">
          <cell r="V19">
            <v>18.783539937372101</v>
          </cell>
        </row>
        <row r="20">
          <cell r="V20">
            <v>18.1544041920944</v>
          </cell>
        </row>
        <row r="21">
          <cell r="V21">
            <v>18.58723951643233</v>
          </cell>
        </row>
        <row r="22">
          <cell r="V22">
            <v>19.425819093716754</v>
          </cell>
        </row>
        <row r="23">
          <cell r="V23">
            <v>19.620994246815197</v>
          </cell>
        </row>
        <row r="24">
          <cell r="V24">
            <v>19.535134904190965</v>
          </cell>
        </row>
      </sheetData>
      <sheetData sheetId="35"/>
      <sheetData sheetId="36">
        <row r="10">
          <cell r="V10">
            <v>2.399999999999999</v>
          </cell>
        </row>
        <row r="16">
          <cell r="V16">
            <v>17.575805772878525</v>
          </cell>
        </row>
        <row r="17">
          <cell r="V17">
            <v>15.978648513854942</v>
          </cell>
        </row>
        <row r="18">
          <cell r="V18">
            <v>17.073793699200237</v>
          </cell>
        </row>
        <row r="19">
          <cell r="V19">
            <v>16.589021164964272</v>
          </cell>
        </row>
        <row r="20">
          <cell r="V20">
            <v>17.196263486043087</v>
          </cell>
        </row>
        <row r="21">
          <cell r="V21">
            <v>17.820323528727066</v>
          </cell>
        </row>
        <row r="22">
          <cell r="V22">
            <v>18.554084289737521</v>
          </cell>
        </row>
        <row r="23">
          <cell r="V23">
            <v>18.875970345839068</v>
          </cell>
        </row>
        <row r="24">
          <cell r="V24">
            <v>19.922999138947745</v>
          </cell>
        </row>
      </sheetData>
      <sheetData sheetId="37"/>
      <sheetData sheetId="38">
        <row r="10">
          <cell r="V10">
            <v>3</v>
          </cell>
        </row>
        <row r="16">
          <cell r="V16">
            <v>18.804357212121072</v>
          </cell>
        </row>
        <row r="17">
          <cell r="V17">
            <v>18.719264893281689</v>
          </cell>
        </row>
        <row r="18">
          <cell r="V18">
            <v>18.952873743493249</v>
          </cell>
        </row>
        <row r="19">
          <cell r="V19">
            <v>18.49833343892449</v>
          </cell>
        </row>
        <row r="20">
          <cell r="V20">
            <v>18.700037592419765</v>
          </cell>
        </row>
        <row r="21">
          <cell r="V21">
            <v>18.556987156588672</v>
          </cell>
        </row>
        <row r="22">
          <cell r="V22">
            <v>19.554548454350861</v>
          </cell>
        </row>
        <row r="23">
          <cell r="V23">
            <v>20.555279267142222</v>
          </cell>
        </row>
        <row r="24">
          <cell r="V24">
            <v>19.714164909472089</v>
          </cell>
        </row>
      </sheetData>
      <sheetData sheetId="39"/>
      <sheetData sheetId="40">
        <row r="10">
          <cell r="V10">
            <v>3</v>
          </cell>
        </row>
        <row r="16">
          <cell r="V16">
            <v>18.764977708033719</v>
          </cell>
        </row>
        <row r="17">
          <cell r="V17">
            <v>20.04864034621502</v>
          </cell>
        </row>
        <row r="18">
          <cell r="V18">
            <v>18.73097136425481</v>
          </cell>
        </row>
        <row r="19">
          <cell r="V19">
            <v>19.21235812664057</v>
          </cell>
        </row>
        <row r="20">
          <cell r="V20">
            <v>18.991993184135996</v>
          </cell>
        </row>
        <row r="21">
          <cell r="V21">
            <v>17.375108688996153</v>
          </cell>
        </row>
        <row r="22">
          <cell r="V22">
            <v>17.610040126935505</v>
          </cell>
        </row>
        <row r="23">
          <cell r="V23">
            <v>20.431458218269601</v>
          </cell>
        </row>
        <row r="24">
          <cell r="V24">
            <v>21.668191880100181</v>
          </cell>
        </row>
      </sheetData>
      <sheetData sheetId="41"/>
      <sheetData sheetId="42">
        <row r="10">
          <cell r="V10">
            <v>2.7999999999999972</v>
          </cell>
        </row>
        <row r="16">
          <cell r="V16">
            <v>19.862950294173739</v>
          </cell>
        </row>
        <row r="17">
          <cell r="V17">
            <v>21.365820662017619</v>
          </cell>
        </row>
        <row r="18">
          <cell r="V18">
            <v>21.008908723957504</v>
          </cell>
        </row>
        <row r="19">
          <cell r="V19">
            <v>19.928713704800199</v>
          </cell>
        </row>
        <row r="20">
          <cell r="V20">
            <v>21.275686180651256</v>
          </cell>
        </row>
        <row r="21">
          <cell r="V21">
            <v>22.133091875716616</v>
          </cell>
        </row>
        <row r="22">
          <cell r="V22">
            <v>21.412710569319572</v>
          </cell>
        </row>
        <row r="23">
          <cell r="V23">
            <v>19.745400457974981</v>
          </cell>
        </row>
        <row r="24">
          <cell r="V24">
            <v>20.353458455673628</v>
          </cell>
        </row>
      </sheetData>
      <sheetData sheetId="43"/>
      <sheetData sheetId="44">
        <row r="10">
          <cell r="V10">
            <v>2.4584256093107228</v>
          </cell>
        </row>
        <row r="16">
          <cell r="V16">
            <v>19.02282654430693</v>
          </cell>
        </row>
        <row r="17">
          <cell r="V17">
            <v>18.778816940829692</v>
          </cell>
        </row>
        <row r="18">
          <cell r="V18">
            <v>18.608543394674392</v>
          </cell>
        </row>
        <row r="19">
          <cell r="V19">
            <v>18.503283286315277</v>
          </cell>
        </row>
        <row r="20">
          <cell r="V20">
            <v>18.224986279138012</v>
          </cell>
        </row>
        <row r="21">
          <cell r="V21">
            <v>18.926086821870189</v>
          </cell>
        </row>
        <row r="22">
          <cell r="V22">
            <v>20.455147299668671</v>
          </cell>
        </row>
        <row r="23">
          <cell r="V23">
            <v>20.203532146392931</v>
          </cell>
        </row>
        <row r="24">
          <cell r="V24">
            <v>21.247999866022315</v>
          </cell>
        </row>
      </sheetData>
      <sheetData sheetId="45"/>
      <sheetData sheetId="46">
        <row r="10">
          <cell r="V10">
            <v>2.5583103867967103</v>
          </cell>
        </row>
        <row r="16">
          <cell r="V16">
            <v>19.483951034769923</v>
          </cell>
        </row>
        <row r="17">
          <cell r="V17">
            <v>19.647923568430823</v>
          </cell>
        </row>
        <row r="18">
          <cell r="V18">
            <v>19.459123383257509</v>
          </cell>
        </row>
        <row r="19">
          <cell r="V19">
            <v>20.151368199194046</v>
          </cell>
        </row>
        <row r="20">
          <cell r="V20">
            <v>19.441329190371913</v>
          </cell>
        </row>
        <row r="21">
          <cell r="V21">
            <v>19.777142044481199</v>
          </cell>
        </row>
        <row r="22">
          <cell r="V22">
            <v>19.08301940525774</v>
          </cell>
        </row>
        <row r="23">
          <cell r="V23">
            <v>18.423082104573091</v>
          </cell>
        </row>
        <row r="24">
          <cell r="V24">
            <v>20.965152647819846</v>
          </cell>
        </row>
      </sheetData>
      <sheetData sheetId="47"/>
      <sheetData sheetId="48">
        <row r="10">
          <cell r="V10">
            <v>2.399999999999999</v>
          </cell>
        </row>
        <row r="16">
          <cell r="V16">
            <v>20.716347420451122</v>
          </cell>
        </row>
        <row r="17">
          <cell r="V17">
            <v>20.26301083302879</v>
          </cell>
        </row>
        <row r="18">
          <cell r="V18">
            <v>20.038598336504133</v>
          </cell>
        </row>
        <row r="19">
          <cell r="V19">
            <v>19.696245712851976</v>
          </cell>
        </row>
        <row r="20">
          <cell r="V20">
            <v>20.834112088181097</v>
          </cell>
        </row>
        <row r="21">
          <cell r="V21">
            <v>20.192219676879674</v>
          </cell>
        </row>
        <row r="22">
          <cell r="V22">
            <v>20.034893882892181</v>
          </cell>
        </row>
        <row r="23">
          <cell r="V23">
            <v>19.607003776029053</v>
          </cell>
        </row>
        <row r="24">
          <cell r="V24">
            <v>19.836392252765567</v>
          </cell>
        </row>
      </sheetData>
      <sheetData sheetId="49"/>
      <sheetData sheetId="50">
        <row r="10">
          <cell r="V10">
            <v>2.6999999999999971</v>
          </cell>
        </row>
        <row r="16">
          <cell r="V16">
            <v>21.381654727910806</v>
          </cell>
        </row>
        <row r="17">
          <cell r="V17">
            <v>22.224841521322453</v>
          </cell>
        </row>
        <row r="18">
          <cell r="V18">
            <v>21.117992642526655</v>
          </cell>
        </row>
        <row r="19">
          <cell r="V19">
            <v>20.43600986695359</v>
          </cell>
        </row>
        <row r="20">
          <cell r="V20">
            <v>20.607324162685831</v>
          </cell>
        </row>
        <row r="21">
          <cell r="V21">
            <v>20.762298744931282</v>
          </cell>
        </row>
        <row r="22">
          <cell r="V22">
            <v>21.061183281893779</v>
          </cell>
        </row>
        <row r="23">
          <cell r="V23">
            <v>20.673507830130561</v>
          </cell>
        </row>
        <row r="24">
          <cell r="V24">
            <v>20.958501852161429</v>
          </cell>
        </row>
      </sheetData>
      <sheetData sheetId="51"/>
      <sheetData sheetId="52">
        <row r="10">
          <cell r="V10">
            <v>2.9000000000000008</v>
          </cell>
        </row>
        <row r="16">
          <cell r="V16">
            <v>21.644130922333989</v>
          </cell>
        </row>
        <row r="17">
          <cell r="V17">
            <v>21.565534162639711</v>
          </cell>
        </row>
        <row r="18">
          <cell r="V18">
            <v>21.358822786696336</v>
          </cell>
        </row>
        <row r="19">
          <cell r="V19">
            <v>21.118342467490983</v>
          </cell>
        </row>
        <row r="20">
          <cell r="V20">
            <v>21.02218961017514</v>
          </cell>
        </row>
        <row r="21">
          <cell r="V21">
            <v>21.063718165594114</v>
          </cell>
        </row>
        <row r="22">
          <cell r="V22">
            <v>20.821692489904223</v>
          </cell>
        </row>
        <row r="23">
          <cell r="V23">
            <v>20.963853068602287</v>
          </cell>
        </row>
        <row r="24">
          <cell r="V24">
            <v>21.825941075609506</v>
          </cell>
        </row>
      </sheetData>
      <sheetData sheetId="53"/>
      <sheetData sheetId="54">
        <row r="10">
          <cell r="V10">
            <v>2.8000000000000003</v>
          </cell>
        </row>
        <row r="16">
          <cell r="V16">
            <v>20.447670967020194</v>
          </cell>
        </row>
        <row r="17">
          <cell r="V17">
            <v>19.983211329819337</v>
          </cell>
        </row>
        <row r="18">
          <cell r="V18">
            <v>19.894534095743651</v>
          </cell>
        </row>
        <row r="19">
          <cell r="V19">
            <v>20.795623959963365</v>
          </cell>
        </row>
        <row r="20">
          <cell r="V20">
            <v>20.995835840064654</v>
          </cell>
        </row>
        <row r="21">
          <cell r="V21">
            <v>21.319356170861496</v>
          </cell>
        </row>
        <row r="22">
          <cell r="V22">
            <v>21.318259449422126</v>
          </cell>
        </row>
        <row r="23">
          <cell r="V23">
            <v>21.479608323877496</v>
          </cell>
        </row>
        <row r="24">
          <cell r="V24">
            <v>21.322190258285517</v>
          </cell>
        </row>
      </sheetData>
      <sheetData sheetId="55"/>
      <sheetData sheetId="56">
        <row r="10">
          <cell r="V10">
            <v>2.7693431189444064</v>
          </cell>
        </row>
        <row r="16">
          <cell r="V16">
            <v>20.737178189258682</v>
          </cell>
        </row>
        <row r="17">
          <cell r="V17">
            <v>20.410399640344131</v>
          </cell>
        </row>
        <row r="18">
          <cell r="V18">
            <v>20.556171232230341</v>
          </cell>
        </row>
        <row r="19">
          <cell r="V19">
            <v>20.165040000589194</v>
          </cell>
        </row>
        <row r="20">
          <cell r="V20">
            <v>20.648532420019698</v>
          </cell>
        </row>
        <row r="21">
          <cell r="V21">
            <v>20.309287428941815</v>
          </cell>
        </row>
        <row r="22">
          <cell r="V22">
            <v>21.462163742201835</v>
          </cell>
        </row>
        <row r="23">
          <cell r="V23">
            <v>20.213052862318516</v>
          </cell>
        </row>
        <row r="24">
          <cell r="V24">
            <v>20.560536317378176</v>
          </cell>
        </row>
      </sheetData>
      <sheetData sheetId="57"/>
      <sheetData sheetId="58">
        <row r="10">
          <cell r="V10">
            <v>2.7693431189444042</v>
          </cell>
        </row>
        <row r="16">
          <cell r="V16">
            <v>21.224075379655229</v>
          </cell>
        </row>
        <row r="17">
          <cell r="V17">
            <v>21.218262991787782</v>
          </cell>
        </row>
        <row r="18">
          <cell r="V18">
            <v>21.571564486582517</v>
          </cell>
        </row>
        <row r="19">
          <cell r="V19">
            <v>21.868490426027147</v>
          </cell>
        </row>
        <row r="20">
          <cell r="V20">
            <v>21.681260391758723</v>
          </cell>
        </row>
        <row r="21">
          <cell r="V21">
            <v>22.07814845698195</v>
          </cell>
        </row>
        <row r="22">
          <cell r="V22">
            <v>21.735764858183781</v>
          </cell>
        </row>
        <row r="23">
          <cell r="V23">
            <v>24.416995084684036</v>
          </cell>
        </row>
        <row r="24">
          <cell r="V24">
            <v>22.839823713920669</v>
          </cell>
        </row>
      </sheetData>
      <sheetData sheetId="59"/>
      <sheetData sheetId="60">
        <row r="10">
          <cell r="V10">
            <v>2.9578490283238437</v>
          </cell>
        </row>
        <row r="16">
          <cell r="V16">
            <v>21.784452913764792</v>
          </cell>
        </row>
        <row r="17">
          <cell r="V17">
            <v>20.780228156232127</v>
          </cell>
        </row>
        <row r="18">
          <cell r="V18">
            <v>20.092638056636467</v>
          </cell>
        </row>
        <row r="19">
          <cell r="V19">
            <v>21.003335684184673</v>
          </cell>
        </row>
        <row r="20">
          <cell r="V20">
            <v>21.532729469008519</v>
          </cell>
        </row>
        <row r="21">
          <cell r="V21">
            <v>20.924558703362916</v>
          </cell>
        </row>
        <row r="22">
          <cell r="V22">
            <v>19.144212693187139</v>
          </cell>
        </row>
        <row r="23">
          <cell r="V23">
            <v>18.769984853545711</v>
          </cell>
        </row>
        <row r="24">
          <cell r="V24">
            <v>19.056809700745809</v>
          </cell>
        </row>
      </sheetData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0">
          <cell r="V10">
            <v>3.0999999999999996</v>
          </cell>
        </row>
        <row r="16">
          <cell r="V16">
            <v>21.224053709373354</v>
          </cell>
        </row>
        <row r="17">
          <cell r="V17">
            <v>21.416024442461921</v>
          </cell>
        </row>
        <row r="18">
          <cell r="V18">
            <v>20.5067755119677</v>
          </cell>
        </row>
        <row r="19">
          <cell r="V19">
            <v>20.365634523994395</v>
          </cell>
        </row>
        <row r="20">
          <cell r="V20">
            <v>21.087061909389138</v>
          </cell>
        </row>
        <row r="21">
          <cell r="V21">
            <v>20.599843464510833</v>
          </cell>
        </row>
        <row r="22">
          <cell r="V22">
            <v>20.19676089845661</v>
          </cell>
        </row>
        <row r="23">
          <cell r="V23">
            <v>18.448815095234565</v>
          </cell>
        </row>
        <row r="24">
          <cell r="V24">
            <v>21.032682390232022</v>
          </cell>
        </row>
      </sheetData>
      <sheetData sheetId="5"/>
      <sheetData sheetId="6">
        <row r="10">
          <cell r="V10">
            <v>2.7580798012435754</v>
          </cell>
        </row>
        <row r="16">
          <cell r="V16">
            <v>18.201606398905732</v>
          </cell>
        </row>
        <row r="17">
          <cell r="V17">
            <v>18.52743931593087</v>
          </cell>
        </row>
        <row r="18">
          <cell r="V18">
            <v>17.061713579717129</v>
          </cell>
        </row>
        <row r="19">
          <cell r="V19">
            <v>16.36032770026009</v>
          </cell>
        </row>
        <row r="20">
          <cell r="V20">
            <v>15.756940270284385</v>
          </cell>
        </row>
        <row r="21">
          <cell r="V21">
            <v>17.407846188178461</v>
          </cell>
        </row>
        <row r="22">
          <cell r="V22">
            <v>18.087472005474446</v>
          </cell>
        </row>
        <row r="23">
          <cell r="V23">
            <v>17.999568049320597</v>
          </cell>
        </row>
        <row r="24">
          <cell r="V24">
            <v>18.417133084970565</v>
          </cell>
        </row>
      </sheetData>
      <sheetData sheetId="7"/>
      <sheetData sheetId="8">
        <row r="10">
          <cell r="V10">
            <v>2.6148849062323349</v>
          </cell>
        </row>
        <row r="16">
          <cell r="V16">
            <v>17.556262417883886</v>
          </cell>
        </row>
        <row r="17">
          <cell r="V17">
            <v>17.421158542164974</v>
          </cell>
        </row>
        <row r="18">
          <cell r="V18">
            <v>17.647948172698818</v>
          </cell>
        </row>
        <row r="19">
          <cell r="V19">
            <v>18.074507482290354</v>
          </cell>
        </row>
        <row r="20">
          <cell r="V20">
            <v>18.740797185300885</v>
          </cell>
        </row>
        <row r="21">
          <cell r="V21">
            <v>19.118808293645156</v>
          </cell>
        </row>
        <row r="22">
          <cell r="V22">
            <v>17.124523101921291</v>
          </cell>
        </row>
        <row r="23">
          <cell r="V23">
            <v>20.01976041800366</v>
          </cell>
        </row>
        <row r="24">
          <cell r="V24">
            <v>21.371722125794157</v>
          </cell>
        </row>
      </sheetData>
      <sheetData sheetId="9"/>
      <sheetData sheetId="10">
        <row r="10">
          <cell r="V10">
            <v>2.5583103867967103</v>
          </cell>
        </row>
        <row r="16">
          <cell r="V16">
            <v>19.250059636813273</v>
          </cell>
        </row>
        <row r="17">
          <cell r="V17">
            <v>18.90412830787357</v>
          </cell>
        </row>
        <row r="18">
          <cell r="V18">
            <v>18.736600263399723</v>
          </cell>
        </row>
        <row r="19">
          <cell r="V19">
            <v>18.689424817921591</v>
          </cell>
        </row>
        <row r="20">
          <cell r="V20">
            <v>18.32153118368414</v>
          </cell>
        </row>
        <row r="21">
          <cell r="V21">
            <v>19.394120389537147</v>
          </cell>
        </row>
        <row r="22">
          <cell r="V22">
            <v>17.173016353422167</v>
          </cell>
        </row>
        <row r="23">
          <cell r="V23">
            <v>16.340147588854776</v>
          </cell>
        </row>
        <row r="24">
          <cell r="V24">
            <v>21.312399576922207</v>
          </cell>
        </row>
      </sheetData>
      <sheetData sheetId="11"/>
      <sheetData sheetId="12">
        <row r="10">
          <cell r="V10">
            <v>2.5151165069729742</v>
          </cell>
        </row>
        <row r="16">
          <cell r="V16">
            <v>21.040079173958652</v>
          </cell>
        </row>
        <row r="17">
          <cell r="V17">
            <v>21.012035669850285</v>
          </cell>
        </row>
        <row r="18">
          <cell r="V18">
            <v>20.922366077473665</v>
          </cell>
        </row>
        <row r="19">
          <cell r="V19">
            <v>19.996785534164548</v>
          </cell>
        </row>
        <row r="20">
          <cell r="V20">
            <v>20.618000133245989</v>
          </cell>
        </row>
        <row r="21">
          <cell r="V21">
            <v>20.50593240375796</v>
          </cell>
        </row>
        <row r="22">
          <cell r="V22">
            <v>20.601165463580617</v>
          </cell>
        </row>
        <row r="23">
          <cell r="V23">
            <v>19.718680673019659</v>
          </cell>
        </row>
        <row r="24">
          <cell r="V24">
            <v>22.486446732218841</v>
          </cell>
        </row>
      </sheetData>
      <sheetData sheetId="13"/>
      <sheetData sheetId="14">
        <row r="10">
          <cell r="V10">
            <v>2.399999999999999</v>
          </cell>
        </row>
        <row r="16">
          <cell r="V16">
            <v>21.241643141575825</v>
          </cell>
        </row>
        <row r="17">
          <cell r="V17">
            <v>20.694861892738125</v>
          </cell>
        </row>
        <row r="18">
          <cell r="V18">
            <v>20.511051870871537</v>
          </cell>
        </row>
        <row r="19">
          <cell r="V19">
            <v>19.53238573341795</v>
          </cell>
        </row>
        <row r="20">
          <cell r="V20">
            <v>19.498534330286287</v>
          </cell>
        </row>
        <row r="21">
          <cell r="V21">
            <v>20.260448701711088</v>
          </cell>
        </row>
        <row r="22">
          <cell r="V22">
            <v>20.826572728303926</v>
          </cell>
        </row>
        <row r="23">
          <cell r="V23">
            <v>19.445373261590738</v>
          </cell>
        </row>
        <row r="24">
          <cell r="V24">
            <v>20.079236045379755</v>
          </cell>
        </row>
      </sheetData>
      <sheetData sheetId="15"/>
      <sheetData sheetId="16">
        <row r="10">
          <cell r="V10">
            <v>3.057733571601585</v>
          </cell>
        </row>
        <row r="16">
          <cell r="V16">
            <v>19.61273457563426</v>
          </cell>
        </row>
        <row r="17">
          <cell r="V17">
            <v>20.012563525111126</v>
          </cell>
        </row>
        <row r="18">
          <cell r="V18">
            <v>20.130725185536612</v>
          </cell>
        </row>
        <row r="19">
          <cell r="V19">
            <v>20.192731953695038</v>
          </cell>
        </row>
        <row r="20">
          <cell r="V20">
            <v>20.616065679347646</v>
          </cell>
        </row>
        <row r="21">
          <cell r="V21">
            <v>20.834325148550683</v>
          </cell>
        </row>
        <row r="22">
          <cell r="V22">
            <v>20.930278347222675</v>
          </cell>
        </row>
        <row r="23">
          <cell r="V23">
            <v>20.783056028126929</v>
          </cell>
        </row>
        <row r="24">
          <cell r="V24">
            <v>20.94643717767747</v>
          </cell>
        </row>
      </sheetData>
      <sheetData sheetId="17"/>
      <sheetData sheetId="18">
        <row r="10">
          <cell r="V10">
            <v>2.9141895400442941</v>
          </cell>
        </row>
        <row r="16">
          <cell r="V16">
            <v>20.177955086411142</v>
          </cell>
        </row>
        <row r="17">
          <cell r="V17">
            <v>20.173242668392977</v>
          </cell>
        </row>
        <row r="18">
          <cell r="V18">
            <v>20.046755460479108</v>
          </cell>
        </row>
        <row r="19">
          <cell r="V19">
            <v>20.316675557082803</v>
          </cell>
        </row>
        <row r="20">
          <cell r="V20">
            <v>20.185424509463864</v>
          </cell>
        </row>
        <row r="21">
          <cell r="V21">
            <v>19.878246009080357</v>
          </cell>
        </row>
        <row r="22">
          <cell r="V22">
            <v>20.562170540819842</v>
          </cell>
        </row>
        <row r="23">
          <cell r="V23">
            <v>19.666163540566952</v>
          </cell>
        </row>
        <row r="24">
          <cell r="V24">
            <v>22.424103757810659</v>
          </cell>
        </row>
      </sheetData>
      <sheetData sheetId="19"/>
      <sheetData sheetId="20">
        <row r="10">
          <cell r="V10">
            <v>3.2</v>
          </cell>
        </row>
        <row r="16">
          <cell r="V16">
            <v>21.784577997898658</v>
          </cell>
        </row>
        <row r="17">
          <cell r="V17">
            <v>22.215636659083689</v>
          </cell>
        </row>
        <row r="18">
          <cell r="V18">
            <v>22.319597985793109</v>
          </cell>
        </row>
        <row r="19">
          <cell r="V19">
            <v>22.222632119756291</v>
          </cell>
        </row>
        <row r="20">
          <cell r="V20">
            <v>21.963226775615436</v>
          </cell>
        </row>
        <row r="21">
          <cell r="V21">
            <v>20.958500569612781</v>
          </cell>
        </row>
        <row r="22">
          <cell r="V22">
            <v>21.476676794982193</v>
          </cell>
        </row>
        <row r="23">
          <cell r="V23">
            <v>21.283343570047517</v>
          </cell>
        </row>
        <row r="24">
          <cell r="V24">
            <v>22.046213467270917</v>
          </cell>
        </row>
      </sheetData>
      <sheetData sheetId="21"/>
      <sheetData sheetId="22">
        <row r="10">
          <cell r="V10">
            <v>3.2999999999999989</v>
          </cell>
        </row>
        <row r="16">
          <cell r="V16">
            <v>21.268829743343751</v>
          </cell>
        </row>
        <row r="17">
          <cell r="V17">
            <v>21.378993821443281</v>
          </cell>
        </row>
        <row r="18">
          <cell r="V18">
            <v>21.624302967945525</v>
          </cell>
        </row>
        <row r="19">
          <cell r="V19">
            <v>21.530194862027624</v>
          </cell>
        </row>
        <row r="20">
          <cell r="V20">
            <v>21.224020910962565</v>
          </cell>
        </row>
        <row r="21">
          <cell r="V21">
            <v>23.364394482119799</v>
          </cell>
        </row>
        <row r="22">
          <cell r="V22">
            <v>20.68199196281045</v>
          </cell>
        </row>
        <row r="23">
          <cell r="V23">
            <v>21.553914043080791</v>
          </cell>
        </row>
        <row r="24">
          <cell r="V24">
            <v>20.980284377774208</v>
          </cell>
        </row>
      </sheetData>
      <sheetData sheetId="23"/>
      <sheetData sheetId="24">
        <row r="10">
          <cell r="V10">
            <v>2.8689936812037535</v>
          </cell>
        </row>
        <row r="16">
          <cell r="V16">
            <v>18.942984874698883</v>
          </cell>
        </row>
        <row r="17">
          <cell r="V17">
            <v>18.253504107916175</v>
          </cell>
        </row>
        <row r="18">
          <cell r="V18">
            <v>16.945660554475893</v>
          </cell>
        </row>
        <row r="19">
          <cell r="V19">
            <v>16.362803455716044</v>
          </cell>
        </row>
        <row r="20">
          <cell r="V20">
            <v>16.702915297935185</v>
          </cell>
        </row>
        <row r="21">
          <cell r="V21">
            <v>15.348216599605015</v>
          </cell>
        </row>
        <row r="22">
          <cell r="V22">
            <v>17.019480151450718</v>
          </cell>
        </row>
        <row r="23">
          <cell r="V23">
            <v>18.64051166908413</v>
          </cell>
        </row>
        <row r="24">
          <cell r="V24">
            <v>19.380052472196521</v>
          </cell>
        </row>
      </sheetData>
      <sheetData sheetId="25"/>
      <sheetData sheetId="26">
        <row r="10">
          <cell r="V10">
            <v>2.2586559138134672</v>
          </cell>
        </row>
        <row r="16">
          <cell r="V16">
            <v>16.086644825901296</v>
          </cell>
        </row>
        <row r="17">
          <cell r="V17">
            <v>16.033779361542503</v>
          </cell>
        </row>
        <row r="18">
          <cell r="V18">
            <v>15.483285630448064</v>
          </cell>
        </row>
        <row r="19">
          <cell r="V19">
            <v>14.384997646978373</v>
          </cell>
        </row>
        <row r="20">
          <cell r="V20">
            <v>15.921276130602211</v>
          </cell>
        </row>
        <row r="21">
          <cell r="V21">
            <v>17.750846609504777</v>
          </cell>
        </row>
        <row r="22">
          <cell r="V22">
            <v>19.446929173238203</v>
          </cell>
        </row>
        <row r="23">
          <cell r="V23">
            <v>19.812143236855242</v>
          </cell>
        </row>
        <row r="24">
          <cell r="V24">
            <v>19.496523142341282</v>
          </cell>
        </row>
      </sheetData>
      <sheetData sheetId="27"/>
      <sheetData sheetId="28">
        <row r="10">
          <cell r="V10">
            <v>2.5700415700371524</v>
          </cell>
        </row>
        <row r="16">
          <cell r="V16">
            <v>18.864961210148916</v>
          </cell>
        </row>
        <row r="17">
          <cell r="V17">
            <v>19.238964569059245</v>
          </cell>
        </row>
        <row r="18">
          <cell r="V18">
            <v>19.375868051241707</v>
          </cell>
        </row>
        <row r="19">
          <cell r="V19">
            <v>20.04889323045975</v>
          </cell>
        </row>
        <row r="20">
          <cell r="V20">
            <v>19.762305985408641</v>
          </cell>
        </row>
        <row r="21">
          <cell r="V21">
            <v>18.398483009155342</v>
          </cell>
        </row>
        <row r="22">
          <cell r="V22">
            <v>21.284337133390718</v>
          </cell>
        </row>
        <row r="23">
          <cell r="V23">
            <v>21.285468467289952</v>
          </cell>
        </row>
        <row r="24">
          <cell r="V24">
            <v>20.995044052947616</v>
          </cell>
        </row>
      </sheetData>
      <sheetData sheetId="29"/>
      <sheetData sheetId="30">
        <row r="10">
          <cell r="V10">
            <v>3.9000000000000012</v>
          </cell>
        </row>
        <row r="16">
          <cell r="V16">
            <v>20.93903932868923</v>
          </cell>
        </row>
        <row r="17">
          <cell r="V17">
            <v>20.90666544880883</v>
          </cell>
        </row>
        <row r="18">
          <cell r="V18">
            <v>20.662798149968253</v>
          </cell>
        </row>
        <row r="19">
          <cell r="V19">
            <v>20.756969065943125</v>
          </cell>
        </row>
        <row r="20">
          <cell r="V20">
            <v>20.408401726464255</v>
          </cell>
        </row>
        <row r="21">
          <cell r="V21">
            <v>19.826877471755029</v>
          </cell>
        </row>
        <row r="22">
          <cell r="V22">
            <v>19.733734707243205</v>
          </cell>
        </row>
        <row r="23">
          <cell r="V23">
            <v>18.198460491909728</v>
          </cell>
        </row>
        <row r="24">
          <cell r="V24">
            <v>22.784058205163475</v>
          </cell>
        </row>
      </sheetData>
      <sheetData sheetId="31"/>
      <sheetData sheetId="32">
        <row r="10">
          <cell r="V10">
            <v>3.3999999999999995</v>
          </cell>
        </row>
        <row r="16">
          <cell r="V16">
            <v>21.042256104897145</v>
          </cell>
        </row>
        <row r="17">
          <cell r="V17">
            <v>21.071074305244</v>
          </cell>
        </row>
        <row r="18">
          <cell r="V18">
            <v>20.700434797900623</v>
          </cell>
        </row>
        <row r="19">
          <cell r="V19">
            <v>19.701299735593036</v>
          </cell>
        </row>
        <row r="20">
          <cell r="V20">
            <v>18.691751352404054</v>
          </cell>
        </row>
        <row r="21">
          <cell r="V21">
            <v>17.696281470627831</v>
          </cell>
        </row>
        <row r="22">
          <cell r="V22">
            <v>17.953456182721318</v>
          </cell>
        </row>
        <row r="23">
          <cell r="V23">
            <v>17.152113984145515</v>
          </cell>
        </row>
        <row r="24">
          <cell r="V24">
            <v>17.104536212960763</v>
          </cell>
        </row>
      </sheetData>
      <sheetData sheetId="33"/>
      <sheetData sheetId="34">
        <row r="10">
          <cell r="V10">
            <v>4.1000000000000014</v>
          </cell>
        </row>
        <row r="16">
          <cell r="V16">
            <v>21.07071466318461</v>
          </cell>
        </row>
        <row r="17">
          <cell r="V17">
            <v>20.979514211577154</v>
          </cell>
        </row>
        <row r="18">
          <cell r="V18">
            <v>20.81596445661841</v>
          </cell>
        </row>
        <row r="19">
          <cell r="V19">
            <v>19.878920739315443</v>
          </cell>
        </row>
        <row r="20">
          <cell r="V20">
            <v>19.34778849399116</v>
          </cell>
        </row>
        <row r="21">
          <cell r="V21">
            <v>19.816218510930216</v>
          </cell>
        </row>
        <row r="22">
          <cell r="V22">
            <v>17.687732877043274</v>
          </cell>
        </row>
        <row r="23">
          <cell r="V23">
            <v>19.236649311996334</v>
          </cell>
        </row>
        <row r="24">
          <cell r="V24">
            <v>19.07213938494856</v>
          </cell>
        </row>
      </sheetData>
      <sheetData sheetId="35"/>
      <sheetData sheetId="36">
        <row r="10">
          <cell r="V10">
            <v>2.9999999999999978</v>
          </cell>
        </row>
        <row r="16">
          <cell r="V16">
            <v>21.512794089137834</v>
          </cell>
        </row>
        <row r="17">
          <cell r="V17">
            <v>21.571922730544212</v>
          </cell>
        </row>
        <row r="18">
          <cell r="V18">
            <v>20.909852938210491</v>
          </cell>
        </row>
        <row r="19">
          <cell r="V19">
            <v>20.848210012767996</v>
          </cell>
        </row>
        <row r="20">
          <cell r="V20">
            <v>20.638731921655705</v>
          </cell>
        </row>
        <row r="21">
          <cell r="V21">
            <v>20.23098141671721</v>
          </cell>
        </row>
        <row r="22">
          <cell r="V22">
            <v>21.025970940047394</v>
          </cell>
        </row>
        <row r="23">
          <cell r="V23">
            <v>18.477156305986693</v>
          </cell>
        </row>
        <row r="24">
          <cell r="V24">
            <v>18.743703166784044</v>
          </cell>
        </row>
      </sheetData>
      <sheetData sheetId="37"/>
      <sheetData sheetId="38">
        <row r="10">
          <cell r="V10">
            <v>2.8144214227678632</v>
          </cell>
        </row>
        <row r="16">
          <cell r="V16">
            <v>20.818974228094721</v>
          </cell>
        </row>
        <row r="17">
          <cell r="V17">
            <v>20.598933508779009</v>
          </cell>
        </row>
        <row r="18">
          <cell r="V18">
            <v>21.075283225161332</v>
          </cell>
        </row>
        <row r="19">
          <cell r="V19">
            <v>20.658351091504557</v>
          </cell>
        </row>
        <row r="20">
          <cell r="V20">
            <v>19.365231234268148</v>
          </cell>
        </row>
        <row r="21">
          <cell r="V21">
            <v>20.076545550878418</v>
          </cell>
        </row>
        <row r="22">
          <cell r="V22">
            <v>23.183128665918925</v>
          </cell>
        </row>
        <row r="23">
          <cell r="V23">
            <v>22.729782580817705</v>
          </cell>
        </row>
        <row r="24">
          <cell r="V24">
            <v>23.030970840933968</v>
          </cell>
        </row>
      </sheetData>
      <sheetData sheetId="39"/>
      <sheetData sheetId="40">
        <row r="10">
          <cell r="V10">
            <v>2.6999999999999997</v>
          </cell>
        </row>
        <row r="16">
          <cell r="V16">
            <v>21.544408991262149</v>
          </cell>
        </row>
        <row r="17">
          <cell r="V17">
            <v>22.035236886923052</v>
          </cell>
        </row>
        <row r="18">
          <cell r="V18">
            <v>21.590911496577434</v>
          </cell>
        </row>
        <row r="19">
          <cell r="V19">
            <v>21.466280028350216</v>
          </cell>
        </row>
        <row r="20">
          <cell r="V20">
            <v>21.524688498070724</v>
          </cell>
        </row>
        <row r="21">
          <cell r="V21">
            <v>20.675479195343392</v>
          </cell>
        </row>
        <row r="22">
          <cell r="V22">
            <v>20.538470447393504</v>
          </cell>
        </row>
        <row r="23">
          <cell r="V23">
            <v>20.37624682099538</v>
          </cell>
        </row>
        <row r="24">
          <cell r="V24">
            <v>23.259366421199434</v>
          </cell>
        </row>
      </sheetData>
      <sheetData sheetId="41"/>
      <sheetData sheetId="42">
        <row r="10">
          <cell r="V10">
            <v>3.057733571601585</v>
          </cell>
        </row>
        <row r="16">
          <cell r="V16">
            <v>21.567896525345141</v>
          </cell>
        </row>
        <row r="17">
          <cell r="V17">
            <v>21.613118289962546</v>
          </cell>
        </row>
        <row r="18">
          <cell r="V18">
            <v>21.699943793041708</v>
          </cell>
        </row>
        <row r="19">
          <cell r="V19">
            <v>21.250391234121498</v>
          </cell>
        </row>
        <row r="20">
          <cell r="V20">
            <v>20.809685992047221</v>
          </cell>
        </row>
        <row r="21">
          <cell r="V21">
            <v>20.441616221561894</v>
          </cell>
        </row>
        <row r="22">
          <cell r="V22">
            <v>19.510060057286768</v>
          </cell>
        </row>
        <row r="23">
          <cell r="V23">
            <v>20.129547872223366</v>
          </cell>
        </row>
        <row r="24">
          <cell r="V24">
            <v>20.529315732162097</v>
          </cell>
        </row>
      </sheetData>
      <sheetData sheetId="43"/>
      <sheetData sheetId="44">
        <row r="10">
          <cell r="V10">
            <v>3.2</v>
          </cell>
        </row>
        <row r="16">
          <cell r="V16">
            <v>21.039751195646733</v>
          </cell>
        </row>
        <row r="17">
          <cell r="V17">
            <v>20.630302755400916</v>
          </cell>
        </row>
        <row r="18">
          <cell r="V18">
            <v>21.042440273184841</v>
          </cell>
        </row>
        <row r="19">
          <cell r="V19">
            <v>21.004489715362993</v>
          </cell>
        </row>
        <row r="20">
          <cell r="V20">
            <v>20.988855392104806</v>
          </cell>
        </row>
        <row r="21">
          <cell r="V21">
            <v>20.828236318411808</v>
          </cell>
        </row>
        <row r="22">
          <cell r="V22">
            <v>19.684028671241798</v>
          </cell>
        </row>
        <row r="23">
          <cell r="V23">
            <v>20.649419218726859</v>
          </cell>
        </row>
        <row r="24">
          <cell r="V24">
            <v>20.167710231298891</v>
          </cell>
        </row>
      </sheetData>
      <sheetData sheetId="45"/>
      <sheetData sheetId="46">
        <row r="10">
          <cell r="V10">
            <v>3.057733571601585</v>
          </cell>
        </row>
        <row r="16">
          <cell r="V16">
            <v>19.786342861621755</v>
          </cell>
        </row>
        <row r="17">
          <cell r="V17">
            <v>20.131809233234502</v>
          </cell>
        </row>
        <row r="18">
          <cell r="V18">
            <v>20.089345460708632</v>
          </cell>
        </row>
        <row r="19">
          <cell r="V19">
            <v>20.148152467786232</v>
          </cell>
        </row>
        <row r="20">
          <cell r="V20">
            <v>19.146467204260453</v>
          </cell>
        </row>
        <row r="21">
          <cell r="V21">
            <v>18.999611670256712</v>
          </cell>
        </row>
        <row r="22">
          <cell r="V22">
            <v>18.4986510450961</v>
          </cell>
        </row>
        <row r="23">
          <cell r="V23">
            <v>18.78444915398455</v>
          </cell>
        </row>
        <row r="24">
          <cell r="V24">
            <v>18.032496339982167</v>
          </cell>
        </row>
      </sheetData>
      <sheetData sheetId="47"/>
      <sheetData sheetId="48">
        <row r="10">
          <cell r="V10">
            <v>2.071785222155079</v>
          </cell>
        </row>
        <row r="16">
          <cell r="V16">
            <v>15.451076843654704</v>
          </cell>
        </row>
        <row r="17">
          <cell r="V17">
            <v>15.766598546031002</v>
          </cell>
        </row>
        <row r="18">
          <cell r="V18">
            <v>15.495561969796361</v>
          </cell>
        </row>
        <row r="19">
          <cell r="V19">
            <v>16.073323974885003</v>
          </cell>
        </row>
        <row r="20">
          <cell r="V20">
            <v>16.646124721154813</v>
          </cell>
        </row>
        <row r="21">
          <cell r="V21">
            <v>16.696090382217676</v>
          </cell>
        </row>
        <row r="22">
          <cell r="V22">
            <v>16.645153511935895</v>
          </cell>
        </row>
        <row r="23">
          <cell r="V23">
            <v>16.696439414995258</v>
          </cell>
        </row>
        <row r="24">
          <cell r="V24">
            <v>16.594425399118911</v>
          </cell>
        </row>
      </sheetData>
      <sheetData sheetId="49"/>
      <sheetData sheetId="50">
        <row r="10">
          <cell r="V10">
            <v>2.5999999999999992</v>
          </cell>
        </row>
        <row r="16">
          <cell r="V16">
            <v>17.252468515753257</v>
          </cell>
        </row>
        <row r="17">
          <cell r="V17">
            <v>17.252388097366911</v>
          </cell>
        </row>
        <row r="18">
          <cell r="V18">
            <v>17.82057171435827</v>
          </cell>
        </row>
        <row r="19">
          <cell r="V19">
            <v>17.405463039077315</v>
          </cell>
        </row>
        <row r="20">
          <cell r="V20">
            <v>17.85135435323496</v>
          </cell>
        </row>
        <row r="21">
          <cell r="V21">
            <v>17.888402905535493</v>
          </cell>
        </row>
        <row r="22">
          <cell r="V22">
            <v>17.8896310462492</v>
          </cell>
        </row>
        <row r="23">
          <cell r="V23">
            <v>17.856494209514626</v>
          </cell>
        </row>
        <row r="24">
          <cell r="V24">
            <v>18.651430642480506</v>
          </cell>
        </row>
      </sheetData>
      <sheetData sheetId="51"/>
      <sheetData sheetId="52">
        <row r="10">
          <cell r="V10">
            <v>2.6999999999999997</v>
          </cell>
        </row>
        <row r="16">
          <cell r="V16">
            <v>17.351112767911193</v>
          </cell>
        </row>
        <row r="17">
          <cell r="V17">
            <v>17.507033370866331</v>
          </cell>
        </row>
        <row r="18">
          <cell r="V18">
            <v>17.383621403648142</v>
          </cell>
        </row>
        <row r="19">
          <cell r="V19">
            <v>17.646820251456642</v>
          </cell>
        </row>
        <row r="20">
          <cell r="V20">
            <v>18.437283941094783</v>
          </cell>
        </row>
        <row r="21">
          <cell r="V21">
            <v>18.493015274874409</v>
          </cell>
        </row>
        <row r="22">
          <cell r="V22">
            <v>17.942335514314919</v>
          </cell>
        </row>
        <row r="23">
          <cell r="V23">
            <v>18.465367412155331</v>
          </cell>
        </row>
        <row r="24">
          <cell r="V24">
            <v>18.580183458587111</v>
          </cell>
        </row>
      </sheetData>
      <sheetData sheetId="53"/>
      <sheetData sheetId="54">
        <row r="10">
          <cell r="V10">
            <v>2.2999999999999989</v>
          </cell>
        </row>
        <row r="16">
          <cell r="V16">
            <v>17.102463480005284</v>
          </cell>
        </row>
        <row r="17">
          <cell r="V17">
            <v>18.050528367848916</v>
          </cell>
        </row>
        <row r="18">
          <cell r="V18">
            <v>17.248505487925712</v>
          </cell>
        </row>
        <row r="19">
          <cell r="V19">
            <v>16.469744134373677</v>
          </cell>
        </row>
        <row r="20">
          <cell r="V20">
            <v>16.461910941413826</v>
          </cell>
        </row>
        <row r="21">
          <cell r="V21">
            <v>17.399912898426035</v>
          </cell>
        </row>
        <row r="22">
          <cell r="V22">
            <v>17.060424435559781</v>
          </cell>
        </row>
        <row r="23">
          <cell r="V23">
            <v>17.870244502614742</v>
          </cell>
        </row>
        <row r="24">
          <cell r="V24">
            <v>18.162297790387083</v>
          </cell>
        </row>
      </sheetData>
      <sheetData sheetId="55"/>
      <sheetData sheetId="56">
        <row r="10">
          <cell r="V10">
            <v>2.5583103867967103</v>
          </cell>
        </row>
        <row r="16">
          <cell r="V16">
            <v>17.211555660415456</v>
          </cell>
        </row>
        <row r="17">
          <cell r="V17">
            <v>16.600363671913236</v>
          </cell>
        </row>
        <row r="18">
          <cell r="V18">
            <v>16.809833839511814</v>
          </cell>
        </row>
        <row r="19">
          <cell r="V19">
            <v>16.767081233688241</v>
          </cell>
        </row>
        <row r="20">
          <cell r="V20">
            <v>17.530033430970626</v>
          </cell>
        </row>
        <row r="21">
          <cell r="V21">
            <v>17.793240530374725</v>
          </cell>
        </row>
        <row r="22">
          <cell r="V22">
            <v>17.279438072571622</v>
          </cell>
        </row>
        <row r="23">
          <cell r="V23">
            <v>17.627993027820498</v>
          </cell>
        </row>
        <row r="24">
          <cell r="V24">
            <v>17.84243514613366</v>
          </cell>
        </row>
      </sheetData>
      <sheetData sheetId="57"/>
      <sheetData sheetId="58">
        <row r="10">
          <cell r="V10">
            <v>2.4584256093107202</v>
          </cell>
        </row>
        <row r="16">
          <cell r="V16">
            <v>18.213310275340611</v>
          </cell>
        </row>
        <row r="17">
          <cell r="V17">
            <v>18.368766059301262</v>
          </cell>
        </row>
        <row r="18">
          <cell r="V18">
            <v>18.672375164218376</v>
          </cell>
        </row>
        <row r="19">
          <cell r="V19">
            <v>19.235256116671252</v>
          </cell>
        </row>
        <row r="20">
          <cell r="V20">
            <v>19.438111293169499</v>
          </cell>
        </row>
        <row r="21">
          <cell r="V21">
            <v>19.438195100143201</v>
          </cell>
        </row>
        <row r="22">
          <cell r="V22">
            <v>19.945367992439575</v>
          </cell>
        </row>
        <row r="23">
          <cell r="V23">
            <v>19.612791719034597</v>
          </cell>
        </row>
        <row r="24">
          <cell r="V24">
            <v>19.364761626017756</v>
          </cell>
        </row>
      </sheetData>
      <sheetData sheetId="59"/>
      <sheetData sheetId="60">
        <row r="10">
          <cell r="V10">
            <v>2.8000000000000003</v>
          </cell>
        </row>
        <row r="16">
          <cell r="V16">
            <v>19.469003086096237</v>
          </cell>
        </row>
        <row r="17">
          <cell r="V17">
            <v>19.785747187988356</v>
          </cell>
        </row>
        <row r="18">
          <cell r="V18">
            <v>19.556318516513656</v>
          </cell>
        </row>
        <row r="19">
          <cell r="V19">
            <v>19.450492569313614</v>
          </cell>
        </row>
        <row r="20">
          <cell r="V20">
            <v>19.122134002782015</v>
          </cell>
        </row>
        <row r="21">
          <cell r="V21">
            <v>19.269400025101373</v>
          </cell>
        </row>
        <row r="22">
          <cell r="V22">
            <v>19.202074524755528</v>
          </cell>
        </row>
        <row r="23">
          <cell r="V23">
            <v>19.399837832271619</v>
          </cell>
        </row>
        <row r="24">
          <cell r="V24">
            <v>20.119646164685335</v>
          </cell>
        </row>
      </sheetData>
      <sheetData sheetId="61"/>
      <sheetData sheetId="62">
        <row r="10">
          <cell r="V10">
            <v>2.4153480137190386</v>
          </cell>
        </row>
        <row r="16">
          <cell r="V16">
            <v>18.931801680097099</v>
          </cell>
        </row>
        <row r="17">
          <cell r="V17">
            <v>18.841359132752672</v>
          </cell>
        </row>
        <row r="18">
          <cell r="V18">
            <v>18.695978150194446</v>
          </cell>
        </row>
        <row r="19">
          <cell r="V19">
            <v>18.525750414857296</v>
          </cell>
        </row>
        <row r="20">
          <cell r="V20">
            <v>18.635943114270759</v>
          </cell>
        </row>
        <row r="21">
          <cell r="V21">
            <v>19.401093459743347</v>
          </cell>
        </row>
        <row r="22">
          <cell r="V22">
            <v>18.752508107337565</v>
          </cell>
        </row>
        <row r="23">
          <cell r="V23">
            <v>19.502005150027983</v>
          </cell>
        </row>
        <row r="24">
          <cell r="V24">
            <v>19.83882595314185</v>
          </cell>
        </row>
      </sheetData>
      <sheetData sheetId="63"/>
      <sheetData sheetId="64">
        <row r="10">
          <cell r="V10">
            <v>2.1999999999999984</v>
          </cell>
        </row>
        <row r="16">
          <cell r="V16">
            <v>15.734296269646137</v>
          </cell>
        </row>
        <row r="17">
          <cell r="V17">
            <v>18.535815928119966</v>
          </cell>
        </row>
        <row r="18">
          <cell r="V18">
            <v>17.296306764452016</v>
          </cell>
        </row>
        <row r="19">
          <cell r="V19">
            <v>16.656853769377982</v>
          </cell>
        </row>
        <row r="20">
          <cell r="V20">
            <v>12.993698237050062</v>
          </cell>
        </row>
        <row r="21">
          <cell r="V21">
            <v>12.090559953063087</v>
          </cell>
        </row>
        <row r="22">
          <cell r="V22">
            <v>11.638494767753356</v>
          </cell>
        </row>
        <row r="23">
          <cell r="V23">
            <v>11.583643067552989</v>
          </cell>
        </row>
        <row r="24">
          <cell r="V24">
            <v>12.267300960565752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0">
          <cell r="V10">
            <v>2.4584256093107228</v>
          </cell>
        </row>
        <row r="16">
          <cell r="V16">
            <v>17.77443957391808</v>
          </cell>
        </row>
        <row r="17">
          <cell r="V17">
            <v>16.34221672628847</v>
          </cell>
        </row>
        <row r="18">
          <cell r="V18">
            <v>17.035014608199138</v>
          </cell>
        </row>
        <row r="19">
          <cell r="V19">
            <v>15.977333052635331</v>
          </cell>
        </row>
        <row r="20">
          <cell r="V20">
            <v>15.165004106731971</v>
          </cell>
        </row>
        <row r="21">
          <cell r="V21">
            <v>13.378297282916131</v>
          </cell>
        </row>
        <row r="22">
          <cell r="V22">
            <v>10.290322006594408</v>
          </cell>
        </row>
        <row r="23">
          <cell r="V23">
            <v>10.581032779284666</v>
          </cell>
        </row>
        <row r="24">
          <cell r="V24">
            <v>12.080124644796314</v>
          </cell>
        </row>
      </sheetData>
      <sheetData sheetId="5"/>
      <sheetData sheetId="6">
        <row r="10">
          <cell r="V10">
            <v>2.5999999999999992</v>
          </cell>
        </row>
        <row r="16">
          <cell r="V16">
            <v>18.081624394752538</v>
          </cell>
        </row>
        <row r="17">
          <cell r="V17">
            <v>18.108759604302893</v>
          </cell>
        </row>
        <row r="18">
          <cell r="V18">
            <v>18.575222393637876</v>
          </cell>
        </row>
        <row r="19">
          <cell r="V19">
            <v>18.109213635307636</v>
          </cell>
        </row>
        <row r="20">
          <cell r="V20">
            <v>17.422397649827566</v>
          </cell>
        </row>
        <row r="21">
          <cell r="V21">
            <v>15.725912835426652</v>
          </cell>
        </row>
        <row r="22">
          <cell r="V22">
            <v>15.792930981289381</v>
          </cell>
        </row>
        <row r="23">
          <cell r="V23">
            <v>17.004796131977287</v>
          </cell>
        </row>
        <row r="24">
          <cell r="V24">
            <v>20.846179637591106</v>
          </cell>
        </row>
      </sheetData>
      <sheetData sheetId="7"/>
      <sheetData sheetId="8">
        <row r="10">
          <cell r="V10">
            <v>1.7999999999999983</v>
          </cell>
        </row>
        <row r="16">
          <cell r="V16">
            <v>18.729118157115543</v>
          </cell>
        </row>
        <row r="17">
          <cell r="V17">
            <v>18.846799599499384</v>
          </cell>
        </row>
        <row r="18">
          <cell r="V18">
            <v>17.493856153533976</v>
          </cell>
        </row>
        <row r="19">
          <cell r="V19">
            <v>18.198330473657307</v>
          </cell>
        </row>
        <row r="20">
          <cell r="V20">
            <v>18.490091172645688</v>
          </cell>
        </row>
        <row r="21">
          <cell r="V21">
            <v>17.60296792653104</v>
          </cell>
        </row>
        <row r="22">
          <cell r="V22">
            <v>17.898354907603611</v>
          </cell>
        </row>
        <row r="23">
          <cell r="V23">
            <v>17.29328459465518</v>
          </cell>
        </row>
        <row r="24">
          <cell r="V24">
            <v>20.126323769749355</v>
          </cell>
        </row>
      </sheetData>
      <sheetData sheetId="9"/>
      <sheetData sheetId="10">
        <row r="10">
          <cell r="V10">
            <v>2.0000000000000013</v>
          </cell>
        </row>
        <row r="16">
          <cell r="V16">
            <v>17.50292371147053</v>
          </cell>
        </row>
        <row r="17">
          <cell r="V17">
            <v>18.525962697558771</v>
          </cell>
        </row>
        <row r="18">
          <cell r="V18">
            <v>19.052960338712197</v>
          </cell>
        </row>
        <row r="19">
          <cell r="V19">
            <v>18.817899304327501</v>
          </cell>
        </row>
        <row r="20">
          <cell r="V20">
            <v>18.778368745845938</v>
          </cell>
        </row>
        <row r="21">
          <cell r="V21">
            <v>18.459334691001573</v>
          </cell>
        </row>
        <row r="22">
          <cell r="V22">
            <v>17.655409834621732</v>
          </cell>
        </row>
        <row r="23">
          <cell r="V23">
            <v>16.381322606067165</v>
          </cell>
        </row>
        <row r="24">
          <cell r="V24">
            <v>19.291606841449834</v>
          </cell>
        </row>
      </sheetData>
      <sheetData sheetId="11"/>
      <sheetData sheetId="12">
        <row r="10">
          <cell r="V10">
            <v>2.0999999999999992</v>
          </cell>
        </row>
        <row r="16">
          <cell r="V16">
            <v>18.739460137800599</v>
          </cell>
        </row>
        <row r="17">
          <cell r="V17">
            <v>18.728564100413291</v>
          </cell>
        </row>
        <row r="18">
          <cell r="V18">
            <v>18.525333635835107</v>
          </cell>
        </row>
        <row r="19">
          <cell r="V19">
            <v>18.094306773578754</v>
          </cell>
        </row>
        <row r="20">
          <cell r="V20">
            <v>16.611986916009197</v>
          </cell>
        </row>
        <row r="21">
          <cell r="V21">
            <v>14.383402083110456</v>
          </cell>
        </row>
        <row r="22">
          <cell r="V22">
            <v>12.348910252339087</v>
          </cell>
        </row>
        <row r="23">
          <cell r="V23">
            <v>13.547261040756268</v>
          </cell>
        </row>
        <row r="24">
          <cell r="V24">
            <v>14.452309443258509</v>
          </cell>
        </row>
      </sheetData>
      <sheetData sheetId="13"/>
      <sheetData sheetId="14">
        <row r="10">
          <cell r="V10">
            <v>2.9000000000000008</v>
          </cell>
        </row>
        <row r="16">
          <cell r="V16">
            <v>18.853327182044538</v>
          </cell>
        </row>
        <row r="17">
          <cell r="V17">
            <v>18.007190738251616</v>
          </cell>
        </row>
        <row r="18">
          <cell r="V18">
            <v>17.805567786483291</v>
          </cell>
        </row>
        <row r="19">
          <cell r="V19">
            <v>17.168521495467083</v>
          </cell>
        </row>
        <row r="20">
          <cell r="V20">
            <v>17.524917245191002</v>
          </cell>
        </row>
        <row r="21">
          <cell r="V21">
            <v>18.246047213017771</v>
          </cell>
        </row>
        <row r="22">
          <cell r="V22">
            <v>18.854120210738159</v>
          </cell>
        </row>
        <row r="23">
          <cell r="V23">
            <v>19.009379664532496</v>
          </cell>
        </row>
        <row r="24">
          <cell r="V24">
            <v>18.999749666904933</v>
          </cell>
        </row>
      </sheetData>
      <sheetData sheetId="15"/>
      <sheetData sheetId="16">
        <row r="10">
          <cell r="V10">
            <v>2.6999999999999997</v>
          </cell>
        </row>
        <row r="16">
          <cell r="V16">
            <v>17.773050476184942</v>
          </cell>
        </row>
        <row r="17">
          <cell r="V17">
            <v>17.794191929788628</v>
          </cell>
        </row>
        <row r="18">
          <cell r="V18">
            <v>17.972985828527356</v>
          </cell>
        </row>
        <row r="19">
          <cell r="V19">
            <v>17.659260531575704</v>
          </cell>
        </row>
        <row r="20">
          <cell r="V20">
            <v>18.560724615439423</v>
          </cell>
        </row>
        <row r="21">
          <cell r="V21">
            <v>17.446457077836623</v>
          </cell>
        </row>
        <row r="22">
          <cell r="V22">
            <v>17.237891073364388</v>
          </cell>
        </row>
        <row r="23">
          <cell r="V23">
            <v>19.268696901507273</v>
          </cell>
        </row>
        <row r="24">
          <cell r="V24">
            <v>18.668208804516823</v>
          </cell>
        </row>
      </sheetData>
      <sheetData sheetId="17"/>
      <sheetData sheetId="18">
        <row r="10">
          <cell r="V10">
            <v>2.5999999999999992</v>
          </cell>
        </row>
        <row r="16">
          <cell r="V16">
            <v>18.38751531163182</v>
          </cell>
        </row>
        <row r="17">
          <cell r="V17">
            <v>18.671530696999454</v>
          </cell>
        </row>
        <row r="18">
          <cell r="V18">
            <v>18.513140757916084</v>
          </cell>
        </row>
        <row r="19">
          <cell r="V19">
            <v>18.44825146952974</v>
          </cell>
        </row>
        <row r="20">
          <cell r="V20">
            <v>18.352351598010497</v>
          </cell>
        </row>
        <row r="21">
          <cell r="V21">
            <v>18.438787951679792</v>
          </cell>
        </row>
        <row r="22">
          <cell r="V22">
            <v>18.711743766131548</v>
          </cell>
        </row>
        <row r="23">
          <cell r="V23">
            <v>19.139027352799026</v>
          </cell>
        </row>
        <row r="24">
          <cell r="V24">
            <v>20.285754837994141</v>
          </cell>
        </row>
      </sheetData>
      <sheetData sheetId="19"/>
      <sheetData sheetId="20">
        <row r="10">
          <cell r="V10">
            <v>2.7000000000000024</v>
          </cell>
        </row>
        <row r="16">
          <cell r="V16">
            <v>18.206743110518744</v>
          </cell>
        </row>
        <row r="17">
          <cell r="V17">
            <v>19.808497317926186</v>
          </cell>
        </row>
        <row r="18">
          <cell r="V18">
            <v>20.133030961519424</v>
          </cell>
        </row>
        <row r="19">
          <cell r="V19">
            <v>19.159214649102623</v>
          </cell>
        </row>
        <row r="20">
          <cell r="V20">
            <v>17.813353317927241</v>
          </cell>
        </row>
        <row r="21">
          <cell r="V21">
            <v>17.996470022708287</v>
          </cell>
        </row>
        <row r="22">
          <cell r="V22">
            <v>18.272815380099754</v>
          </cell>
        </row>
        <row r="23">
          <cell r="V23">
            <v>17.804879690388475</v>
          </cell>
        </row>
        <row r="24">
          <cell r="V24">
            <v>19.197519036972185</v>
          </cell>
        </row>
      </sheetData>
      <sheetData sheetId="21"/>
      <sheetData sheetId="22">
        <row r="10">
          <cell r="V10">
            <v>2.6581951174409837</v>
          </cell>
        </row>
        <row r="16">
          <cell r="V16">
            <v>18.113118569000306</v>
          </cell>
        </row>
        <row r="17">
          <cell r="V17">
            <v>19.204144432020634</v>
          </cell>
        </row>
        <row r="18">
          <cell r="V18">
            <v>19.381565674941463</v>
          </cell>
        </row>
        <row r="19">
          <cell r="V19">
            <v>18.731642925977798</v>
          </cell>
        </row>
        <row r="20">
          <cell r="V20">
            <v>18.939960298024733</v>
          </cell>
        </row>
        <row r="21">
          <cell r="V21">
            <v>17.216925559100034</v>
          </cell>
        </row>
        <row r="22">
          <cell r="V22">
            <v>17.423335713869701</v>
          </cell>
        </row>
        <row r="23">
          <cell r="V23">
            <v>19.751567343301279</v>
          </cell>
        </row>
        <row r="24">
          <cell r="V24">
            <v>20.632875190702453</v>
          </cell>
        </row>
      </sheetData>
      <sheetData sheetId="23"/>
      <sheetData sheetId="24">
        <row r="10">
          <cell r="V10">
            <v>2.5</v>
          </cell>
        </row>
        <row r="16">
          <cell r="V16">
            <v>18.875770202795415</v>
          </cell>
        </row>
        <row r="17">
          <cell r="V17">
            <v>19.134685223579918</v>
          </cell>
        </row>
        <row r="18">
          <cell r="V18">
            <v>19.482274001447209</v>
          </cell>
        </row>
        <row r="19">
          <cell r="V19">
            <v>19.084210358162647</v>
          </cell>
        </row>
        <row r="20">
          <cell r="V20">
            <v>18.926859853609315</v>
          </cell>
        </row>
        <row r="21">
          <cell r="V21">
            <v>19.090849486375919</v>
          </cell>
        </row>
        <row r="22">
          <cell r="V22">
            <v>20.530068140331068</v>
          </cell>
        </row>
        <row r="23">
          <cell r="V23">
            <v>20.009965049031759</v>
          </cell>
        </row>
        <row r="24">
          <cell r="V24">
            <v>19.575437367993608</v>
          </cell>
        </row>
      </sheetData>
      <sheetData sheetId="25"/>
      <sheetData sheetId="26">
        <row r="10">
          <cell r="V10">
            <v>3</v>
          </cell>
        </row>
        <row r="16">
          <cell r="V16">
            <v>18.275740682431763</v>
          </cell>
        </row>
        <row r="17">
          <cell r="V17">
            <v>18.544261339312154</v>
          </cell>
        </row>
        <row r="18">
          <cell r="V18">
            <v>17.803445076820303</v>
          </cell>
        </row>
        <row r="19">
          <cell r="V19">
            <v>18.213854737784487</v>
          </cell>
        </row>
        <row r="20">
          <cell r="V20">
            <v>17.623218278200902</v>
          </cell>
        </row>
        <row r="21">
          <cell r="V21">
            <v>18.044596890662273</v>
          </cell>
        </row>
        <row r="22">
          <cell r="V22">
            <v>19.175008804104397</v>
          </cell>
        </row>
        <row r="23">
          <cell r="V23">
            <v>19.064903259883355</v>
          </cell>
        </row>
        <row r="24">
          <cell r="V24">
            <v>19.110547291572516</v>
          </cell>
        </row>
      </sheetData>
      <sheetData sheetId="27"/>
      <sheetData sheetId="28">
        <row r="10">
          <cell r="V10">
            <v>2.2710881857003762</v>
          </cell>
        </row>
        <row r="16">
          <cell r="V16">
            <v>17.779267444212739</v>
          </cell>
        </row>
        <row r="17">
          <cell r="V17">
            <v>17.898698539497456</v>
          </cell>
        </row>
        <row r="18">
          <cell r="V18">
            <v>18.241075957931635</v>
          </cell>
        </row>
        <row r="19">
          <cell r="V19">
            <v>18.818339065782155</v>
          </cell>
        </row>
        <row r="20">
          <cell r="V20">
            <v>17.478241086571614</v>
          </cell>
        </row>
        <row r="21">
          <cell r="V21">
            <v>17.0858174090326</v>
          </cell>
        </row>
        <row r="22">
          <cell r="V22">
            <v>17.464651446765235</v>
          </cell>
        </row>
        <row r="23">
          <cell r="V23">
            <v>16.677642327396665</v>
          </cell>
        </row>
        <row r="24">
          <cell r="V24">
            <v>20.318445450845594</v>
          </cell>
        </row>
      </sheetData>
      <sheetData sheetId="29"/>
      <sheetData sheetId="30">
        <row r="10">
          <cell r="V10">
            <v>2.2000000000000006</v>
          </cell>
        </row>
        <row r="16">
          <cell r="V16">
            <v>18.775273807201533</v>
          </cell>
        </row>
        <row r="17">
          <cell r="V17">
            <v>18.874645867792019</v>
          </cell>
        </row>
        <row r="18">
          <cell r="V18">
            <v>18.875574607212272</v>
          </cell>
        </row>
        <row r="19">
          <cell r="V19">
            <v>18.608647929167574</v>
          </cell>
        </row>
        <row r="20">
          <cell r="V20">
            <v>18.6411467027445</v>
          </cell>
        </row>
        <row r="21">
          <cell r="V21">
            <v>18.003856318684019</v>
          </cell>
        </row>
        <row r="22">
          <cell r="V22">
            <v>18.846811256880006</v>
          </cell>
        </row>
        <row r="23">
          <cell r="V23">
            <v>19.337036757040853</v>
          </cell>
        </row>
        <row r="24">
          <cell r="V24">
            <v>19.094020501208792</v>
          </cell>
        </row>
      </sheetData>
      <sheetData sheetId="31"/>
      <sheetData sheetId="32">
        <row r="10">
          <cell r="V10">
            <v>2.415348013719036</v>
          </cell>
        </row>
        <row r="16">
          <cell r="V16">
            <v>19.08501792443494</v>
          </cell>
        </row>
        <row r="17">
          <cell r="V17">
            <v>19.569623581347589</v>
          </cell>
        </row>
        <row r="18">
          <cell r="V18">
            <v>20.327262963005477</v>
          </cell>
        </row>
        <row r="19">
          <cell r="V19">
            <v>20.195385822231568</v>
          </cell>
        </row>
        <row r="20">
          <cell r="V20">
            <v>19.090627696945237</v>
          </cell>
        </row>
        <row r="21">
          <cell r="V21">
            <v>18.821327947037684</v>
          </cell>
        </row>
        <row r="22">
          <cell r="V22">
            <v>18.059221788816938</v>
          </cell>
        </row>
        <row r="23">
          <cell r="V23">
            <v>17.871912123277959</v>
          </cell>
        </row>
        <row r="24">
          <cell r="V24">
            <v>20.515769127994314</v>
          </cell>
        </row>
      </sheetData>
      <sheetData sheetId="33"/>
      <sheetData sheetId="34">
        <row r="10">
          <cell r="V10">
            <v>2.7580798012435754</v>
          </cell>
        </row>
        <row r="16">
          <cell r="V16">
            <v>19.612913206009047</v>
          </cell>
        </row>
        <row r="17">
          <cell r="V17">
            <v>19.984886407626092</v>
          </cell>
        </row>
        <row r="18">
          <cell r="V18">
            <v>19.78918154676435</v>
          </cell>
        </row>
        <row r="19">
          <cell r="V19">
            <v>19.087274314785642</v>
          </cell>
        </row>
        <row r="20">
          <cell r="V20">
            <v>18.027250569879605</v>
          </cell>
        </row>
        <row r="21">
          <cell r="V21">
            <v>18.224179471345757</v>
          </cell>
        </row>
        <row r="22">
          <cell r="V22">
            <v>16.689215396107333</v>
          </cell>
        </row>
        <row r="23">
          <cell r="V23">
            <v>19.033693953010619</v>
          </cell>
        </row>
        <row r="24">
          <cell r="V24">
            <v>17.773786517808205</v>
          </cell>
        </row>
      </sheetData>
      <sheetData sheetId="35"/>
      <sheetData sheetId="36">
        <row r="10">
          <cell r="V10">
            <v>3.3000000000000012</v>
          </cell>
        </row>
        <row r="16">
          <cell r="V16">
            <v>20.93903932868923</v>
          </cell>
        </row>
        <row r="17">
          <cell r="V17">
            <v>21.667984988018112</v>
          </cell>
        </row>
        <row r="18">
          <cell r="V18">
            <v>21.531649377078953</v>
          </cell>
        </row>
        <row r="19">
          <cell r="V19">
            <v>19.489323191888829</v>
          </cell>
        </row>
        <row r="20">
          <cell r="V20">
            <v>19.387195611346968</v>
          </cell>
        </row>
        <row r="21">
          <cell r="V21">
            <v>19.212597140567613</v>
          </cell>
        </row>
        <row r="22">
          <cell r="V22">
            <v>19.46070358027243</v>
          </cell>
        </row>
        <row r="23">
          <cell r="V23">
            <v>19.74808338273602</v>
          </cell>
        </row>
        <row r="24">
          <cell r="V24">
            <v>19.506585078514583</v>
          </cell>
        </row>
      </sheetData>
      <sheetData sheetId="37"/>
      <sheetData sheetId="38">
        <row r="10">
          <cell r="V10">
            <v>2.5999999999999992</v>
          </cell>
        </row>
        <row r="16">
          <cell r="V16">
            <v>16.136332523786766</v>
          </cell>
        </row>
        <row r="17">
          <cell r="V17">
            <v>15.771968665656646</v>
          </cell>
        </row>
        <row r="18">
          <cell r="V18">
            <v>15.614664005324935</v>
          </cell>
        </row>
        <row r="19">
          <cell r="V19">
            <v>14.589554734619773</v>
          </cell>
        </row>
        <row r="20">
          <cell r="V20">
            <v>14.902262661586937</v>
          </cell>
        </row>
        <row r="21">
          <cell r="V21">
            <v>14.597933935541308</v>
          </cell>
        </row>
        <row r="22">
          <cell r="V22">
            <v>15.35343551549647</v>
          </cell>
        </row>
        <row r="23">
          <cell r="V23">
            <v>15.821412968201573</v>
          </cell>
        </row>
        <row r="24">
          <cell r="V24">
            <v>15.028216928471505</v>
          </cell>
        </row>
      </sheetData>
      <sheetData sheetId="39"/>
      <sheetData sheetId="40">
        <row r="10">
          <cell r="V10">
            <v>1.6593457031171326</v>
          </cell>
        </row>
        <row r="16">
          <cell r="V16">
            <v>13.294845651204408</v>
          </cell>
        </row>
        <row r="17">
          <cell r="V17">
            <v>13.340165764438421</v>
          </cell>
        </row>
        <row r="18">
          <cell r="V18">
            <v>8.5743421932369621</v>
          </cell>
        </row>
        <row r="19">
          <cell r="V19">
            <v>7.7636248729508699</v>
          </cell>
        </row>
        <row r="20">
          <cell r="V20">
            <v>6.2670645492690049</v>
          </cell>
        </row>
        <row r="21">
          <cell r="V21">
            <v>8.3578060336054332</v>
          </cell>
        </row>
        <row r="22">
          <cell r="V22">
            <v>11.302466951981163</v>
          </cell>
        </row>
        <row r="23">
          <cell r="V23">
            <v>11.49624694187516</v>
          </cell>
        </row>
        <row r="24">
          <cell r="V24">
            <v>12.102207870963367</v>
          </cell>
        </row>
      </sheetData>
      <sheetData sheetId="41"/>
      <sheetData sheetId="42">
        <row r="10">
          <cell r="V10">
            <v>2.2000000000000006</v>
          </cell>
        </row>
        <row r="16">
          <cell r="V16">
            <v>14.173627049565745</v>
          </cell>
        </row>
        <row r="17">
          <cell r="V17">
            <v>14.644950139571904</v>
          </cell>
        </row>
        <row r="18">
          <cell r="V18">
            <v>14.652163234268997</v>
          </cell>
        </row>
        <row r="19">
          <cell r="V19">
            <v>14.182034520931879</v>
          </cell>
        </row>
        <row r="20">
          <cell r="V20">
            <v>14.586580826361288</v>
          </cell>
        </row>
        <row r="21">
          <cell r="V21">
            <v>14.599227330020415</v>
          </cell>
        </row>
        <row r="22">
          <cell r="V22">
            <v>14.77842376718432</v>
          </cell>
        </row>
        <row r="23">
          <cell r="V23">
            <v>17.157411547425237</v>
          </cell>
        </row>
        <row r="24">
          <cell r="V24">
            <v>17.147583274784949</v>
          </cell>
        </row>
      </sheetData>
      <sheetData sheetId="43"/>
      <sheetData sheetId="44">
        <row r="10">
          <cell r="V10">
            <v>2.0999999999999992</v>
          </cell>
        </row>
        <row r="16">
          <cell r="V16">
            <v>15.366519203802916</v>
          </cell>
        </row>
        <row r="17">
          <cell r="V17">
            <v>15.401810240120289</v>
          </cell>
        </row>
        <row r="18">
          <cell r="V18">
            <v>16.021615314861972</v>
          </cell>
        </row>
        <row r="19">
          <cell r="V19">
            <v>15.765577742733651</v>
          </cell>
        </row>
        <row r="20">
          <cell r="V20">
            <v>15.792529397730874</v>
          </cell>
        </row>
        <row r="21">
          <cell r="V21">
            <v>14.395384230064364</v>
          </cell>
        </row>
        <row r="22">
          <cell r="V22">
            <v>11.807302426502231</v>
          </cell>
        </row>
        <row r="23">
          <cell r="V23">
            <v>11.409289161580013</v>
          </cell>
        </row>
        <row r="24">
          <cell r="V24">
            <v>12.309985847084851</v>
          </cell>
        </row>
      </sheetData>
      <sheetData sheetId="45"/>
      <sheetData sheetId="46">
        <row r="10">
          <cell r="V10">
            <v>2.3000000000000016</v>
          </cell>
        </row>
        <row r="16">
          <cell r="V16">
            <v>15.894068599719617</v>
          </cell>
        </row>
        <row r="17">
          <cell r="V17">
            <v>16.553722527148189</v>
          </cell>
        </row>
        <row r="18">
          <cell r="V18">
            <v>15.949616461563593</v>
          </cell>
        </row>
        <row r="19">
          <cell r="V19">
            <v>15.396475674331436</v>
          </cell>
        </row>
        <row r="20">
          <cell r="V20">
            <v>13.877845437236777</v>
          </cell>
        </row>
        <row r="21">
          <cell r="V21">
            <v>11.273161439497295</v>
          </cell>
        </row>
        <row r="22">
          <cell r="V22">
            <v>11.140340236033197</v>
          </cell>
        </row>
        <row r="23">
          <cell r="V23">
            <v>10.360759779548411</v>
          </cell>
        </row>
        <row r="24">
          <cell r="V24">
            <v>11.156956112499779</v>
          </cell>
        </row>
      </sheetData>
      <sheetData sheetId="47"/>
      <sheetData sheetId="48">
        <row r="10">
          <cell r="V10">
            <v>1.5735253376515446</v>
          </cell>
        </row>
        <row r="16">
          <cell r="V16">
            <v>15.218130429019293</v>
          </cell>
        </row>
        <row r="17">
          <cell r="V17">
            <v>16.084035312874757</v>
          </cell>
        </row>
        <row r="18">
          <cell r="V18">
            <v>14.722705709788213</v>
          </cell>
        </row>
        <row r="19">
          <cell r="V19">
            <v>12.661200553217336</v>
          </cell>
        </row>
        <row r="20">
          <cell r="V20">
            <v>13.4719479788493</v>
          </cell>
        </row>
        <row r="21">
          <cell r="V21">
            <v>11.701258868654021</v>
          </cell>
        </row>
        <row r="22">
          <cell r="V22">
            <v>12.69275558101408</v>
          </cell>
        </row>
        <row r="23">
          <cell r="V23">
            <v>11.094890726872384</v>
          </cell>
        </row>
        <row r="24">
          <cell r="V24">
            <v>12.0751155881077</v>
          </cell>
        </row>
      </sheetData>
      <sheetData sheetId="49"/>
      <sheetData sheetId="50">
        <row r="10">
          <cell r="V10">
            <v>1.8000000000000009</v>
          </cell>
        </row>
        <row r="16">
          <cell r="V16">
            <v>15.937096851217602</v>
          </cell>
        </row>
        <row r="17">
          <cell r="V17">
            <v>17.474608848223749</v>
          </cell>
        </row>
        <row r="18">
          <cell r="V18">
            <v>13.971691894063126</v>
          </cell>
        </row>
        <row r="19">
          <cell r="V19">
            <v>15.301576168039086</v>
          </cell>
        </row>
        <row r="20">
          <cell r="V20">
            <v>14.815314141144775</v>
          </cell>
        </row>
        <row r="21">
          <cell r="V21">
            <v>14.302957445938675</v>
          </cell>
        </row>
        <row r="22">
          <cell r="V22">
            <v>15.017750487389852</v>
          </cell>
        </row>
        <row r="23">
          <cell r="V23">
            <v>15.827560306011842</v>
          </cell>
        </row>
        <row r="24">
          <cell r="V24">
            <v>16.623781864390157</v>
          </cell>
        </row>
      </sheetData>
      <sheetData sheetId="51"/>
      <sheetData sheetId="52">
        <row r="10">
          <cell r="V10">
            <v>2.5236364947464183</v>
          </cell>
        </row>
        <row r="16">
          <cell r="V16">
            <v>18.247240511462778</v>
          </cell>
        </row>
        <row r="17">
          <cell r="V17">
            <v>18.386620559597624</v>
          </cell>
        </row>
        <row r="18">
          <cell r="V18">
            <v>17.881412302133509</v>
          </cell>
        </row>
        <row r="19">
          <cell r="V19">
            <v>18.8065209953742</v>
          </cell>
        </row>
        <row r="20">
          <cell r="V20">
            <v>19.275020540237403</v>
          </cell>
        </row>
        <row r="21">
          <cell r="V21">
            <v>19.202206004933736</v>
          </cell>
        </row>
        <row r="22">
          <cell r="V22">
            <v>19.683687224124746</v>
          </cell>
        </row>
        <row r="23">
          <cell r="V23">
            <v>19.836007158771107</v>
          </cell>
        </row>
        <row r="24">
          <cell r="V24">
            <v>19.514834759545909</v>
          </cell>
        </row>
      </sheetData>
      <sheetData sheetId="53"/>
      <sheetData sheetId="54">
        <row r="10">
          <cell r="V10">
            <v>2.215810745226908</v>
          </cell>
        </row>
        <row r="16">
          <cell r="V16">
            <v>18.360213168171779</v>
          </cell>
        </row>
        <row r="17">
          <cell r="V17">
            <v>18.799711384163061</v>
          </cell>
        </row>
        <row r="18">
          <cell r="V18">
            <v>18.538100934531137</v>
          </cell>
        </row>
        <row r="19">
          <cell r="V19">
            <v>18.226553562304215</v>
          </cell>
        </row>
        <row r="20">
          <cell r="V20">
            <v>18.541754061421919</v>
          </cell>
        </row>
        <row r="21">
          <cell r="V21">
            <v>18.189294966527289</v>
          </cell>
        </row>
        <row r="22">
          <cell r="V22">
            <v>18.615507119565336</v>
          </cell>
        </row>
        <row r="23">
          <cell r="V23">
            <v>17.758449265842597</v>
          </cell>
        </row>
        <row r="24">
          <cell r="V24">
            <v>20.380947449041518</v>
          </cell>
        </row>
      </sheetData>
      <sheetData sheetId="55"/>
      <sheetData sheetId="56">
        <row r="10">
          <cell r="V10">
            <v>3.5127962698326183</v>
          </cell>
        </row>
        <row r="16">
          <cell r="V16">
            <v>18.886914281994336</v>
          </cell>
        </row>
        <row r="17">
          <cell r="V17">
            <v>19.190156333858923</v>
          </cell>
        </row>
        <row r="18">
          <cell r="V18">
            <v>18.654894480896637</v>
          </cell>
        </row>
        <row r="19">
          <cell r="V19">
            <v>18.409923727918951</v>
          </cell>
        </row>
        <row r="20">
          <cell r="V20">
            <v>17.749982125375908</v>
          </cell>
        </row>
        <row r="21">
          <cell r="V21">
            <v>18.083349505258909</v>
          </cell>
        </row>
        <row r="22">
          <cell r="V22">
            <v>16.870388917475331</v>
          </cell>
        </row>
        <row r="23">
          <cell r="V23">
            <v>16.921405187443291</v>
          </cell>
        </row>
        <row r="24">
          <cell r="V24">
            <v>16.362582929949355</v>
          </cell>
        </row>
      </sheetData>
      <sheetData sheetId="57"/>
      <sheetData sheetId="58">
        <row r="10">
          <cell r="V10">
            <v>2.4999999999999982</v>
          </cell>
        </row>
        <row r="16">
          <cell r="V16">
            <v>17.857709255009468</v>
          </cell>
        </row>
        <row r="17">
          <cell r="V17">
            <v>18.187029502831248</v>
          </cell>
        </row>
        <row r="18">
          <cell r="V18">
            <v>17.359070948656733</v>
          </cell>
        </row>
        <row r="19">
          <cell r="V19">
            <v>16.274122448012179</v>
          </cell>
        </row>
        <row r="20">
          <cell r="V20">
            <v>16.526548461684197</v>
          </cell>
        </row>
        <row r="21">
          <cell r="V21">
            <v>17.093348075041856</v>
          </cell>
        </row>
        <row r="22">
          <cell r="V22">
            <v>15.690427219757716</v>
          </cell>
        </row>
        <row r="23">
          <cell r="V23">
            <v>16.340706882910627</v>
          </cell>
        </row>
        <row r="24">
          <cell r="V24">
            <v>15.867458012454325</v>
          </cell>
        </row>
      </sheetData>
      <sheetData sheetId="59"/>
      <sheetData sheetId="60">
        <row r="10">
          <cell r="V10">
            <v>2.9000000000000008</v>
          </cell>
        </row>
        <row r="16">
          <cell r="V16">
            <v>19.218293309417707</v>
          </cell>
        </row>
        <row r="17">
          <cell r="V17">
            <v>18.94980246408031</v>
          </cell>
        </row>
        <row r="18">
          <cell r="V18">
            <v>19.070848244183111</v>
          </cell>
        </row>
        <row r="19">
          <cell r="V19">
            <v>19.046301221581821</v>
          </cell>
        </row>
        <row r="20">
          <cell r="V20">
            <v>19.490465714431725</v>
          </cell>
        </row>
        <row r="21">
          <cell r="V21">
            <v>19.604610679562132</v>
          </cell>
        </row>
        <row r="22">
          <cell r="V22">
            <v>17.870347802700717</v>
          </cell>
        </row>
        <row r="23">
          <cell r="V23">
            <v>17.947478563775825</v>
          </cell>
        </row>
        <row r="24">
          <cell r="V24">
            <v>16.052051715263133</v>
          </cell>
        </row>
      </sheetData>
      <sheetData sheetId="61"/>
      <sheetData sheetId="62">
        <row r="10">
          <cell r="V10">
            <v>2.8579644382045175</v>
          </cell>
        </row>
        <row r="16">
          <cell r="V16">
            <v>18.378202360710183</v>
          </cell>
        </row>
        <row r="17">
          <cell r="V17">
            <v>18.493696634084806</v>
          </cell>
        </row>
        <row r="18">
          <cell r="V18">
            <v>17.083792905856178</v>
          </cell>
        </row>
        <row r="19">
          <cell r="V19">
            <v>16.002413781899957</v>
          </cell>
        </row>
        <row r="20">
          <cell r="V20">
            <v>14.42723938011383</v>
          </cell>
        </row>
        <row r="21">
          <cell r="V21">
            <v>14.480817897143449</v>
          </cell>
        </row>
        <row r="22">
          <cell r="V22">
            <v>13.099810959796038</v>
          </cell>
        </row>
        <row r="23">
          <cell r="V23">
            <v>13.106785906440436</v>
          </cell>
        </row>
        <row r="24">
          <cell r="V24">
            <v>13.170382737696723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0">
          <cell r="V10">
            <v>2.5151165069729711</v>
          </cell>
        </row>
        <row r="16">
          <cell r="V16">
            <v>16.904722749594633</v>
          </cell>
        </row>
        <row r="17">
          <cell r="V17">
            <v>17.494745787322088</v>
          </cell>
        </row>
        <row r="18">
          <cell r="V18">
            <v>17.613035654779228</v>
          </cell>
        </row>
        <row r="19">
          <cell r="V19">
            <v>16.042874324705785</v>
          </cell>
        </row>
        <row r="20">
          <cell r="V20">
            <v>14.418057672742833</v>
          </cell>
        </row>
        <row r="21">
          <cell r="V21">
            <v>14.47071000526773</v>
          </cell>
        </row>
        <row r="22">
          <cell r="V22">
            <v>13.387829854564053</v>
          </cell>
        </row>
        <row r="23">
          <cell r="V23">
            <v>13.97936955937457</v>
          </cell>
        </row>
        <row r="24">
          <cell r="V24">
            <v>13.486833882829981</v>
          </cell>
        </row>
      </sheetData>
      <sheetData sheetId="5"/>
      <sheetData sheetId="6">
        <row r="10">
          <cell r="V10">
            <v>1.8999999999999995</v>
          </cell>
        </row>
        <row r="16">
          <cell r="V16">
            <v>17.111357026395041</v>
          </cell>
        </row>
        <row r="17">
          <cell r="V17">
            <v>18.959645730416895</v>
          </cell>
        </row>
        <row r="18">
          <cell r="V18">
            <v>16.164960194245012</v>
          </cell>
        </row>
        <row r="19">
          <cell r="V19">
            <v>15.949988802639863</v>
          </cell>
        </row>
        <row r="20">
          <cell r="V20">
            <v>15.505982715962427</v>
          </cell>
        </row>
        <row r="21">
          <cell r="V21">
            <v>15.473861079927151</v>
          </cell>
        </row>
        <row r="22">
          <cell r="V22">
            <v>13.096216057965274</v>
          </cell>
        </row>
        <row r="23">
          <cell r="V23">
            <v>13.054470871212297</v>
          </cell>
        </row>
        <row r="24">
          <cell r="V24">
            <v>13.259830939451863</v>
          </cell>
        </row>
      </sheetData>
      <sheetData sheetId="7"/>
      <sheetData sheetId="8">
        <row r="10">
          <cell r="V10">
            <v>3.0999999999999996</v>
          </cell>
        </row>
        <row r="16">
          <cell r="V16">
            <v>17.559639879748666</v>
          </cell>
        </row>
        <row r="17">
          <cell r="V17">
            <v>19.662372050823866</v>
          </cell>
        </row>
        <row r="18">
          <cell r="V18">
            <v>19.366631390904285</v>
          </cell>
        </row>
        <row r="19">
          <cell r="V19">
            <v>18.158256657881733</v>
          </cell>
        </row>
        <row r="20">
          <cell r="V20">
            <v>17.201288182539766</v>
          </cell>
        </row>
        <row r="21">
          <cell r="V21">
            <v>20.58255963545065</v>
          </cell>
        </row>
        <row r="22">
          <cell r="V22">
            <v>17.145894730231955</v>
          </cell>
        </row>
        <row r="23">
          <cell r="V23">
            <v>15.599965652268237</v>
          </cell>
        </row>
        <row r="24">
          <cell r="V24">
            <v>14.616169549555524</v>
          </cell>
        </row>
      </sheetData>
      <sheetData sheetId="9"/>
      <sheetData sheetId="10">
        <row r="10">
          <cell r="V10">
            <v>2.6581951174409837</v>
          </cell>
        </row>
        <row r="16">
          <cell r="V16">
            <v>18.025557700400899</v>
          </cell>
        </row>
        <row r="17">
          <cell r="V17">
            <v>18.153120280333965</v>
          </cell>
        </row>
        <row r="18">
          <cell r="V18">
            <v>17.688820099708344</v>
          </cell>
        </row>
        <row r="19">
          <cell r="V19">
            <v>17.418359468712126</v>
          </cell>
        </row>
        <row r="20">
          <cell r="V20">
            <v>16.288966767898767</v>
          </cell>
        </row>
        <row r="21">
          <cell r="V21">
            <v>14.203861347107514</v>
          </cell>
        </row>
        <row r="22">
          <cell r="V22">
            <v>12.955226661695944</v>
          </cell>
        </row>
        <row r="23">
          <cell r="V23">
            <v>13.582595295721797</v>
          </cell>
        </row>
        <row r="24">
          <cell r="V24">
            <v>12.109787372126135</v>
          </cell>
        </row>
      </sheetData>
      <sheetData sheetId="11"/>
      <sheetData sheetId="12">
        <row r="10">
          <cell r="V10">
            <v>2.399999999999999</v>
          </cell>
        </row>
        <row r="16">
          <cell r="V16">
            <v>16.388053081376917</v>
          </cell>
        </row>
        <row r="17">
          <cell r="V17">
            <v>17.657409611048486</v>
          </cell>
        </row>
        <row r="18">
          <cell r="V18">
            <v>16.776415936445222</v>
          </cell>
        </row>
        <row r="19">
          <cell r="V19">
            <v>15.780905709492272</v>
          </cell>
        </row>
        <row r="20">
          <cell r="V20">
            <v>14.672833694141278</v>
          </cell>
        </row>
        <row r="21">
          <cell r="V21">
            <v>10.183816109376616</v>
          </cell>
        </row>
        <row r="22">
          <cell r="V22">
            <v>8.6337775402356289</v>
          </cell>
        </row>
        <row r="23">
          <cell r="V23">
            <v>7.4678673107725908</v>
          </cell>
        </row>
        <row r="24">
          <cell r="V24">
            <v>7.7305134097353099</v>
          </cell>
        </row>
      </sheetData>
      <sheetData sheetId="13"/>
      <sheetData sheetId="14">
        <row r="10">
          <cell r="V10">
            <v>1.0306295269707977</v>
          </cell>
        </row>
        <row r="16">
          <cell r="V16">
            <v>16.23438001707849</v>
          </cell>
        </row>
        <row r="17">
          <cell r="V17">
            <v>16.426417764932278</v>
          </cell>
        </row>
        <row r="18">
          <cell r="V18">
            <v>15.995346707882847</v>
          </cell>
        </row>
        <row r="19">
          <cell r="V19">
            <v>13.854803753385044</v>
          </cell>
        </row>
        <row r="20">
          <cell r="V20">
            <v>11.802796959286532</v>
          </cell>
        </row>
        <row r="21">
          <cell r="V21">
            <v>11.764562847372758</v>
          </cell>
        </row>
        <row r="22">
          <cell r="V22">
            <v>8.656649181049735</v>
          </cell>
        </row>
        <row r="23">
          <cell r="V23">
            <v>9.9949007489394415</v>
          </cell>
        </row>
        <row r="24">
          <cell r="V24">
            <v>10.878412214574189</v>
          </cell>
        </row>
      </sheetData>
      <sheetData sheetId="15"/>
      <sheetData sheetId="16">
        <row r="10">
          <cell r="V10">
            <v>2.1281453410881914</v>
          </cell>
        </row>
        <row r="16">
          <cell r="V16">
            <v>15.572595126342943</v>
          </cell>
        </row>
        <row r="17">
          <cell r="V17">
            <v>17.070906421670035</v>
          </cell>
        </row>
        <row r="18">
          <cell r="V18">
            <v>17.08845555082684</v>
          </cell>
        </row>
        <row r="19">
          <cell r="V19">
            <v>16.509324656023551</v>
          </cell>
        </row>
        <row r="20">
          <cell r="V20">
            <v>16.446382632012767</v>
          </cell>
        </row>
        <row r="21">
          <cell r="V21">
            <v>14.065014075587746</v>
          </cell>
        </row>
        <row r="22">
          <cell r="V22">
            <v>13.454730458317849</v>
          </cell>
        </row>
        <row r="23">
          <cell r="V23">
            <v>11.624667637705436</v>
          </cell>
        </row>
        <row r="24">
          <cell r="V24">
            <v>12.078278238304929</v>
          </cell>
        </row>
      </sheetData>
      <sheetData sheetId="17"/>
      <sheetData sheetId="18">
        <row r="10">
          <cell r="V10">
            <v>2.7999999999999972</v>
          </cell>
        </row>
        <row r="16">
          <cell r="V16">
            <v>17.221946271641347</v>
          </cell>
        </row>
        <row r="17">
          <cell r="V17">
            <v>17.013362770413611</v>
          </cell>
        </row>
        <row r="18">
          <cell r="V18">
            <v>16.335500762579528</v>
          </cell>
        </row>
        <row r="19">
          <cell r="V19">
            <v>15.304988996279727</v>
          </cell>
        </row>
        <row r="20">
          <cell r="V20">
            <v>14.676040375099817</v>
          </cell>
        </row>
        <row r="21">
          <cell r="V21">
            <v>14.5354409302942</v>
          </cell>
        </row>
        <row r="22">
          <cell r="V22">
            <v>14.569313708369354</v>
          </cell>
        </row>
        <row r="23">
          <cell r="V23">
            <v>13.82159243761328</v>
          </cell>
        </row>
        <row r="24">
          <cell r="V24">
            <v>14.79405317622126</v>
          </cell>
        </row>
      </sheetData>
      <sheetData sheetId="19"/>
      <sheetData sheetId="20">
        <row r="10">
          <cell r="V10">
            <v>2.2710881857003762</v>
          </cell>
        </row>
        <row r="16">
          <cell r="V16">
            <v>15.821998409601459</v>
          </cell>
        </row>
        <row r="17">
          <cell r="V17">
            <v>18.292456911072659</v>
          </cell>
        </row>
        <row r="18">
          <cell r="V18">
            <v>15.704222160982429</v>
          </cell>
        </row>
        <row r="19">
          <cell r="V19">
            <v>15.236831958142387</v>
          </cell>
        </row>
        <row r="20">
          <cell r="V20">
            <v>15.819649476169282</v>
          </cell>
        </row>
        <row r="21">
          <cell r="V21">
            <v>15.112297308312547</v>
          </cell>
        </row>
        <row r="22">
          <cell r="V22">
            <v>13.535308915093367</v>
          </cell>
        </row>
        <row r="23">
          <cell r="V23">
            <v>13.404682036439956</v>
          </cell>
        </row>
        <row r="24">
          <cell r="V24">
            <v>17.553844316379145</v>
          </cell>
        </row>
      </sheetData>
      <sheetData sheetId="21"/>
      <sheetData sheetId="22">
        <row r="10">
          <cell r="V10">
            <v>2.215810745226908</v>
          </cell>
        </row>
        <row r="16">
          <cell r="V16">
            <v>18.190771083824917</v>
          </cell>
        </row>
        <row r="17">
          <cell r="V17">
            <v>18.761426252744055</v>
          </cell>
        </row>
        <row r="18">
          <cell r="V18">
            <v>18.056611987529759</v>
          </cell>
        </row>
        <row r="19">
          <cell r="V19">
            <v>17.10502658810335</v>
          </cell>
        </row>
        <row r="20">
          <cell r="V20">
            <v>17.165157910767192</v>
          </cell>
        </row>
        <row r="21">
          <cell r="V21">
            <v>16.936619093694961</v>
          </cell>
        </row>
        <row r="22">
          <cell r="V22">
            <v>15.703059967337014</v>
          </cell>
        </row>
        <row r="23">
          <cell r="V23">
            <v>15.365762300415206</v>
          </cell>
        </row>
        <row r="24">
          <cell r="V24">
            <v>15.930936399699457</v>
          </cell>
        </row>
      </sheetData>
      <sheetData sheetId="23"/>
      <sheetData sheetId="24">
        <row r="10">
          <cell r="V10">
            <v>2.5999999999999992</v>
          </cell>
        </row>
        <row r="16">
          <cell r="V16">
            <v>17.964591219069423</v>
          </cell>
        </row>
        <row r="17">
          <cell r="V17">
            <v>18.906077078888291</v>
          </cell>
        </row>
        <row r="18">
          <cell r="V18">
            <v>17.289176187054959</v>
          </cell>
        </row>
        <row r="19">
          <cell r="V19">
            <v>15.377733295654426</v>
          </cell>
        </row>
        <row r="20">
          <cell r="V20">
            <v>15.280884807289981</v>
          </cell>
        </row>
        <row r="21">
          <cell r="V21">
            <v>14.53845288440705</v>
          </cell>
        </row>
        <row r="22">
          <cell r="V22">
            <v>13.302798834101672</v>
          </cell>
        </row>
        <row r="23">
          <cell r="V23">
            <v>11.312288928641493</v>
          </cell>
        </row>
        <row r="24">
          <cell r="V24">
            <v>12.154942043110124</v>
          </cell>
        </row>
      </sheetData>
      <sheetData sheetId="25"/>
      <sheetData sheetId="26">
        <row r="10">
          <cell r="V10">
            <v>2.399999999999999</v>
          </cell>
        </row>
        <row r="16">
          <cell r="V16">
            <v>15.180897065097019</v>
          </cell>
        </row>
        <row r="17">
          <cell r="V17">
            <v>15.993584149711031</v>
          </cell>
        </row>
        <row r="18">
          <cell r="V18">
            <v>14.809582794021777</v>
          </cell>
        </row>
        <row r="19">
          <cell r="V19">
            <v>14.125370519162955</v>
          </cell>
        </row>
        <row r="20">
          <cell r="V20">
            <v>14.372193867572369</v>
          </cell>
        </row>
        <row r="21">
          <cell r="V21">
            <v>11.501685234825072</v>
          </cell>
        </row>
        <row r="22">
          <cell r="V22">
            <v>12.215312036648227</v>
          </cell>
        </row>
        <row r="23">
          <cell r="V23">
            <v>12.090882781218589</v>
          </cell>
        </row>
        <row r="24">
          <cell r="V24">
            <v>11.182518889086916</v>
          </cell>
        </row>
      </sheetData>
      <sheetData sheetId="27"/>
      <sheetData sheetId="28">
        <row r="10">
          <cell r="V10">
            <v>1.5283032476823162</v>
          </cell>
        </row>
        <row r="16">
          <cell r="V16">
            <v>12.600211052431435</v>
          </cell>
        </row>
        <row r="17">
          <cell r="V17">
            <v>13.180995239597328</v>
          </cell>
        </row>
        <row r="18">
          <cell r="V18">
            <v>13.494943836735638</v>
          </cell>
        </row>
        <row r="19">
          <cell r="V19">
            <v>13.530185813555908</v>
          </cell>
        </row>
        <row r="20">
          <cell r="V20">
            <v>11.972485130733519</v>
          </cell>
        </row>
        <row r="21">
          <cell r="V21">
            <v>11.299361726777169</v>
          </cell>
        </row>
        <row r="22">
          <cell r="V22">
            <v>12.151284461070363</v>
          </cell>
        </row>
        <row r="23">
          <cell r="V23">
            <v>10.89418932662087</v>
          </cell>
        </row>
        <row r="24">
          <cell r="V24">
            <v>11.411260872158785</v>
          </cell>
        </row>
      </sheetData>
      <sheetData sheetId="29"/>
      <sheetData sheetId="30">
        <row r="10">
          <cell r="V10">
            <v>2.3155794264703902</v>
          </cell>
        </row>
        <row r="16">
          <cell r="V16">
            <v>18.276407720769889</v>
          </cell>
        </row>
        <row r="17">
          <cell r="V17">
            <v>18.011663738179852</v>
          </cell>
        </row>
        <row r="18">
          <cell r="V18">
            <v>17.269856172817548</v>
          </cell>
        </row>
        <row r="19">
          <cell r="V19">
            <v>16.811258049775375</v>
          </cell>
        </row>
        <row r="20">
          <cell r="V20">
            <v>17.47669057032536</v>
          </cell>
        </row>
        <row r="21">
          <cell r="V21">
            <v>17.815010934299121</v>
          </cell>
        </row>
        <row r="22">
          <cell r="V22">
            <v>18.331690197424138</v>
          </cell>
        </row>
        <row r="23">
          <cell r="V23">
            <v>17.330855895937656</v>
          </cell>
        </row>
        <row r="24">
          <cell r="V24">
            <v>16.910010692993662</v>
          </cell>
        </row>
      </sheetData>
      <sheetData sheetId="31"/>
      <sheetData sheetId="32">
        <row r="10">
          <cell r="V10">
            <v>2.2999999999999989</v>
          </cell>
        </row>
        <row r="16">
          <cell r="V16">
            <v>15.106458012838345</v>
          </cell>
        </row>
        <row r="17">
          <cell r="V17">
            <v>15.311728000216279</v>
          </cell>
        </row>
        <row r="18">
          <cell r="V18">
            <v>15.414248822778168</v>
          </cell>
        </row>
        <row r="19">
          <cell r="V19">
            <v>15.516816043852595</v>
          </cell>
        </row>
        <row r="20">
          <cell r="V20">
            <v>15.138421021886744</v>
          </cell>
        </row>
        <row r="21">
          <cell r="V21">
            <v>15.298197837309063</v>
          </cell>
        </row>
        <row r="22">
          <cell r="V22">
            <v>15.188288999886753</v>
          </cell>
        </row>
        <row r="23">
          <cell r="V23">
            <v>15.021984669498826</v>
          </cell>
        </row>
        <row r="24">
          <cell r="V24">
            <v>15.022271912983591</v>
          </cell>
        </row>
      </sheetData>
      <sheetData sheetId="33"/>
      <sheetData sheetId="34">
        <row r="10">
          <cell r="V10">
            <v>2.5999999999999992</v>
          </cell>
        </row>
        <row r="16">
          <cell r="V16">
            <v>16.031291540355248</v>
          </cell>
        </row>
        <row r="17">
          <cell r="V17">
            <v>16.440930375768609</v>
          </cell>
        </row>
        <row r="18">
          <cell r="V18">
            <v>16.390696464278143</v>
          </cell>
        </row>
        <row r="19">
          <cell r="V19">
            <v>16.843321404608879</v>
          </cell>
        </row>
        <row r="20">
          <cell r="V20">
            <v>17.220187332482158</v>
          </cell>
        </row>
        <row r="21">
          <cell r="V21">
            <v>17.238479523317434</v>
          </cell>
        </row>
        <row r="22">
          <cell r="V22">
            <v>16.924815745268614</v>
          </cell>
        </row>
        <row r="23">
          <cell r="V23">
            <v>17.176303979952106</v>
          </cell>
        </row>
        <row r="24">
          <cell r="V24">
            <v>17.271112779757889</v>
          </cell>
        </row>
      </sheetData>
      <sheetData sheetId="35"/>
      <sheetData sheetId="36">
        <row r="10">
          <cell r="V10">
            <v>2.5</v>
          </cell>
        </row>
        <row r="16">
          <cell r="V16">
            <v>17.208231936567771</v>
          </cell>
        </row>
        <row r="17">
          <cell r="V17">
            <v>17.874887622247936</v>
          </cell>
        </row>
        <row r="18">
          <cell r="V18">
            <v>16.869177303306088</v>
          </cell>
        </row>
        <row r="19">
          <cell r="V19">
            <v>15.017118443482895</v>
          </cell>
        </row>
        <row r="20">
          <cell r="V20">
            <v>14.909196975313334</v>
          </cell>
        </row>
        <row r="21">
          <cell r="V21">
            <v>14.917520698327912</v>
          </cell>
        </row>
        <row r="22">
          <cell r="V22">
            <v>12.974656498091329</v>
          </cell>
        </row>
        <row r="23">
          <cell r="V23">
            <v>12.519638495389012</v>
          </cell>
        </row>
        <row r="24">
          <cell r="V24">
            <v>12.305649322654352</v>
          </cell>
        </row>
      </sheetData>
      <sheetData sheetId="37"/>
      <sheetData sheetId="38">
        <row r="10">
          <cell r="V10">
            <v>2.2999999999999989</v>
          </cell>
        </row>
        <row r="16">
          <cell r="V16">
            <v>17.202983042317232</v>
          </cell>
        </row>
        <row r="17">
          <cell r="V17">
            <v>17.977313613939167</v>
          </cell>
        </row>
        <row r="18">
          <cell r="V18">
            <v>17.706255724716684</v>
          </cell>
        </row>
        <row r="19">
          <cell r="V19">
            <v>16.867792461067758</v>
          </cell>
        </row>
        <row r="20">
          <cell r="V20">
            <v>16.728182290131357</v>
          </cell>
        </row>
        <row r="21">
          <cell r="V21">
            <v>14.439059701690036</v>
          </cell>
        </row>
        <row r="22">
          <cell r="V22">
            <v>12.986439469400192</v>
          </cell>
        </row>
        <row r="23">
          <cell r="V23">
            <v>12.823406270899886</v>
          </cell>
        </row>
        <row r="24">
          <cell r="V24">
            <v>13.213577356143748</v>
          </cell>
        </row>
      </sheetData>
      <sheetData sheetId="39"/>
      <sheetData sheetId="40">
        <row r="10">
          <cell r="V10">
            <v>2.5999999999999992</v>
          </cell>
        </row>
        <row r="16">
          <cell r="V16">
            <v>17.108550791628385</v>
          </cell>
        </row>
        <row r="17">
          <cell r="V17">
            <v>17.165430504947953</v>
          </cell>
        </row>
        <row r="18">
          <cell r="V18">
            <v>16.704403528817952</v>
          </cell>
        </row>
        <row r="19">
          <cell r="V19">
            <v>16.618262492942549</v>
          </cell>
        </row>
        <row r="20">
          <cell r="V20">
            <v>16.572549610289304</v>
          </cell>
        </row>
        <row r="21">
          <cell r="V21">
            <v>17.304388844877177</v>
          </cell>
        </row>
        <row r="22">
          <cell r="V22">
            <v>16.704507404494596</v>
          </cell>
        </row>
        <row r="23">
          <cell r="V23">
            <v>17.032858530369033</v>
          </cell>
        </row>
        <row r="24">
          <cell r="V24">
            <v>17.033187290677599</v>
          </cell>
        </row>
      </sheetData>
      <sheetData sheetId="41"/>
      <sheetData sheetId="42">
        <row r="10">
          <cell r="V10">
            <v>2.6999999999999997</v>
          </cell>
        </row>
        <row r="16">
          <cell r="V16">
            <v>18.663330808076708</v>
          </cell>
        </row>
        <row r="17">
          <cell r="V17">
            <v>19.569705510631213</v>
          </cell>
        </row>
        <row r="18">
          <cell r="V18">
            <v>19.276560497539876</v>
          </cell>
        </row>
        <row r="19">
          <cell r="V19">
            <v>19.898142355247149</v>
          </cell>
        </row>
        <row r="20">
          <cell r="V20">
            <v>19.18511150928455</v>
          </cell>
        </row>
        <row r="21">
          <cell r="V21">
            <v>17.97596822462355</v>
          </cell>
        </row>
        <row r="22">
          <cell r="V22">
            <v>19.565001106192156</v>
          </cell>
        </row>
        <row r="23">
          <cell r="V23">
            <v>19.070756512871515</v>
          </cell>
        </row>
        <row r="24">
          <cell r="V24">
            <v>17.779760632087086</v>
          </cell>
        </row>
      </sheetData>
      <sheetData sheetId="43"/>
      <sheetData sheetId="44">
        <row r="10">
          <cell r="V10">
            <v>2.3585407849829871</v>
          </cell>
        </row>
        <row r="16">
          <cell r="V16">
            <v>14.853152087204903</v>
          </cell>
        </row>
        <row r="17">
          <cell r="V17">
            <v>15.254978583352525</v>
          </cell>
        </row>
        <row r="18">
          <cell r="V18">
            <v>15.508994103839427</v>
          </cell>
        </row>
        <row r="19">
          <cell r="V19">
            <v>15.865033466334323</v>
          </cell>
        </row>
        <row r="20">
          <cell r="V20">
            <v>15.913915883852706</v>
          </cell>
        </row>
        <row r="21">
          <cell r="V21">
            <v>16.018320937781866</v>
          </cell>
        </row>
        <row r="22">
          <cell r="V22">
            <v>16.570672799645301</v>
          </cell>
        </row>
        <row r="23">
          <cell r="V23">
            <v>17.275649168804005</v>
          </cell>
        </row>
        <row r="24">
          <cell r="V24">
            <v>17.864647740850049</v>
          </cell>
        </row>
      </sheetData>
      <sheetData sheetId="45"/>
      <sheetData sheetId="46">
        <row r="10">
          <cell r="V10">
            <v>1.8591159607169414</v>
          </cell>
        </row>
        <row r="16">
          <cell r="V16">
            <v>16.747067116174872</v>
          </cell>
        </row>
        <row r="17">
          <cell r="V17">
            <v>16.849738721077699</v>
          </cell>
        </row>
        <row r="18">
          <cell r="V18">
            <v>17.486204119259209</v>
          </cell>
        </row>
        <row r="19">
          <cell r="V19">
            <v>17.012043977175075</v>
          </cell>
        </row>
        <row r="20">
          <cell r="V20">
            <v>16.347813498775285</v>
          </cell>
        </row>
        <row r="21">
          <cell r="V21">
            <v>16.581990718971372</v>
          </cell>
        </row>
        <row r="22">
          <cell r="V22">
            <v>16.793294930415513</v>
          </cell>
        </row>
        <row r="23">
          <cell r="V23">
            <v>14.70918337753786</v>
          </cell>
        </row>
        <row r="24">
          <cell r="V24">
            <v>13.534498333639695</v>
          </cell>
        </row>
      </sheetData>
      <sheetData sheetId="47"/>
      <sheetData sheetId="48">
        <row r="10">
          <cell r="V10">
            <v>2.2000000000000006</v>
          </cell>
        </row>
        <row r="16">
          <cell r="V16">
            <v>14.921446777644533</v>
          </cell>
        </row>
        <row r="17">
          <cell r="V17">
            <v>16.133465270775297</v>
          </cell>
        </row>
        <row r="18">
          <cell r="V18">
            <v>14.417501056111602</v>
          </cell>
        </row>
        <row r="19">
          <cell r="V19">
            <v>13.711042936059505</v>
          </cell>
        </row>
        <row r="20">
          <cell r="V20">
            <v>12.458440153431752</v>
          </cell>
        </row>
        <row r="21">
          <cell r="V21">
            <v>13.181357379542762</v>
          </cell>
        </row>
        <row r="22">
          <cell r="V22">
            <v>12.422034847110563</v>
          </cell>
        </row>
        <row r="23">
          <cell r="V23">
            <v>11.415565592389015</v>
          </cell>
        </row>
        <row r="24">
          <cell r="V24">
            <v>10.997379316684711</v>
          </cell>
        </row>
      </sheetData>
      <sheetData sheetId="49"/>
      <sheetData sheetId="50">
        <row r="10">
          <cell r="V10">
            <v>2.3245713593798403</v>
          </cell>
        </row>
        <row r="16">
          <cell r="V16">
            <v>13.393074231561107</v>
          </cell>
        </row>
        <row r="17">
          <cell r="V17">
            <v>15.218597195775503</v>
          </cell>
        </row>
        <row r="18">
          <cell r="V18">
            <v>13.843494077480553</v>
          </cell>
        </row>
        <row r="19">
          <cell r="V19">
            <v>15.337458006769824</v>
          </cell>
        </row>
        <row r="20">
          <cell r="V20">
            <v>16.697593563240943</v>
          </cell>
        </row>
        <row r="21">
          <cell r="V21">
            <v>15.717086470619194</v>
          </cell>
        </row>
        <row r="22">
          <cell r="V22">
            <v>17.260921520471136</v>
          </cell>
        </row>
        <row r="23">
          <cell r="V23">
            <v>15.652049096149993</v>
          </cell>
        </row>
        <row r="24">
          <cell r="V24">
            <v>16.544687965339179</v>
          </cell>
        </row>
      </sheetData>
      <sheetData sheetId="51"/>
      <sheetData sheetId="52">
        <row r="10">
          <cell r="V10">
            <v>1.8999999999999995</v>
          </cell>
        </row>
        <row r="16">
          <cell r="V16">
            <v>15.170560797670069</v>
          </cell>
        </row>
        <row r="17">
          <cell r="V17">
            <v>15.366476194612028</v>
          </cell>
        </row>
        <row r="18">
          <cell r="V18">
            <v>14.72054029773073</v>
          </cell>
        </row>
        <row r="19">
          <cell r="V19">
            <v>15.296907181818106</v>
          </cell>
        </row>
        <row r="20">
          <cell r="V20">
            <v>14.414494286128539</v>
          </cell>
        </row>
        <row r="21">
          <cell r="V21">
            <v>14.548435465310371</v>
          </cell>
        </row>
        <row r="22">
          <cell r="V22">
            <v>14.317404832388368</v>
          </cell>
        </row>
        <row r="23">
          <cell r="V23">
            <v>13.796485223688979</v>
          </cell>
        </row>
        <row r="24">
          <cell r="V24">
            <v>13.884571748339487</v>
          </cell>
        </row>
      </sheetData>
      <sheetData sheetId="53"/>
      <sheetData sheetId="54">
        <row r="10">
          <cell r="V10">
            <v>2.0000000000000013</v>
          </cell>
        </row>
        <row r="16">
          <cell r="V16">
            <v>13.881026325126506</v>
          </cell>
        </row>
        <row r="17">
          <cell r="V17">
            <v>13.862436579056823</v>
          </cell>
        </row>
        <row r="18">
          <cell r="V18">
            <v>13.862258503232798</v>
          </cell>
        </row>
        <row r="19">
          <cell r="V19">
            <v>14.166146981858146</v>
          </cell>
        </row>
        <row r="20">
          <cell r="V20">
            <v>15.021806661591986</v>
          </cell>
        </row>
        <row r="21">
          <cell r="V21">
            <v>14.693224002022818</v>
          </cell>
        </row>
        <row r="22">
          <cell r="V22">
            <v>14.046807316765429</v>
          </cell>
        </row>
        <row r="23">
          <cell r="V23">
            <v>14.522010027922589</v>
          </cell>
        </row>
        <row r="24">
          <cell r="V24">
            <v>14.223922696451433</v>
          </cell>
        </row>
      </sheetData>
      <sheetData sheetId="55"/>
      <sheetData sheetId="56">
        <row r="10">
          <cell r="V10">
            <v>2.0999999999999992</v>
          </cell>
        </row>
        <row r="16">
          <cell r="V16">
            <v>15.032890499453677</v>
          </cell>
        </row>
        <row r="17">
          <cell r="V17">
            <v>15.133889029166198</v>
          </cell>
        </row>
        <row r="18">
          <cell r="V18">
            <v>15.335727461000735</v>
          </cell>
        </row>
        <row r="19">
          <cell r="V19">
            <v>15.679030668174681</v>
          </cell>
        </row>
        <row r="20">
          <cell r="V20">
            <v>15.667807149592324</v>
          </cell>
        </row>
        <row r="21">
          <cell r="V21">
            <v>15.977059047887014</v>
          </cell>
        </row>
        <row r="22">
          <cell r="V22">
            <v>16.181376318848084</v>
          </cell>
        </row>
        <row r="23">
          <cell r="V23">
            <v>16.288102097770018</v>
          </cell>
        </row>
        <row r="24">
          <cell r="V24">
            <v>16.80269311770909</v>
          </cell>
        </row>
      </sheetData>
      <sheetData sheetId="57"/>
      <sheetData sheetId="58">
        <row r="10">
          <cell r="V10">
            <v>2.4584256093107228</v>
          </cell>
        </row>
        <row r="16">
          <cell r="V16">
            <v>16.698453604440072</v>
          </cell>
        </row>
        <row r="17">
          <cell r="V17">
            <v>16.285761370285698</v>
          </cell>
        </row>
        <row r="18">
          <cell r="V18">
            <v>16.180550524644246</v>
          </cell>
        </row>
        <row r="19">
          <cell r="V19">
            <v>15.161442165141382</v>
          </cell>
        </row>
        <row r="20">
          <cell r="V20">
            <v>15.546020945811584</v>
          </cell>
        </row>
        <row r="21">
          <cell r="V21">
            <v>15.546486215486823</v>
          </cell>
        </row>
        <row r="22">
          <cell r="V22">
            <v>14.996356978134045</v>
          </cell>
        </row>
        <row r="23">
          <cell r="V23">
            <v>14.095175247623006</v>
          </cell>
        </row>
        <row r="24">
          <cell r="V24">
            <v>13.919622352508304</v>
          </cell>
        </row>
      </sheetData>
      <sheetData sheetId="59"/>
      <sheetData sheetId="60">
        <row r="10">
          <cell r="V10">
            <v>0.71926924710338191</v>
          </cell>
        </row>
        <row r="16">
          <cell r="V16">
            <v>8.8286479863362022</v>
          </cell>
        </row>
        <row r="17">
          <cell r="V17">
            <v>8.8496373475672954</v>
          </cell>
        </row>
        <row r="18">
          <cell r="V18">
            <v>7.2270633704680289</v>
          </cell>
        </row>
        <row r="19">
          <cell r="V19">
            <v>7.1489998839848914</v>
          </cell>
        </row>
        <row r="20">
          <cell r="V20">
            <v>6.1479107512740496</v>
          </cell>
        </row>
        <row r="21">
          <cell r="V21">
            <v>7.2032579476923475</v>
          </cell>
        </row>
        <row r="22">
          <cell r="V22">
            <v>7.3021271215001837</v>
          </cell>
        </row>
        <row r="23">
          <cell r="V23">
            <v>7.2991134176174892</v>
          </cell>
        </row>
        <row r="24">
          <cell r="V24">
            <v>8.7821804426521819</v>
          </cell>
        </row>
      </sheetData>
      <sheetData sheetId="61"/>
      <sheetData sheetId="62">
        <row r="10">
          <cell r="V10">
            <v>0.6999999999999964</v>
          </cell>
        </row>
        <row r="16">
          <cell r="V16">
            <v>9.0655139787505892</v>
          </cell>
        </row>
        <row r="17">
          <cell r="V17">
            <v>10.919377103401859</v>
          </cell>
        </row>
        <row r="18">
          <cell r="V18">
            <v>10.796819132083506</v>
          </cell>
        </row>
        <row r="19">
          <cell r="V19">
            <v>10.471282037083274</v>
          </cell>
        </row>
        <row r="20">
          <cell r="V20">
            <v>9.304222953767189</v>
          </cell>
        </row>
        <row r="21">
          <cell r="V21">
            <v>8.8353158922194321</v>
          </cell>
        </row>
        <row r="22">
          <cell r="V22">
            <v>7.9705306255948214</v>
          </cell>
        </row>
        <row r="23">
          <cell r="V23">
            <v>9.5682400066927151</v>
          </cell>
        </row>
        <row r="24">
          <cell r="V24">
            <v>9.1986837842850786</v>
          </cell>
        </row>
      </sheetData>
      <sheetData sheetId="63"/>
      <sheetData sheetId="64">
        <row r="10">
          <cell r="V10">
            <v>1.7000000000000033</v>
          </cell>
        </row>
        <row r="16">
          <cell r="V16">
            <v>11.394480088502242</v>
          </cell>
        </row>
        <row r="17">
          <cell r="V17">
            <v>12.001415370604761</v>
          </cell>
        </row>
        <row r="18">
          <cell r="V18">
            <v>11.624884524139731</v>
          </cell>
        </row>
        <row r="19">
          <cell r="V19">
            <v>11.404603450267746</v>
          </cell>
        </row>
        <row r="20">
          <cell r="V20">
            <v>10.952191430200095</v>
          </cell>
        </row>
        <row r="21">
          <cell r="V21">
            <v>11.121796394817455</v>
          </cell>
        </row>
        <row r="22">
          <cell r="V22">
            <v>11.991417590227151</v>
          </cell>
        </row>
        <row r="23">
          <cell r="V23">
            <v>12.352847337846816</v>
          </cell>
        </row>
        <row r="24">
          <cell r="V24">
            <v>11.247446423766167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0">
          <cell r="V10">
            <v>1.9721335281852912</v>
          </cell>
        </row>
        <row r="16">
          <cell r="V16">
            <v>11.006647631236133</v>
          </cell>
        </row>
        <row r="17">
          <cell r="V17">
            <v>11.261846019647123</v>
          </cell>
        </row>
        <row r="18">
          <cell r="V18">
            <v>11.516019909723829</v>
          </cell>
        </row>
        <row r="19">
          <cell r="V19">
            <v>11.765705672617891</v>
          </cell>
        </row>
        <row r="20">
          <cell r="V20">
            <v>11.048677425479632</v>
          </cell>
        </row>
        <row r="21">
          <cell r="V21">
            <v>11.012814105330563</v>
          </cell>
        </row>
        <row r="22">
          <cell r="V22">
            <v>9.2297548172625934</v>
          </cell>
        </row>
        <row r="23">
          <cell r="V23">
            <v>9.3259657427306291</v>
          </cell>
        </row>
        <row r="24">
          <cell r="V24">
            <v>9.2117778953422977</v>
          </cell>
        </row>
      </sheetData>
      <sheetData sheetId="5"/>
      <sheetData sheetId="6">
        <row r="10">
          <cell r="V10">
            <v>1.816735080301898</v>
          </cell>
        </row>
        <row r="16">
          <cell r="V16">
            <v>12.137906175004575</v>
          </cell>
        </row>
        <row r="17">
          <cell r="V17">
            <v>12.854854322675131</v>
          </cell>
        </row>
        <row r="18">
          <cell r="V18">
            <v>12.037774589972338</v>
          </cell>
        </row>
        <row r="19">
          <cell r="V19">
            <v>11.357735073974876</v>
          </cell>
        </row>
        <row r="20">
          <cell r="V20">
            <v>12.787913612270358</v>
          </cell>
        </row>
        <row r="21">
          <cell r="V21">
            <v>11.481661011432841</v>
          </cell>
        </row>
        <row r="22">
          <cell r="V22">
            <v>12.57542339658243</v>
          </cell>
        </row>
        <row r="23">
          <cell r="V23">
            <v>11.127547553913997</v>
          </cell>
        </row>
        <row r="24">
          <cell r="V24">
            <v>10.007486917315545</v>
          </cell>
        </row>
      </sheetData>
      <sheetData sheetId="7"/>
      <sheetData sheetId="8">
        <row r="10">
          <cell r="V10">
            <v>1.5999999999999992</v>
          </cell>
        </row>
        <row r="16">
          <cell r="V16">
            <v>13.868880775652597</v>
          </cell>
        </row>
        <row r="17">
          <cell r="V17">
            <v>14.149216627605099</v>
          </cell>
        </row>
        <row r="18">
          <cell r="V18">
            <v>14.157299775353998</v>
          </cell>
        </row>
        <row r="19">
          <cell r="V19">
            <v>14.235630555607431</v>
          </cell>
        </row>
        <row r="20">
          <cell r="V20">
            <v>13.449369103965566</v>
          </cell>
        </row>
        <row r="21">
          <cell r="V21">
            <v>13.385189615380066</v>
          </cell>
        </row>
        <row r="22">
          <cell r="V22">
            <v>12.698272661382155</v>
          </cell>
        </row>
        <row r="23">
          <cell r="V23">
            <v>11.789303114681566</v>
          </cell>
        </row>
        <row r="24">
          <cell r="V24">
            <v>13.45758903289671</v>
          </cell>
        </row>
      </sheetData>
      <sheetData sheetId="9"/>
      <sheetData sheetId="10">
        <row r="10">
          <cell r="V10">
            <v>1.816735080301898</v>
          </cell>
        </row>
        <row r="16">
          <cell r="V16">
            <v>15.280075735603315</v>
          </cell>
        </row>
        <row r="17">
          <cell r="V17">
            <v>15.224464098217863</v>
          </cell>
        </row>
        <row r="18">
          <cell r="V18">
            <v>15.317015428280135</v>
          </cell>
        </row>
        <row r="19">
          <cell r="V19">
            <v>15.085688404203985</v>
          </cell>
        </row>
        <row r="20">
          <cell r="V20">
            <v>15.514114323078752</v>
          </cell>
        </row>
        <row r="21">
          <cell r="V21">
            <v>15.070678291122032</v>
          </cell>
        </row>
        <row r="22">
          <cell r="V22">
            <v>15.764302939065226</v>
          </cell>
        </row>
        <row r="23">
          <cell r="V23">
            <v>14.625478369176305</v>
          </cell>
        </row>
        <row r="24">
          <cell r="V24">
            <v>14.382368396739762</v>
          </cell>
        </row>
      </sheetData>
      <sheetData sheetId="11"/>
      <sheetData sheetId="12">
        <row r="10">
          <cell r="V10">
            <v>1.9590010192539069</v>
          </cell>
        </row>
        <row r="16">
          <cell r="V16">
            <v>14.251975710962977</v>
          </cell>
        </row>
        <row r="17">
          <cell r="V17">
            <v>14.48665089622874</v>
          </cell>
        </row>
        <row r="18">
          <cell r="V18">
            <v>14.774138411240168</v>
          </cell>
        </row>
        <row r="19">
          <cell r="V19">
            <v>14.632033487539143</v>
          </cell>
        </row>
        <row r="20">
          <cell r="V20">
            <v>14.488552961682222</v>
          </cell>
        </row>
        <row r="21">
          <cell r="V21">
            <v>14.644690170752558</v>
          </cell>
        </row>
        <row r="22">
          <cell r="V22">
            <v>13.820156694246576</v>
          </cell>
        </row>
        <row r="23">
          <cell r="V23">
            <v>12.904428371491528</v>
          </cell>
        </row>
        <row r="24">
          <cell r="V24">
            <v>12.58733107425536</v>
          </cell>
        </row>
      </sheetData>
      <sheetData sheetId="13"/>
      <sheetData sheetId="14">
        <row r="10">
          <cell r="V10">
            <v>2.2999999999999989</v>
          </cell>
        </row>
        <row r="16">
          <cell r="V16">
            <v>14.384316338871484</v>
          </cell>
        </row>
        <row r="17">
          <cell r="V17">
            <v>14.484874934092012</v>
          </cell>
        </row>
        <row r="18">
          <cell r="V18">
            <v>14.875253456299488</v>
          </cell>
        </row>
        <row r="19">
          <cell r="V19">
            <v>15.060747697575232</v>
          </cell>
        </row>
        <row r="20">
          <cell r="V20">
            <v>14.253081860574772</v>
          </cell>
        </row>
        <row r="21">
          <cell r="V21">
            <v>14.055825784370921</v>
          </cell>
        </row>
        <row r="22">
          <cell r="V22">
            <v>12.832322518018664</v>
          </cell>
        </row>
        <row r="23">
          <cell r="V23">
            <v>10.581165341021189</v>
          </cell>
        </row>
        <row r="24">
          <cell r="V24">
            <v>10.564414128714773</v>
          </cell>
        </row>
      </sheetData>
      <sheetData sheetId="15"/>
      <sheetData sheetId="16">
        <row r="10">
          <cell r="V10">
            <v>1.5000000000000009</v>
          </cell>
        </row>
        <row r="16">
          <cell r="V16">
            <v>13.152723649405855</v>
          </cell>
        </row>
        <row r="17">
          <cell r="V17">
            <v>15.032558352136766</v>
          </cell>
        </row>
        <row r="18">
          <cell r="V18">
            <v>15.805833559432275</v>
          </cell>
        </row>
        <row r="19">
          <cell r="V19">
            <v>15.199700034626924</v>
          </cell>
        </row>
        <row r="20">
          <cell r="V20">
            <v>14.695083310013636</v>
          </cell>
        </row>
        <row r="21">
          <cell r="V21">
            <v>12.632023757116411</v>
          </cell>
        </row>
        <row r="22">
          <cell r="V22">
            <v>10.275204164456227</v>
          </cell>
        </row>
        <row r="23">
          <cell r="V23">
            <v>8.6538881672734718</v>
          </cell>
        </row>
        <row r="24">
          <cell r="V24">
            <v>8.9487229745295895</v>
          </cell>
        </row>
      </sheetData>
      <sheetData sheetId="17"/>
      <sheetData sheetId="18">
        <row r="10">
          <cell r="V10">
            <v>2.0000000000000013</v>
          </cell>
        </row>
        <row r="16">
          <cell r="V16">
            <v>12.275878907248469</v>
          </cell>
        </row>
        <row r="17">
          <cell r="V17">
            <v>14.404877813084031</v>
          </cell>
        </row>
        <row r="18">
          <cell r="V18">
            <v>13.393982283647452</v>
          </cell>
        </row>
        <row r="19">
          <cell r="V19">
            <v>13.098395148457326</v>
          </cell>
        </row>
        <row r="20">
          <cell r="V20">
            <v>13.138831356937487</v>
          </cell>
        </row>
        <row r="21">
          <cell r="V21">
            <v>12.824752423278186</v>
          </cell>
        </row>
        <row r="22">
          <cell r="V22">
            <v>12.443006265126282</v>
          </cell>
        </row>
        <row r="23">
          <cell r="V23">
            <v>11.649507886800082</v>
          </cell>
        </row>
        <row r="24">
          <cell r="V24">
            <v>11.035915167843116</v>
          </cell>
        </row>
      </sheetData>
      <sheetData sheetId="19"/>
      <sheetData sheetId="20">
        <row r="10">
          <cell r="V10">
            <v>1.759230855338024</v>
          </cell>
        </row>
        <row r="16">
          <cell r="V16">
            <v>13.761464317840183</v>
          </cell>
        </row>
        <row r="17">
          <cell r="V17">
            <v>15.144913750388158</v>
          </cell>
        </row>
        <row r="18">
          <cell r="V18">
            <v>14.657312402646886</v>
          </cell>
        </row>
        <row r="19">
          <cell r="V19">
            <v>14.928316626329854</v>
          </cell>
        </row>
        <row r="20">
          <cell r="V20">
            <v>13.3949489437883</v>
          </cell>
        </row>
        <row r="21">
          <cell r="V21">
            <v>13.59329335715039</v>
          </cell>
        </row>
        <row r="22">
          <cell r="V22">
            <v>12.594518816218654</v>
          </cell>
        </row>
        <row r="23">
          <cell r="V23">
            <v>13.062140918506346</v>
          </cell>
        </row>
        <row r="24">
          <cell r="V24">
            <v>12.216068543457824</v>
          </cell>
        </row>
      </sheetData>
      <sheetData sheetId="21"/>
      <sheetData sheetId="22">
        <row r="10">
          <cell r="V10">
            <v>1.673177597483771</v>
          </cell>
        </row>
        <row r="16">
          <cell r="V16">
            <v>12.434693568938687</v>
          </cell>
        </row>
        <row r="17">
          <cell r="V17">
            <v>14.016177167841608</v>
          </cell>
        </row>
        <row r="18">
          <cell r="V18">
            <v>13.769262901772757</v>
          </cell>
        </row>
        <row r="19">
          <cell r="V19">
            <v>12.144427605888195</v>
          </cell>
        </row>
        <row r="20">
          <cell r="V20">
            <v>12.706549986579596</v>
          </cell>
        </row>
        <row r="21">
          <cell r="V21">
            <v>13.854781394995516</v>
          </cell>
        </row>
        <row r="22">
          <cell r="V22">
            <v>13.12654357598986</v>
          </cell>
        </row>
        <row r="23">
          <cell r="V23">
            <v>12.013408410728253</v>
          </cell>
        </row>
        <row r="24">
          <cell r="V24">
            <v>12.490110586467624</v>
          </cell>
        </row>
      </sheetData>
      <sheetData sheetId="23"/>
      <sheetData sheetId="24">
        <row r="10">
          <cell r="V10">
            <v>1.7000000000000004</v>
          </cell>
        </row>
        <row r="16">
          <cell r="V16">
            <v>13.47838370389757</v>
          </cell>
        </row>
        <row r="17">
          <cell r="V17">
            <v>15.225183121523166</v>
          </cell>
        </row>
        <row r="18">
          <cell r="V18">
            <v>14.979944716625223</v>
          </cell>
        </row>
        <row r="19">
          <cell r="V19">
            <v>14.644549811608776</v>
          </cell>
        </row>
        <row r="20">
          <cell r="V20">
            <v>14.559361161417289</v>
          </cell>
        </row>
        <row r="21">
          <cell r="V21">
            <v>11.981755986882842</v>
          </cell>
        </row>
        <row r="22">
          <cell r="V22">
            <v>10.821737857279443</v>
          </cell>
        </row>
        <row r="23">
          <cell r="V23">
            <v>11.516077198154804</v>
          </cell>
        </row>
        <row r="24">
          <cell r="V24">
            <v>15.727099659004413</v>
          </cell>
        </row>
      </sheetData>
      <sheetData sheetId="25"/>
      <sheetData sheetId="26">
        <row r="10">
          <cell r="V10">
            <v>1.7999999999999983</v>
          </cell>
        </row>
        <row r="16">
          <cell r="V16">
            <v>12.68375698180056</v>
          </cell>
        </row>
        <row r="17">
          <cell r="V17">
            <v>14.442700604481068</v>
          </cell>
        </row>
        <row r="18">
          <cell r="V18">
            <v>13.434947945470981</v>
          </cell>
        </row>
        <row r="19">
          <cell r="V19">
            <v>13.582598723482093</v>
          </cell>
        </row>
        <row r="20">
          <cell r="V20">
            <v>13.332517396931392</v>
          </cell>
        </row>
        <row r="21">
          <cell r="V21">
            <v>12.254075963199453</v>
          </cell>
        </row>
        <row r="22">
          <cell r="V22">
            <v>10.906445192309713</v>
          </cell>
        </row>
        <row r="23">
          <cell r="V23">
            <v>9.516454217642357</v>
          </cell>
        </row>
        <row r="24">
          <cell r="V24">
            <v>8.6851516365040169</v>
          </cell>
        </row>
      </sheetData>
      <sheetData sheetId="27"/>
      <sheetData sheetId="28">
        <row r="10">
          <cell r="V10">
            <v>1.8591159607169385</v>
          </cell>
        </row>
        <row r="16">
          <cell r="V16">
            <v>12.697539266825689</v>
          </cell>
        </row>
        <row r="17">
          <cell r="V17">
            <v>13.709688538478403</v>
          </cell>
        </row>
        <row r="18">
          <cell r="V18">
            <v>12.92216157721516</v>
          </cell>
        </row>
        <row r="19">
          <cell r="V19">
            <v>11.859979473959411</v>
          </cell>
        </row>
        <row r="20">
          <cell r="V20">
            <v>11.02677953637402</v>
          </cell>
        </row>
        <row r="21">
          <cell r="V21">
            <v>10.154378464081631</v>
          </cell>
        </row>
        <row r="22">
          <cell r="V22">
            <v>8.1318080164522204</v>
          </cell>
        </row>
        <row r="23">
          <cell r="V23">
            <v>7.2330364828460034</v>
          </cell>
        </row>
        <row r="24">
          <cell r="V24">
            <v>6.9557909269088691</v>
          </cell>
        </row>
      </sheetData>
      <sheetData sheetId="29"/>
      <sheetData sheetId="30">
        <row r="10">
          <cell r="V10">
            <v>0.42866947514225356</v>
          </cell>
        </row>
        <row r="16">
          <cell r="V16">
            <v>8.5814119797233115</v>
          </cell>
        </row>
        <row r="17">
          <cell r="V17">
            <v>10.279296933625309</v>
          </cell>
        </row>
        <row r="18">
          <cell r="V18">
            <v>9.5530587487530916</v>
          </cell>
        </row>
        <row r="19">
          <cell r="V19">
            <v>9.5280713395064787</v>
          </cell>
        </row>
        <row r="20">
          <cell r="V20">
            <v>9.5008877481146268</v>
          </cell>
        </row>
        <row r="21">
          <cell r="V21">
            <v>10.28305252958441</v>
          </cell>
        </row>
        <row r="22">
          <cell r="V22">
            <v>9.9155379682287119</v>
          </cell>
        </row>
        <row r="23">
          <cell r="V23">
            <v>9.0149696741669043</v>
          </cell>
        </row>
        <row r="24">
          <cell r="V24">
            <v>10.692240909478715</v>
          </cell>
        </row>
      </sheetData>
      <sheetData sheetId="31"/>
      <sheetData sheetId="32">
        <row r="10">
          <cell r="V10">
            <v>2.2000000000000006</v>
          </cell>
        </row>
        <row r="16">
          <cell r="V16">
            <v>12.823797539088407</v>
          </cell>
        </row>
        <row r="17">
          <cell r="V17">
            <v>13.912922892842447</v>
          </cell>
        </row>
        <row r="18">
          <cell r="V18">
            <v>13.52722993513256</v>
          </cell>
        </row>
        <row r="19">
          <cell r="V19">
            <v>13.634559456736394</v>
          </cell>
        </row>
        <row r="20">
          <cell r="V20">
            <v>14.147215666243877</v>
          </cell>
        </row>
        <row r="21">
          <cell r="V21">
            <v>12.84700629548184</v>
          </cell>
        </row>
        <row r="22">
          <cell r="V22">
            <v>12.463737161054965</v>
          </cell>
        </row>
        <row r="23">
          <cell r="V23">
            <v>11.734251094152846</v>
          </cell>
        </row>
        <row r="24">
          <cell r="V24">
            <v>10.6829635189169</v>
          </cell>
        </row>
      </sheetData>
      <sheetData sheetId="33"/>
      <sheetData sheetId="34">
        <row r="10">
          <cell r="V10">
            <v>1.6999999999999977</v>
          </cell>
        </row>
        <row r="16">
          <cell r="V16">
            <v>13.67986121114672</v>
          </cell>
        </row>
        <row r="17">
          <cell r="V17">
            <v>16.191449376822739</v>
          </cell>
        </row>
        <row r="18">
          <cell r="V18">
            <v>14.356612651246282</v>
          </cell>
        </row>
        <row r="19">
          <cell r="V19">
            <v>14.180877044223747</v>
          </cell>
        </row>
        <row r="20">
          <cell r="V20">
            <v>12.966247781854463</v>
          </cell>
        </row>
        <row r="21">
          <cell r="V21">
            <v>13.927945928960842</v>
          </cell>
        </row>
        <row r="22">
          <cell r="V22">
            <v>11.804405072209555</v>
          </cell>
        </row>
        <row r="23">
          <cell r="V23">
            <v>9.9701678865972934</v>
          </cell>
        </row>
        <row r="24">
          <cell r="V24">
            <v>10.848936464344625</v>
          </cell>
        </row>
      </sheetData>
      <sheetData sheetId="35"/>
      <sheetData sheetId="36">
        <row r="10">
          <cell r="V10">
            <v>2.5999999999999992</v>
          </cell>
        </row>
        <row r="16">
          <cell r="V16">
            <v>11.546376334669423</v>
          </cell>
        </row>
        <row r="17">
          <cell r="V17">
            <v>12.86527965664636</v>
          </cell>
        </row>
        <row r="18">
          <cell r="V18">
            <v>12.361248946797529</v>
          </cell>
        </row>
        <row r="19">
          <cell r="V19">
            <v>11.101507124332404</v>
          </cell>
        </row>
        <row r="20">
          <cell r="V20">
            <v>11.946756973274084</v>
          </cell>
        </row>
        <row r="21">
          <cell r="V21">
            <v>11.409187059964712</v>
          </cell>
        </row>
        <row r="22">
          <cell r="V22">
            <v>10.645472894535505</v>
          </cell>
        </row>
        <row r="23">
          <cell r="V23">
            <v>11.413827936450565</v>
          </cell>
        </row>
        <row r="24">
          <cell r="V24">
            <v>11.27728878244819</v>
          </cell>
        </row>
      </sheetData>
      <sheetData sheetId="37"/>
      <sheetData sheetId="38">
        <row r="10">
          <cell r="V10">
            <v>1.8999999999999995</v>
          </cell>
        </row>
        <row r="16">
          <cell r="V16">
            <v>10.138643627681919</v>
          </cell>
        </row>
        <row r="17">
          <cell r="V17">
            <v>10.903806849139798</v>
          </cell>
        </row>
        <row r="18">
          <cell r="V18">
            <v>9.9061088633920509</v>
          </cell>
        </row>
        <row r="19">
          <cell r="V19">
            <v>8.5754501241595342</v>
          </cell>
        </row>
        <row r="20">
          <cell r="V20">
            <v>8.1475706910475498</v>
          </cell>
        </row>
        <row r="21">
          <cell r="V21">
            <v>9.5215237563531545</v>
          </cell>
        </row>
        <row r="22">
          <cell r="V22">
            <v>8.331417847710485</v>
          </cell>
        </row>
        <row r="23">
          <cell r="V23">
            <v>9.0483023039328607</v>
          </cell>
        </row>
        <row r="24">
          <cell r="V24">
            <v>7.5872168742236639</v>
          </cell>
        </row>
      </sheetData>
      <sheetData sheetId="39"/>
      <sheetData sheetId="40">
        <row r="10">
          <cell r="V10">
            <v>1.459575258149276</v>
          </cell>
        </row>
        <row r="16">
          <cell r="V16">
            <v>10.193818984453195</v>
          </cell>
        </row>
        <row r="17">
          <cell r="V17">
            <v>11.649013107468797</v>
          </cell>
        </row>
        <row r="18">
          <cell r="V18">
            <v>11.009712562127021</v>
          </cell>
        </row>
        <row r="19">
          <cell r="V19">
            <v>9.3834032402004652</v>
          </cell>
        </row>
        <row r="20">
          <cell r="V20">
            <v>10.209981630085025</v>
          </cell>
        </row>
        <row r="21">
          <cell r="V21">
            <v>9.9990974856029595</v>
          </cell>
        </row>
        <row r="22">
          <cell r="V22">
            <v>10.632633635065707</v>
          </cell>
        </row>
        <row r="23">
          <cell r="V23">
            <v>9.380213867016721</v>
          </cell>
        </row>
        <row r="24">
          <cell r="V24">
            <v>8.3931898005539036</v>
          </cell>
        </row>
      </sheetData>
      <sheetData sheetId="41"/>
      <sheetData sheetId="42">
        <row r="10">
          <cell r="V10">
            <v>1.3000000000000009</v>
          </cell>
        </row>
        <row r="16">
          <cell r="V16">
            <v>10.429144873030085</v>
          </cell>
        </row>
        <row r="17">
          <cell r="V17">
            <v>13.06896088400608</v>
          </cell>
        </row>
        <row r="18">
          <cell r="V18">
            <v>11.943917595621457</v>
          </cell>
        </row>
        <row r="19">
          <cell r="V19">
            <v>10.040383275657723</v>
          </cell>
        </row>
        <row r="20">
          <cell r="V20">
            <v>8.7247734058326731</v>
          </cell>
        </row>
        <row r="21">
          <cell r="V21">
            <v>5.4495569402843289</v>
          </cell>
        </row>
        <row r="22">
          <cell r="V22">
            <v>4.0240743893808659</v>
          </cell>
        </row>
        <row r="23">
          <cell r="V23">
            <v>2.6988264558291823</v>
          </cell>
        </row>
        <row r="24">
          <cell r="V24">
            <v>1.814196805826247</v>
          </cell>
        </row>
      </sheetData>
      <sheetData sheetId="43"/>
      <sheetData sheetId="44">
        <row r="10">
          <cell r="V10">
            <v>1.1599192393818369</v>
          </cell>
        </row>
        <row r="16">
          <cell r="V16">
            <v>9.8091385063829417</v>
          </cell>
        </row>
        <row r="17">
          <cell r="V17">
            <v>10.595256161281572</v>
          </cell>
        </row>
        <row r="18">
          <cell r="V18">
            <v>10.146899707346071</v>
          </cell>
        </row>
        <row r="19">
          <cell r="V19">
            <v>9.9489902277939564</v>
          </cell>
        </row>
        <row r="20">
          <cell r="V20">
            <v>9.6700783847160334</v>
          </cell>
        </row>
        <row r="21">
          <cell r="V21">
            <v>9.4717889908906994</v>
          </cell>
        </row>
        <row r="22">
          <cell r="V22">
            <v>8.2714908829114702</v>
          </cell>
        </row>
        <row r="23">
          <cell r="V23">
            <v>6.0591656961501714</v>
          </cell>
        </row>
        <row r="24">
          <cell r="V24">
            <v>5.3198103954651055</v>
          </cell>
        </row>
      </sheetData>
      <sheetData sheetId="45"/>
      <sheetData sheetId="46">
        <row r="10">
          <cell r="V10">
            <v>1.8000000000000009</v>
          </cell>
        </row>
        <row r="16">
          <cell r="V16">
            <v>11.530537295327782</v>
          </cell>
        </row>
        <row r="17">
          <cell r="V17">
            <v>11.867288468353618</v>
          </cell>
        </row>
        <row r="18">
          <cell r="V18">
            <v>11.749090213507728</v>
          </cell>
        </row>
        <row r="19">
          <cell r="V19">
            <v>11.333124128881504</v>
          </cell>
        </row>
        <row r="20">
          <cell r="V20">
            <v>10.329464307445063</v>
          </cell>
        </row>
        <row r="21">
          <cell r="V21">
            <v>9.4060093566047041</v>
          </cell>
        </row>
        <row r="22">
          <cell r="V22">
            <v>8.6538615763723392</v>
          </cell>
        </row>
        <row r="23">
          <cell r="V23">
            <v>9.1070277107356894</v>
          </cell>
        </row>
        <row r="24">
          <cell r="V24">
            <v>8.7223385167735934</v>
          </cell>
        </row>
      </sheetData>
      <sheetData sheetId="47"/>
      <sheetData sheetId="48">
        <row r="10">
          <cell r="V10">
            <v>2.1999999999999984</v>
          </cell>
        </row>
        <row r="16">
          <cell r="V16">
            <v>12.314942063029363</v>
          </cell>
        </row>
        <row r="17">
          <cell r="V17">
            <v>14.037133263175654</v>
          </cell>
        </row>
        <row r="18">
          <cell r="V18">
            <v>12.094166984720458</v>
          </cell>
        </row>
        <row r="19">
          <cell r="V19">
            <v>11.771805117192486</v>
          </cell>
        </row>
        <row r="20">
          <cell r="V20">
            <v>11.47088865461658</v>
          </cell>
        </row>
        <row r="21">
          <cell r="V21">
            <v>10.918259575427134</v>
          </cell>
        </row>
        <row r="22">
          <cell r="V22">
            <v>11.06031889381917</v>
          </cell>
        </row>
        <row r="23">
          <cell r="V23">
            <v>10.994557357534271</v>
          </cell>
        </row>
        <row r="24">
          <cell r="V24">
            <v>10.500201249042778</v>
          </cell>
        </row>
      </sheetData>
      <sheetData sheetId="49"/>
      <sheetData sheetId="50">
        <row r="10">
          <cell r="V10">
            <v>1.3742203935876842</v>
          </cell>
        </row>
        <row r="16">
          <cell r="V16">
            <v>12.738927094243206</v>
          </cell>
        </row>
        <row r="17">
          <cell r="V17">
            <v>14.81208939878338</v>
          </cell>
        </row>
        <row r="18">
          <cell r="V18">
            <v>13.357476869863801</v>
          </cell>
        </row>
        <row r="19">
          <cell r="V19">
            <v>11.686299486682778</v>
          </cell>
        </row>
        <row r="20">
          <cell r="V20">
            <v>11.404930066874757</v>
          </cell>
        </row>
        <row r="21">
          <cell r="V21">
            <v>12.288558630335984</v>
          </cell>
        </row>
        <row r="22">
          <cell r="V22">
            <v>11.898749951396161</v>
          </cell>
        </row>
        <row r="23">
          <cell r="V23">
            <v>10.932373733537261</v>
          </cell>
        </row>
        <row r="24">
          <cell r="V24">
            <v>11.078240162547694</v>
          </cell>
        </row>
      </sheetData>
      <sheetData sheetId="51"/>
      <sheetData sheetId="52">
        <row r="10">
          <cell r="V10">
            <v>2.2710881857003762</v>
          </cell>
        </row>
        <row r="16">
          <cell r="V16">
            <v>16.849725459420874</v>
          </cell>
        </row>
        <row r="17">
          <cell r="V17">
            <v>16.542924993740893</v>
          </cell>
        </row>
        <row r="18">
          <cell r="V18">
            <v>15.920390901815736</v>
          </cell>
        </row>
        <row r="19">
          <cell r="V19">
            <v>15.968740679141437</v>
          </cell>
        </row>
        <row r="20">
          <cell r="V20">
            <v>16.746953950576305</v>
          </cell>
        </row>
        <row r="21">
          <cell r="V21">
            <v>16.019858741027612</v>
          </cell>
        </row>
        <row r="22">
          <cell r="V22">
            <v>16.696392740339867</v>
          </cell>
        </row>
        <row r="23">
          <cell r="V23">
            <v>16.696547280410019</v>
          </cell>
        </row>
        <row r="24">
          <cell r="V24">
            <v>16.748049601393141</v>
          </cell>
        </row>
      </sheetData>
      <sheetData sheetId="53"/>
      <sheetData sheetId="54">
        <row r="10">
          <cell r="V10">
            <v>1.8591159607169385</v>
          </cell>
        </row>
        <row r="16">
          <cell r="V16">
            <v>14.586087107800902</v>
          </cell>
        </row>
        <row r="17">
          <cell r="V17">
            <v>15.665273964970028</v>
          </cell>
        </row>
        <row r="18">
          <cell r="V18">
            <v>15.541368429703267</v>
          </cell>
        </row>
        <row r="19">
          <cell r="V19">
            <v>15.284433298380062</v>
          </cell>
        </row>
        <row r="20">
          <cell r="V20">
            <v>15.397134136415637</v>
          </cell>
        </row>
        <row r="21">
          <cell r="V21">
            <v>13.505837591489572</v>
          </cell>
        </row>
        <row r="22">
          <cell r="V22">
            <v>13.41303530544508</v>
          </cell>
        </row>
        <row r="23">
          <cell r="V23">
            <v>12.643072887436112</v>
          </cell>
        </row>
        <row r="24">
          <cell r="V24">
            <v>12.702908941962924</v>
          </cell>
        </row>
      </sheetData>
      <sheetData sheetId="55"/>
      <sheetData sheetId="56">
        <row r="10">
          <cell r="V10">
            <v>2.0000000000000013</v>
          </cell>
        </row>
        <row r="16">
          <cell r="V16">
            <v>16.185073279961543</v>
          </cell>
        </row>
        <row r="17">
          <cell r="V17">
            <v>16.493871508388757</v>
          </cell>
        </row>
        <row r="18">
          <cell r="V18">
            <v>16.129892319380602</v>
          </cell>
        </row>
        <row r="19">
          <cell r="V19">
            <v>16.134061412711215</v>
          </cell>
        </row>
        <row r="20">
          <cell r="V20">
            <v>16.025828918893364</v>
          </cell>
        </row>
        <row r="21">
          <cell r="V21">
            <v>15.44600032530728</v>
          </cell>
        </row>
        <row r="22">
          <cell r="V22">
            <v>15.438901383030586</v>
          </cell>
        </row>
        <row r="23">
          <cell r="V23">
            <v>16.264329199888646</v>
          </cell>
        </row>
        <row r="24">
          <cell r="V24">
            <v>15.739488146291198</v>
          </cell>
        </row>
      </sheetData>
      <sheetData sheetId="57"/>
      <sheetData sheetId="58">
        <row r="10">
          <cell r="V10">
            <v>2.0999999999999992</v>
          </cell>
        </row>
        <row r="16">
          <cell r="V16">
            <v>12.812229278173357</v>
          </cell>
        </row>
        <row r="17">
          <cell r="V17">
            <v>15.13495580772909</v>
          </cell>
        </row>
        <row r="18">
          <cell r="V18">
            <v>15.760954869076819</v>
          </cell>
        </row>
        <row r="19">
          <cell r="V19">
            <v>15.217939380824774</v>
          </cell>
        </row>
        <row r="20">
          <cell r="V20">
            <v>14.312685407288011</v>
          </cell>
        </row>
        <row r="21">
          <cell r="V21">
            <v>14.216703201595475</v>
          </cell>
        </row>
        <row r="22">
          <cell r="V22">
            <v>12.094494180442917</v>
          </cell>
        </row>
        <row r="23">
          <cell r="V23">
            <v>11.82987248757809</v>
          </cell>
        </row>
        <row r="24">
          <cell r="V24">
            <v>10.815988737394717</v>
          </cell>
        </row>
      </sheetData>
      <sheetData sheetId="59"/>
      <sheetData sheetId="60">
        <row r="10">
          <cell r="V10">
            <v>2.2768143017498286</v>
          </cell>
        </row>
        <row r="16">
          <cell r="V16">
            <v>13.923187055647617</v>
          </cell>
        </row>
        <row r="17">
          <cell r="V17">
            <v>15.273155497976953</v>
          </cell>
        </row>
        <row r="18">
          <cell r="V18">
            <v>15.011461192374664</v>
          </cell>
        </row>
        <row r="19">
          <cell r="V19">
            <v>15.21331104309448</v>
          </cell>
        </row>
        <row r="20">
          <cell r="V20">
            <v>14.653260109132633</v>
          </cell>
        </row>
        <row r="21">
          <cell r="V21">
            <v>13.95513391244693</v>
          </cell>
        </row>
        <row r="22">
          <cell r="V22">
            <v>15.464918119945175</v>
          </cell>
        </row>
        <row r="23">
          <cell r="V23">
            <v>14.834628967403683</v>
          </cell>
        </row>
        <row r="24">
          <cell r="V24">
            <v>15.924680854553545</v>
          </cell>
        </row>
      </sheetData>
      <sheetData sheetId="61"/>
      <sheetData sheetId="62">
        <row r="10">
          <cell r="V10">
            <v>1.8999999999999995</v>
          </cell>
        </row>
        <row r="16">
          <cell r="V16">
            <v>11.464438710750938</v>
          </cell>
        </row>
        <row r="17">
          <cell r="V17">
            <v>11.221743890713682</v>
          </cell>
        </row>
        <row r="18">
          <cell r="V18">
            <v>10.692328431065384</v>
          </cell>
        </row>
        <row r="19">
          <cell r="V19">
            <v>10.975525302620259</v>
          </cell>
        </row>
        <row r="20">
          <cell r="V20">
            <v>11.323921109986307</v>
          </cell>
        </row>
        <row r="21">
          <cell r="V21">
            <v>11.048492574646016</v>
          </cell>
        </row>
        <row r="22">
          <cell r="V22">
            <v>10.524096600416014</v>
          </cell>
        </row>
        <row r="23">
          <cell r="V23">
            <v>10.356761389273988</v>
          </cell>
        </row>
        <row r="24">
          <cell r="V24">
            <v>10.179625334063729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0">
          <cell r="V10">
            <v>1.2745677093554499</v>
          </cell>
        </row>
        <row r="16">
          <cell r="V16">
            <v>10.706834319111037</v>
          </cell>
        </row>
        <row r="17">
          <cell r="V17">
            <v>10.907064664431159</v>
          </cell>
        </row>
        <row r="18">
          <cell r="V18">
            <v>11.357708447326159</v>
          </cell>
        </row>
        <row r="19">
          <cell r="V19">
            <v>11.849261775853259</v>
          </cell>
        </row>
        <row r="20">
          <cell r="V20">
            <v>12.004899724245075</v>
          </cell>
        </row>
        <row r="21">
          <cell r="V21">
            <v>11.562207319236382</v>
          </cell>
        </row>
        <row r="22">
          <cell r="V22">
            <v>12.194677960198899</v>
          </cell>
        </row>
        <row r="23">
          <cell r="V23">
            <v>12.125292943878227</v>
          </cell>
        </row>
        <row r="24">
          <cell r="V24">
            <v>11.769732640033482</v>
          </cell>
        </row>
      </sheetData>
      <sheetData sheetId="5"/>
      <sheetData sheetId="6">
        <row r="10">
          <cell r="V10">
            <v>1.6593457031171326</v>
          </cell>
        </row>
        <row r="16">
          <cell r="V16">
            <v>11.392291958599193</v>
          </cell>
        </row>
        <row r="17">
          <cell r="V17">
            <v>11.528742883394408</v>
          </cell>
        </row>
        <row r="18">
          <cell r="V18">
            <v>11.578789442729088</v>
          </cell>
        </row>
        <row r="19">
          <cell r="V19">
            <v>11.70082705859738</v>
          </cell>
        </row>
        <row r="20">
          <cell r="V20">
            <v>10.869792482371428</v>
          </cell>
        </row>
        <row r="21">
          <cell r="V21">
            <v>11.180352927641808</v>
          </cell>
        </row>
        <row r="22">
          <cell r="V22">
            <v>11.638216088941029</v>
          </cell>
        </row>
        <row r="23">
          <cell r="V23">
            <v>10.482192829924514</v>
          </cell>
        </row>
        <row r="24">
          <cell r="V24">
            <v>9.4645031857149231</v>
          </cell>
        </row>
      </sheetData>
      <sheetData sheetId="7"/>
      <sheetData sheetId="8">
        <row r="10">
          <cell r="V10">
            <v>1.7000000000000004</v>
          </cell>
        </row>
        <row r="16">
          <cell r="V16">
            <v>13.377821695162815</v>
          </cell>
        </row>
        <row r="17">
          <cell r="V17">
            <v>13.821348521946588</v>
          </cell>
        </row>
        <row r="18">
          <cell r="V18">
            <v>13.854953708449184</v>
          </cell>
        </row>
        <row r="19">
          <cell r="V19">
            <v>14.251837366080393</v>
          </cell>
        </row>
        <row r="20">
          <cell r="V20">
            <v>13.099507345197161</v>
          </cell>
        </row>
        <row r="21">
          <cell r="V21">
            <v>12.070628590159524</v>
          </cell>
        </row>
        <row r="22">
          <cell r="V22">
            <v>9.8009608855734829</v>
          </cell>
        </row>
        <row r="23">
          <cell r="V23">
            <v>9.1680816702916701</v>
          </cell>
        </row>
        <row r="24">
          <cell r="V24">
            <v>7.5998533678818632</v>
          </cell>
        </row>
      </sheetData>
      <sheetData sheetId="9"/>
      <sheetData sheetId="10">
        <row r="10">
          <cell r="V10">
            <v>2.6696924152223018</v>
          </cell>
        </row>
        <row r="16">
          <cell r="V16">
            <v>13.60160540270256</v>
          </cell>
        </row>
        <row r="17">
          <cell r="V17">
            <v>13.618168118931075</v>
          </cell>
        </row>
        <row r="18">
          <cell r="V18">
            <v>13.211324078113282</v>
          </cell>
        </row>
        <row r="19">
          <cell r="V19">
            <v>12.385761179511688</v>
          </cell>
        </row>
        <row r="20">
          <cell r="V20">
            <v>12.636647966198169</v>
          </cell>
        </row>
        <row r="21">
          <cell r="V21">
            <v>12.030547719374892</v>
          </cell>
        </row>
        <row r="22">
          <cell r="V22">
            <v>11.558823470910353</v>
          </cell>
        </row>
        <row r="23">
          <cell r="V23">
            <v>10.442681344784363</v>
          </cell>
        </row>
        <row r="24">
          <cell r="V24">
            <v>10.721436153271762</v>
          </cell>
        </row>
      </sheetData>
      <sheetData sheetId="11"/>
      <sheetData sheetId="12">
        <row r="10">
          <cell r="V10">
            <v>2.0999999999999992</v>
          </cell>
        </row>
        <row r="16">
          <cell r="V16">
            <v>13.587502703636625</v>
          </cell>
        </row>
        <row r="17">
          <cell r="V17">
            <v>14.244376169393496</v>
          </cell>
        </row>
        <row r="18">
          <cell r="V18">
            <v>13.453853120921995</v>
          </cell>
        </row>
        <row r="19">
          <cell r="V19">
            <v>11.984271071252561</v>
          </cell>
        </row>
        <row r="20">
          <cell r="V20">
            <v>9.1527791771112117</v>
          </cell>
        </row>
        <row r="21">
          <cell r="V21">
            <v>7.4577876109811854</v>
          </cell>
        </row>
        <row r="22">
          <cell r="V22">
            <v>5.3554080078457416</v>
          </cell>
        </row>
        <row r="23">
          <cell r="V23">
            <v>4.7472311712232091</v>
          </cell>
        </row>
        <row r="24">
          <cell r="V24">
            <v>4.7819254894378194</v>
          </cell>
        </row>
      </sheetData>
      <sheetData sheetId="13"/>
      <sheetData sheetId="14">
        <row r="10">
          <cell r="V10">
            <v>2.116041969988447</v>
          </cell>
        </row>
        <row r="16">
          <cell r="V16">
            <v>13.253993697946076</v>
          </cell>
        </row>
        <row r="17">
          <cell r="V17">
            <v>13.253443597040295</v>
          </cell>
        </row>
        <row r="18">
          <cell r="V18">
            <v>13.153393139935478</v>
          </cell>
        </row>
        <row r="19">
          <cell r="V19">
            <v>13.072497461567105</v>
          </cell>
        </row>
        <row r="20">
          <cell r="V20">
            <v>13.103198598308738</v>
          </cell>
        </row>
        <row r="21">
          <cell r="V21">
            <v>13.195471915542171</v>
          </cell>
        </row>
        <row r="22">
          <cell r="V22">
            <v>13.610604543219406</v>
          </cell>
        </row>
        <row r="23">
          <cell r="V23">
            <v>13.882660345772582</v>
          </cell>
        </row>
        <row r="24">
          <cell r="V24">
            <v>13.218445760081204</v>
          </cell>
        </row>
      </sheetData>
      <sheetData sheetId="15"/>
      <sheetData sheetId="16">
        <row r="10">
          <cell r="V10">
            <v>2.0162731007548795</v>
          </cell>
        </row>
        <row r="16">
          <cell r="V16">
            <v>13.478600984792815</v>
          </cell>
        </row>
        <row r="17">
          <cell r="V17">
            <v>13.562397109133641</v>
          </cell>
        </row>
        <row r="18">
          <cell r="V18">
            <v>13.343500573347137</v>
          </cell>
        </row>
        <row r="19">
          <cell r="V19">
            <v>13.676799774114905</v>
          </cell>
        </row>
        <row r="20">
          <cell r="V20">
            <v>13.381534255479444</v>
          </cell>
        </row>
        <row r="21">
          <cell r="V21">
            <v>13.590929864388052</v>
          </cell>
        </row>
        <row r="22">
          <cell r="V22">
            <v>12.728856371962562</v>
          </cell>
        </row>
        <row r="23">
          <cell r="V23">
            <v>10.994594252160303</v>
          </cell>
        </row>
        <row r="24">
          <cell r="V24">
            <v>9.2556626220719753</v>
          </cell>
        </row>
      </sheetData>
      <sheetData sheetId="17"/>
      <sheetData sheetId="18">
        <row r="10">
          <cell r="V10">
            <v>1.2181187630465768</v>
          </cell>
        </row>
        <row r="16">
          <cell r="V16">
            <v>12.155643505772412</v>
          </cell>
        </row>
        <row r="17">
          <cell r="V17">
            <v>12.492311180222607</v>
          </cell>
        </row>
        <row r="18">
          <cell r="V18">
            <v>12.63400699021874</v>
          </cell>
        </row>
        <row r="19">
          <cell r="V19">
            <v>13.47843739855425</v>
          </cell>
        </row>
        <row r="20">
          <cell r="V20">
            <v>13.543726632951349</v>
          </cell>
        </row>
        <row r="21">
          <cell r="V21">
            <v>14.29253935652431</v>
          </cell>
        </row>
        <row r="22">
          <cell r="V22">
            <v>13.726345159285728</v>
          </cell>
        </row>
        <row r="23">
          <cell r="V23">
            <v>13.931848791648989</v>
          </cell>
        </row>
        <row r="24">
          <cell r="V24">
            <v>13.572559566679839</v>
          </cell>
        </row>
      </sheetData>
      <sheetData sheetId="19"/>
      <sheetData sheetId="20">
        <row r="10">
          <cell r="V10">
            <v>1.5000000000000009</v>
          </cell>
        </row>
        <row r="16">
          <cell r="V16">
            <v>11.766543726822434</v>
          </cell>
        </row>
        <row r="17">
          <cell r="V17">
            <v>11.768113946337817</v>
          </cell>
        </row>
        <row r="18">
          <cell r="V18">
            <v>11.971713425773647</v>
          </cell>
        </row>
        <row r="19">
          <cell r="V19">
            <v>12.07334925781989</v>
          </cell>
        </row>
        <row r="20">
          <cell r="V20">
            <v>12.007271158722963</v>
          </cell>
        </row>
        <row r="21">
          <cell r="V21">
            <v>12.416421161342857</v>
          </cell>
        </row>
        <row r="22">
          <cell r="V22">
            <v>12.416636594569059</v>
          </cell>
        </row>
        <row r="23">
          <cell r="V23">
            <v>12.557228838060979</v>
          </cell>
        </row>
        <row r="24">
          <cell r="V24">
            <v>13.029956538955576</v>
          </cell>
        </row>
      </sheetData>
      <sheetData sheetId="21"/>
      <sheetData sheetId="22">
        <row r="10">
          <cell r="V10">
            <v>2.000000000000004</v>
          </cell>
        </row>
        <row r="16">
          <cell r="V16">
            <v>14.485642063280219</v>
          </cell>
        </row>
        <row r="17">
          <cell r="V17">
            <v>14.686898658196164</v>
          </cell>
        </row>
        <row r="18">
          <cell r="V18">
            <v>15.740121515966806</v>
          </cell>
        </row>
        <row r="19">
          <cell r="V19">
            <v>15.919201882553793</v>
          </cell>
        </row>
        <row r="20">
          <cell r="V20">
            <v>16.300416134275903</v>
          </cell>
        </row>
        <row r="21">
          <cell r="V21">
            <v>15.544714483468038</v>
          </cell>
        </row>
        <row r="22">
          <cell r="V22">
            <v>15.983301858210215</v>
          </cell>
        </row>
        <row r="23">
          <cell r="V23">
            <v>15.763711136351521</v>
          </cell>
        </row>
        <row r="24">
          <cell r="V24">
            <v>15.388029009524612</v>
          </cell>
        </row>
      </sheetData>
      <sheetData sheetId="23"/>
      <sheetData sheetId="24">
        <row r="10">
          <cell r="V10">
            <v>2.2000000000000006</v>
          </cell>
        </row>
        <row r="16">
          <cell r="V16">
            <v>15.739631241245393</v>
          </cell>
        </row>
        <row r="17">
          <cell r="V17">
            <v>15.428714842037676</v>
          </cell>
        </row>
        <row r="18">
          <cell r="V18">
            <v>15.428441821570082</v>
          </cell>
        </row>
        <row r="19">
          <cell r="V19">
            <v>15.829046254498259</v>
          </cell>
        </row>
        <row r="20">
          <cell r="V20">
            <v>16.232932246525571</v>
          </cell>
        </row>
        <row r="21">
          <cell r="V21">
            <v>16.179365163011642</v>
          </cell>
        </row>
        <row r="22">
          <cell r="V22">
            <v>16.842868766864076</v>
          </cell>
        </row>
        <row r="23">
          <cell r="V23">
            <v>17.01900322399786</v>
          </cell>
        </row>
        <row r="24">
          <cell r="V24">
            <v>17.12164707400677</v>
          </cell>
        </row>
      </sheetData>
      <sheetData sheetId="25"/>
      <sheetData sheetId="26">
        <row r="10">
          <cell r="V10">
            <v>1.6593457031171326</v>
          </cell>
        </row>
        <row r="16">
          <cell r="V16">
            <v>14.411650677664994</v>
          </cell>
        </row>
        <row r="17">
          <cell r="V17">
            <v>14.773334071010355</v>
          </cell>
        </row>
        <row r="18">
          <cell r="V18">
            <v>15.637541168452136</v>
          </cell>
        </row>
        <row r="19">
          <cell r="V19">
            <v>16.242677881919828</v>
          </cell>
        </row>
        <row r="20">
          <cell r="V20">
            <v>16.392478251554962</v>
          </cell>
        </row>
        <row r="21">
          <cell r="V21">
            <v>15.911423316722535</v>
          </cell>
        </row>
        <row r="22">
          <cell r="V22">
            <v>14.747269888238357</v>
          </cell>
        </row>
        <row r="23">
          <cell r="V23">
            <v>14.108625703242634</v>
          </cell>
        </row>
        <row r="24">
          <cell r="V24">
            <v>12.977081715526218</v>
          </cell>
        </row>
      </sheetData>
      <sheetData sheetId="27"/>
      <sheetData sheetId="28">
        <row r="10">
          <cell r="V10">
            <v>1.8999999999999995</v>
          </cell>
        </row>
        <row r="16">
          <cell r="V16">
            <v>12.040403059731354</v>
          </cell>
        </row>
        <row r="17">
          <cell r="V17">
            <v>11.802939220528023</v>
          </cell>
        </row>
        <row r="18">
          <cell r="V18">
            <v>12.292084251422532</v>
          </cell>
        </row>
        <row r="19">
          <cell r="V19">
            <v>12.434746611011605</v>
          </cell>
        </row>
        <row r="20">
          <cell r="V20">
            <v>12.450145176465883</v>
          </cell>
        </row>
        <row r="21">
          <cell r="V21">
            <v>12.425840736441183</v>
          </cell>
        </row>
        <row r="22">
          <cell r="V22">
            <v>12.597651676264828</v>
          </cell>
        </row>
        <row r="23">
          <cell r="V23">
            <v>12.501488176497698</v>
          </cell>
        </row>
        <row r="24">
          <cell r="V24">
            <v>12.151907238810935</v>
          </cell>
        </row>
      </sheetData>
      <sheetData sheetId="29"/>
      <sheetData sheetId="30">
        <row r="10">
          <cell r="V10">
            <v>1.8591159607169385</v>
          </cell>
        </row>
        <row r="16">
          <cell r="V16">
            <v>14.150612241401571</v>
          </cell>
        </row>
        <row r="17">
          <cell r="V17">
            <v>14.398449135078669</v>
          </cell>
        </row>
        <row r="18">
          <cell r="V18">
            <v>14.728918877340975</v>
          </cell>
        </row>
        <row r="19">
          <cell r="V19">
            <v>14.504916278523238</v>
          </cell>
        </row>
        <row r="20">
          <cell r="V20">
            <v>13.774424197246042</v>
          </cell>
        </row>
        <row r="21">
          <cell r="V21">
            <v>13.337292559266929</v>
          </cell>
        </row>
        <row r="22">
          <cell r="V22">
            <v>11.263656009734246</v>
          </cell>
        </row>
        <row r="23">
          <cell r="V23">
            <v>11.331881878623394</v>
          </cell>
        </row>
        <row r="24">
          <cell r="V24">
            <v>10.573657973267252</v>
          </cell>
        </row>
      </sheetData>
      <sheetData sheetId="31"/>
      <sheetData sheetId="32">
        <row r="10">
          <cell r="V10">
            <v>1.4999999999999982</v>
          </cell>
        </row>
        <row r="16">
          <cell r="V16">
            <v>12.137874199475677</v>
          </cell>
        </row>
        <row r="17">
          <cell r="V17">
            <v>12.987965740369839</v>
          </cell>
        </row>
        <row r="18">
          <cell r="V18">
            <v>13.537133966958365</v>
          </cell>
        </row>
        <row r="19">
          <cell r="V19">
            <v>13.759193745774665</v>
          </cell>
        </row>
        <row r="20">
          <cell r="V20">
            <v>13.823032567089099</v>
          </cell>
        </row>
        <row r="21">
          <cell r="V21">
            <v>13.687425473661769</v>
          </cell>
        </row>
        <row r="22">
          <cell r="V22">
            <v>13.861779649808952</v>
          </cell>
        </row>
        <row r="23">
          <cell r="V23">
            <v>12.995256438278059</v>
          </cell>
        </row>
        <row r="24">
          <cell r="V24">
            <v>14.527897091014205</v>
          </cell>
        </row>
      </sheetData>
      <sheetData sheetId="33"/>
      <sheetData sheetId="34">
        <row r="10">
          <cell r="V10">
            <v>1.2000000000000008</v>
          </cell>
        </row>
        <row r="16">
          <cell r="V16">
            <v>13.137658967212865</v>
          </cell>
        </row>
        <row r="17">
          <cell r="V17">
            <v>13.394798985437939</v>
          </cell>
        </row>
        <row r="18">
          <cell r="V18">
            <v>13.722491617708164</v>
          </cell>
        </row>
        <row r="19">
          <cell r="V19">
            <v>13.503703548050677</v>
          </cell>
        </row>
        <row r="20">
          <cell r="V20">
            <v>13.955353037915204</v>
          </cell>
        </row>
        <row r="21">
          <cell r="V21">
            <v>14.017280764455984</v>
          </cell>
        </row>
        <row r="22">
          <cell r="V22">
            <v>13.22811227160123</v>
          </cell>
        </row>
        <row r="23">
          <cell r="V23">
            <v>13.334925714527877</v>
          </cell>
        </row>
        <row r="24">
          <cell r="V24">
            <v>13.937420493529002</v>
          </cell>
        </row>
      </sheetData>
      <sheetData sheetId="35"/>
      <sheetData sheetId="36">
        <row r="10">
          <cell r="V10">
            <v>2.0999999999999992</v>
          </cell>
        </row>
        <row r="16">
          <cell r="V16">
            <v>11.900019278299579</v>
          </cell>
        </row>
        <row r="17">
          <cell r="V17">
            <v>13.214230642840265</v>
          </cell>
        </row>
        <row r="18">
          <cell r="V18">
            <v>13.40801252116904</v>
          </cell>
        </row>
        <row r="19">
          <cell r="V19">
            <v>13.492300203432761</v>
          </cell>
        </row>
        <row r="20">
          <cell r="V20">
            <v>12.72857529094003</v>
          </cell>
        </row>
        <row r="21">
          <cell r="V21">
            <v>13.163433974809903</v>
          </cell>
        </row>
        <row r="22">
          <cell r="V22">
            <v>12.900198986236132</v>
          </cell>
        </row>
        <row r="23">
          <cell r="V23">
            <v>11.803695589172332</v>
          </cell>
        </row>
        <row r="24">
          <cell r="V24">
            <v>12.05463252491055</v>
          </cell>
        </row>
      </sheetData>
      <sheetData sheetId="37"/>
      <sheetData sheetId="38">
        <row r="10">
          <cell r="V10">
            <v>1.9590010192539069</v>
          </cell>
        </row>
        <row r="16">
          <cell r="V16">
            <v>11.970246092319803</v>
          </cell>
        </row>
        <row r="17">
          <cell r="V17">
            <v>14.571384300610143</v>
          </cell>
        </row>
        <row r="18">
          <cell r="V18">
            <v>14.771878948715459</v>
          </cell>
        </row>
        <row r="19">
          <cell r="V19">
            <v>13.835091165914257</v>
          </cell>
        </row>
        <row r="20">
          <cell r="V20">
            <v>13.098681949004936</v>
          </cell>
        </row>
        <row r="21">
          <cell r="V21">
            <v>11.033695359255642</v>
          </cell>
        </row>
        <row r="22">
          <cell r="V22">
            <v>10.671716613753421</v>
          </cell>
        </row>
        <row r="23">
          <cell r="V23">
            <v>10.685932517692887</v>
          </cell>
        </row>
        <row r="24">
          <cell r="V24">
            <v>14.812372477495117</v>
          </cell>
        </row>
      </sheetData>
      <sheetData sheetId="39"/>
      <sheetData sheetId="40">
        <row r="10">
          <cell r="V10">
            <v>1.6593457031171326</v>
          </cell>
        </row>
        <row r="16">
          <cell r="V16">
            <v>10.942361871072015</v>
          </cell>
        </row>
        <row r="17">
          <cell r="V17">
            <v>10.937038791876683</v>
          </cell>
        </row>
        <row r="18">
          <cell r="V18">
            <v>10.826317275788902</v>
          </cell>
        </row>
        <row r="19">
          <cell r="V19">
            <v>11.206687793607584</v>
          </cell>
        </row>
        <row r="20">
          <cell r="V20">
            <v>10.327092823866124</v>
          </cell>
        </row>
        <row r="21">
          <cell r="V21">
            <v>11.206249954053316</v>
          </cell>
        </row>
        <row r="22">
          <cell r="V22">
            <v>11.540724077177755</v>
          </cell>
        </row>
        <row r="23">
          <cell r="V23">
            <v>10.808339977405046</v>
          </cell>
        </row>
        <row r="24">
          <cell r="V24">
            <v>10.247729696827982</v>
          </cell>
        </row>
      </sheetData>
      <sheetData sheetId="41"/>
      <sheetData sheetId="42">
        <row r="10">
          <cell r="V10">
            <v>1.5000000000000009</v>
          </cell>
        </row>
        <row r="16">
          <cell r="V16">
            <v>12.30483716520575</v>
          </cell>
        </row>
        <row r="17">
          <cell r="V17">
            <v>12.672241843902789</v>
          </cell>
        </row>
        <row r="18">
          <cell r="V18">
            <v>12.810047812889474</v>
          </cell>
        </row>
        <row r="19">
          <cell r="V19">
            <v>14.570843005817045</v>
          </cell>
        </row>
        <row r="20">
          <cell r="V20">
            <v>10.762342144231789</v>
          </cell>
        </row>
        <row r="21">
          <cell r="V21">
            <v>10.916026228870843</v>
          </cell>
        </row>
        <row r="22">
          <cell r="V22">
            <v>10.100298580940539</v>
          </cell>
        </row>
        <row r="23">
          <cell r="V23">
            <v>6.5442163244113649</v>
          </cell>
        </row>
        <row r="24">
          <cell r="V24">
            <v>6.3293727483183773</v>
          </cell>
        </row>
      </sheetData>
      <sheetData sheetId="43"/>
      <sheetData sheetId="44">
        <row r="10">
          <cell r="V10">
            <v>1.3999999999999992</v>
          </cell>
        </row>
        <row r="16">
          <cell r="V16">
            <v>11.183145657697642</v>
          </cell>
        </row>
        <row r="17">
          <cell r="V17">
            <v>11.465071603718716</v>
          </cell>
        </row>
        <row r="18">
          <cell r="V18">
            <v>11.547387213758006</v>
          </cell>
        </row>
        <row r="19">
          <cell r="V19">
            <v>11.962035712798597</v>
          </cell>
        </row>
        <row r="20">
          <cell r="V20">
            <v>11.951978463561401</v>
          </cell>
        </row>
        <row r="21">
          <cell r="V21">
            <v>12.003906780419564</v>
          </cell>
        </row>
        <row r="22">
          <cell r="V22">
            <v>11.739133471893901</v>
          </cell>
        </row>
        <row r="23">
          <cell r="V23">
            <v>11.332806482081157</v>
          </cell>
        </row>
        <row r="24">
          <cell r="V24">
            <v>10.595102635770266</v>
          </cell>
        </row>
      </sheetData>
      <sheetData sheetId="45"/>
      <sheetData sheetId="46">
        <row r="10">
          <cell r="V10">
            <v>1.5000000000000009</v>
          </cell>
        </row>
        <row r="16">
          <cell r="V16">
            <v>10.281158669944277</v>
          </cell>
        </row>
        <row r="17">
          <cell r="V17">
            <v>12.96453724648846</v>
          </cell>
        </row>
        <row r="18">
          <cell r="V18">
            <v>13.424431585913421</v>
          </cell>
        </row>
        <row r="19">
          <cell r="V19">
            <v>11.788884507812863</v>
          </cell>
        </row>
        <row r="20">
          <cell r="V20">
            <v>9.413929500868683</v>
          </cell>
        </row>
        <row r="21">
          <cell r="V21">
            <v>8.9759989761521499</v>
          </cell>
        </row>
        <row r="22">
          <cell r="V22">
            <v>9.252394213605271</v>
          </cell>
        </row>
        <row r="23">
          <cell r="V23">
            <v>9.4926280586739065</v>
          </cell>
        </row>
        <row r="24">
          <cell r="V24">
            <v>9.3391007611155228</v>
          </cell>
        </row>
      </sheetData>
      <sheetData sheetId="47"/>
      <sheetData sheetId="48">
        <row r="10">
          <cell r="V10">
            <v>0.76037722523462203</v>
          </cell>
        </row>
        <row r="16">
          <cell r="V16">
            <v>7.8646670042178428</v>
          </cell>
        </row>
        <row r="17">
          <cell r="V17">
            <v>10.878885940426525</v>
          </cell>
        </row>
        <row r="18">
          <cell r="V18">
            <v>11.266289078634729</v>
          </cell>
        </row>
        <row r="19">
          <cell r="V19">
            <v>7.6637989290113255</v>
          </cell>
        </row>
        <row r="20">
          <cell r="V20">
            <v>6.0552670477598625</v>
          </cell>
        </row>
        <row r="21">
          <cell r="V21">
            <v>2.3088090579965428</v>
          </cell>
        </row>
        <row r="22">
          <cell r="V22">
            <v>4.3609032700165198</v>
          </cell>
        </row>
        <row r="23">
          <cell r="V23">
            <v>4.4355841019774997</v>
          </cell>
        </row>
        <row r="24">
          <cell r="V24">
            <v>5.8707658975485622</v>
          </cell>
        </row>
      </sheetData>
      <sheetData sheetId="49"/>
      <sheetData sheetId="50">
        <row r="10">
          <cell r="V10">
            <v>1.0000000000000002</v>
          </cell>
        </row>
        <row r="16">
          <cell r="V16">
            <v>8.3164877017164898</v>
          </cell>
        </row>
        <row r="17">
          <cell r="V17">
            <v>7.9495193084046845</v>
          </cell>
        </row>
        <row r="18">
          <cell r="V18">
            <v>7.4014837979569803</v>
          </cell>
        </row>
        <row r="19">
          <cell r="V19">
            <v>6.5978267033802798</v>
          </cell>
        </row>
        <row r="20">
          <cell r="V20">
            <v>6.2584981109731874</v>
          </cell>
        </row>
        <row r="21">
          <cell r="V21">
            <v>6.1066898504086886</v>
          </cell>
        </row>
        <row r="22">
          <cell r="V22">
            <v>6.8014425531125244</v>
          </cell>
        </row>
        <row r="23">
          <cell r="V23">
            <v>6.4113382204916967</v>
          </cell>
        </row>
        <row r="24">
          <cell r="V24">
            <v>5.1317184669748075</v>
          </cell>
        </row>
      </sheetData>
      <sheetData sheetId="51"/>
      <sheetData sheetId="52">
        <row r="10">
          <cell r="V10">
            <v>1.2598046258131139</v>
          </cell>
        </row>
        <row r="16">
          <cell r="V16">
            <v>10.367454073308235</v>
          </cell>
        </row>
        <row r="17">
          <cell r="V17">
            <v>12.031300352063077</v>
          </cell>
        </row>
        <row r="18">
          <cell r="V18">
            <v>11.050598852135375</v>
          </cell>
        </row>
        <row r="19">
          <cell r="V19">
            <v>10.615079264282338</v>
          </cell>
        </row>
        <row r="20">
          <cell r="V20">
            <v>9.3787689275271653</v>
          </cell>
        </row>
        <row r="21">
          <cell r="V21">
            <v>7.7119624819128703</v>
          </cell>
        </row>
        <row r="22">
          <cell r="V22">
            <v>7.0646744791809875</v>
          </cell>
        </row>
        <row r="23">
          <cell r="V23">
            <v>6.2061996810793145</v>
          </cell>
        </row>
        <row r="24">
          <cell r="V24">
            <v>6.9704650416359408</v>
          </cell>
        </row>
      </sheetData>
      <sheetData sheetId="53"/>
      <sheetData sheetId="54">
        <row r="10">
          <cell r="V10">
            <v>1.5999999999999992</v>
          </cell>
        </row>
        <row r="16">
          <cell r="V16">
            <v>10.060783705825791</v>
          </cell>
        </row>
        <row r="17">
          <cell r="V17">
            <v>12.309820371014569</v>
          </cell>
        </row>
        <row r="18">
          <cell r="V18">
            <v>11.159770566766424</v>
          </cell>
        </row>
        <row r="19">
          <cell r="V19">
            <v>11.093520223447628</v>
          </cell>
        </row>
        <row r="20">
          <cell r="V20">
            <v>10.334053812415704</v>
          </cell>
        </row>
        <row r="21">
          <cell r="V21">
            <v>6.5205843789543909</v>
          </cell>
        </row>
        <row r="22">
          <cell r="V22">
            <v>7.9469967253625509</v>
          </cell>
        </row>
        <row r="23">
          <cell r="V23">
            <v>7.9616492914632735</v>
          </cell>
        </row>
        <row r="24">
          <cell r="V24">
            <v>8.3504824815109391</v>
          </cell>
        </row>
      </sheetData>
      <sheetData sheetId="55"/>
      <sheetData sheetId="56">
        <row r="10">
          <cell r="V10">
            <v>1.1301646496343798</v>
          </cell>
        </row>
        <row r="16">
          <cell r="V16">
            <v>10.265222793583064</v>
          </cell>
        </row>
        <row r="17">
          <cell r="V17">
            <v>11.991663581456205</v>
          </cell>
        </row>
        <row r="18">
          <cell r="V18">
            <v>10.415732815825322</v>
          </cell>
        </row>
        <row r="19">
          <cell r="V19">
            <v>10.276049417976969</v>
          </cell>
        </row>
        <row r="20">
          <cell r="V20">
            <v>10.213983691483261</v>
          </cell>
        </row>
        <row r="21">
          <cell r="V21">
            <v>9.0073535237365085</v>
          </cell>
        </row>
        <row r="22">
          <cell r="V22">
            <v>8.532660704942046</v>
          </cell>
        </row>
        <row r="23">
          <cell r="V23">
            <v>8.6016623028808645</v>
          </cell>
        </row>
        <row r="24">
          <cell r="V24">
            <v>7.6868021668444237</v>
          </cell>
        </row>
      </sheetData>
      <sheetData sheetId="57"/>
      <sheetData sheetId="58">
        <row r="10">
          <cell r="V10">
            <v>1.8999999999999995</v>
          </cell>
        </row>
        <row r="16">
          <cell r="V16">
            <v>11.045557827235102</v>
          </cell>
        </row>
        <row r="17">
          <cell r="V17">
            <v>12.0143357584311</v>
          </cell>
        </row>
        <row r="18">
          <cell r="V18">
            <v>12.012691522576336</v>
          </cell>
        </row>
        <row r="19">
          <cell r="V19">
            <v>10.997313165119127</v>
          </cell>
        </row>
        <row r="20">
          <cell r="V20">
            <v>11.053568142359188</v>
          </cell>
        </row>
        <row r="21">
          <cell r="V21">
            <v>10.618183415505735</v>
          </cell>
        </row>
        <row r="22">
          <cell r="V22">
            <v>10.180435444036991</v>
          </cell>
        </row>
        <row r="23">
          <cell r="V23">
            <v>9.3549924474214787</v>
          </cell>
        </row>
        <row r="24">
          <cell r="V24">
            <v>8.3370428436757145</v>
          </cell>
        </row>
      </sheetData>
      <sheetData sheetId="59"/>
      <sheetData sheetId="60">
        <row r="10">
          <cell r="V10">
            <v>1.517427344655804</v>
          </cell>
        </row>
        <row r="16">
          <cell r="V16">
            <v>12.060602613964619</v>
          </cell>
        </row>
        <row r="17">
          <cell r="V17">
            <v>13.718485226713565</v>
          </cell>
        </row>
        <row r="18">
          <cell r="V18">
            <v>14.529396384577904</v>
          </cell>
        </row>
        <row r="19">
          <cell r="V19">
            <v>12.467444075353677</v>
          </cell>
        </row>
        <row r="20">
          <cell r="V20">
            <v>13.665175002647832</v>
          </cell>
        </row>
        <row r="21">
          <cell r="V21">
            <v>13.41215358914174</v>
          </cell>
        </row>
        <row r="22">
          <cell r="V22">
            <v>12.732514550036983</v>
          </cell>
        </row>
        <row r="23">
          <cell r="V23">
            <v>12.576877763824879</v>
          </cell>
        </row>
        <row r="24">
          <cell r="V24">
            <v>12.798034134162076</v>
          </cell>
        </row>
      </sheetData>
      <sheetData sheetId="61"/>
      <sheetData sheetId="62">
        <row r="10">
          <cell r="V10">
            <v>1.8999999999999995</v>
          </cell>
        </row>
        <row r="16">
          <cell r="V16">
            <v>12.137759843788801</v>
          </cell>
        </row>
        <row r="17">
          <cell r="V17">
            <v>12.506828139866954</v>
          </cell>
        </row>
        <row r="18">
          <cell r="V18">
            <v>12.746194805451314</v>
          </cell>
        </row>
        <row r="19">
          <cell r="V19">
            <v>13.113130445767657</v>
          </cell>
        </row>
        <row r="20">
          <cell r="V20">
            <v>13.354575244986554</v>
          </cell>
        </row>
        <row r="21">
          <cell r="V21">
            <v>13.557407039471531</v>
          </cell>
        </row>
        <row r="22">
          <cell r="V22">
            <v>13.537217777313067</v>
          </cell>
        </row>
        <row r="23">
          <cell r="V23">
            <v>13.456341832540888</v>
          </cell>
        </row>
        <row r="24">
          <cell r="V24">
            <v>13.18798574344013</v>
          </cell>
        </row>
      </sheetData>
      <sheetData sheetId="63"/>
      <sheetData sheetId="64">
        <row r="10">
          <cell r="V10">
            <v>1.816735080301898</v>
          </cell>
        </row>
        <row r="16">
          <cell r="V16">
            <v>11.981227071872471</v>
          </cell>
        </row>
        <row r="17">
          <cell r="V17">
            <v>12.249415290168296</v>
          </cell>
        </row>
        <row r="18">
          <cell r="V18">
            <v>12.269588513768872</v>
          </cell>
        </row>
        <row r="19">
          <cell r="V19">
            <v>12.476103009255288</v>
          </cell>
        </row>
        <row r="20">
          <cell r="V20">
            <v>12.654337981840158</v>
          </cell>
        </row>
        <row r="21">
          <cell r="V21">
            <v>13.266969190717226</v>
          </cell>
        </row>
        <row r="22">
          <cell r="V22">
            <v>13.298542717711966</v>
          </cell>
        </row>
        <row r="23">
          <cell r="V23">
            <v>13.039545165659813</v>
          </cell>
        </row>
        <row r="24">
          <cell r="V24">
            <v>13.333637107215495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0">
          <cell r="V10">
            <v>1.627837424045409</v>
          </cell>
        </row>
        <row r="16">
          <cell r="V16">
            <v>13.748648663736022</v>
          </cell>
        </row>
        <row r="17">
          <cell r="V17">
            <v>13.731530703966303</v>
          </cell>
        </row>
        <row r="18">
          <cell r="V18">
            <v>13.714726624878956</v>
          </cell>
        </row>
        <row r="19">
          <cell r="V19">
            <v>13.607794125398907</v>
          </cell>
        </row>
        <row r="20">
          <cell r="V20">
            <v>13.825630867023909</v>
          </cell>
        </row>
        <row r="21">
          <cell r="V21">
            <v>13.664259658377858</v>
          </cell>
        </row>
        <row r="22">
          <cell r="V22">
            <v>12.910127197272599</v>
          </cell>
        </row>
        <row r="23">
          <cell r="V23">
            <v>11.853675269067246</v>
          </cell>
        </row>
        <row r="24">
          <cell r="V24">
            <v>16.337637273778213</v>
          </cell>
        </row>
      </sheetData>
      <sheetData sheetId="5"/>
      <sheetData sheetId="6">
        <row r="10">
          <cell r="V10">
            <v>1.5999999999999992</v>
          </cell>
        </row>
        <row r="16">
          <cell r="V16">
            <v>13.147678091891224</v>
          </cell>
        </row>
        <row r="17">
          <cell r="V17">
            <v>13.214853281938835</v>
          </cell>
        </row>
        <row r="18">
          <cell r="V18">
            <v>13.691269113740084</v>
          </cell>
        </row>
        <row r="19">
          <cell r="V19">
            <v>13.349249427306848</v>
          </cell>
        </row>
        <row r="20">
          <cell r="V20">
            <v>12.689617322347237</v>
          </cell>
        </row>
        <row r="21">
          <cell r="V21">
            <v>12.088281918910443</v>
          </cell>
        </row>
        <row r="22">
          <cell r="V22">
            <v>11.662083594679942</v>
          </cell>
        </row>
        <row r="23">
          <cell r="V23">
            <v>8.8960074448350106</v>
          </cell>
        </row>
        <row r="24">
          <cell r="V24">
            <v>8.7928323915442643</v>
          </cell>
        </row>
      </sheetData>
      <sheetData sheetId="7"/>
      <sheetData sheetId="8">
        <row r="10">
          <cell r="V10">
            <v>1.9165041375260774</v>
          </cell>
        </row>
        <row r="16">
          <cell r="V16">
            <v>11.216657218557151</v>
          </cell>
        </row>
        <row r="17">
          <cell r="V17">
            <v>11.606653909246663</v>
          </cell>
        </row>
        <row r="18">
          <cell r="V18">
            <v>11.530623191775142</v>
          </cell>
        </row>
        <row r="19">
          <cell r="V19">
            <v>11.433437947295809</v>
          </cell>
        </row>
        <row r="20">
          <cell r="V20">
            <v>10.616340678991607</v>
          </cell>
        </row>
        <row r="21">
          <cell r="V21">
            <v>11.322520773364326</v>
          </cell>
        </row>
        <row r="22">
          <cell r="V22">
            <v>10.748469439160734</v>
          </cell>
        </row>
        <row r="23">
          <cell r="V23">
            <v>9.7272196402921232</v>
          </cell>
        </row>
        <row r="24">
          <cell r="V24">
            <v>9.585374838686624</v>
          </cell>
        </row>
      </sheetData>
      <sheetData sheetId="9"/>
      <sheetData sheetId="10">
        <row r="10">
          <cell r="V10">
            <v>2.116041969988447</v>
          </cell>
        </row>
        <row r="16">
          <cell r="V16">
            <v>13.148260118244229</v>
          </cell>
        </row>
        <row r="17">
          <cell r="V17">
            <v>14.995032238940524</v>
          </cell>
        </row>
        <row r="18">
          <cell r="V18">
            <v>14.233413753256725</v>
          </cell>
        </row>
        <row r="19">
          <cell r="V19">
            <v>14.465716634440822</v>
          </cell>
        </row>
        <row r="20">
          <cell r="V20">
            <v>14.129799074872169</v>
          </cell>
        </row>
        <row r="21">
          <cell r="V21">
            <v>13.482046022253202</v>
          </cell>
        </row>
        <row r="22">
          <cell r="V22">
            <v>10.522676364778723</v>
          </cell>
        </row>
        <row r="23">
          <cell r="V23">
            <v>9.4152743347114924</v>
          </cell>
        </row>
        <row r="24">
          <cell r="V24">
            <v>9.7950654585363051</v>
          </cell>
        </row>
      </sheetData>
      <sheetData sheetId="11"/>
      <sheetData sheetId="12">
        <row r="10">
          <cell r="V10">
            <v>2.415348013719036</v>
          </cell>
        </row>
        <row r="16">
          <cell r="V16">
            <v>14.807437205881294</v>
          </cell>
        </row>
        <row r="17">
          <cell r="V17">
            <v>15.534908283812525</v>
          </cell>
        </row>
        <row r="18">
          <cell r="V18">
            <v>14.524714890120812</v>
          </cell>
        </row>
        <row r="19">
          <cell r="V19">
            <v>13.3892773037244</v>
          </cell>
        </row>
        <row r="20">
          <cell r="V20">
            <v>13.277639716255784</v>
          </cell>
        </row>
        <row r="21">
          <cell r="V21">
            <v>11.914860996261904</v>
          </cell>
        </row>
        <row r="22">
          <cell r="V22">
            <v>11.588663078400442</v>
          </cell>
        </row>
        <row r="23">
          <cell r="V23">
            <v>10.387080368738534</v>
          </cell>
        </row>
        <row r="24">
          <cell r="V24">
            <v>8.3168243158213695</v>
          </cell>
        </row>
      </sheetData>
      <sheetData sheetId="13"/>
      <sheetData sheetId="14">
        <row r="10">
          <cell r="V10">
            <v>1.5999999999999992</v>
          </cell>
        </row>
        <row r="16">
          <cell r="V16">
            <v>12.432636366471856</v>
          </cell>
        </row>
        <row r="17">
          <cell r="V17">
            <v>13.3492647714857</v>
          </cell>
        </row>
        <row r="18">
          <cell r="V18">
            <v>12.535912523500871</v>
          </cell>
        </row>
        <row r="19">
          <cell r="V19">
            <v>12.575896979314262</v>
          </cell>
        </row>
        <row r="20">
          <cell r="V20">
            <v>12.123193418367011</v>
          </cell>
        </row>
        <row r="21">
          <cell r="V21">
            <v>11.175664998938053</v>
          </cell>
        </row>
        <row r="22">
          <cell r="V22">
            <v>10.903818829587278</v>
          </cell>
        </row>
        <row r="23">
          <cell r="V23">
            <v>9.5871556479956705</v>
          </cell>
        </row>
        <row r="24">
          <cell r="V24">
            <v>9.3647199336064109</v>
          </cell>
        </row>
      </sheetData>
      <sheetData sheetId="15"/>
      <sheetData sheetId="16">
        <row r="10">
          <cell r="V10">
            <v>2.215810745226908</v>
          </cell>
        </row>
        <row r="16">
          <cell r="V16">
            <v>12.943677817516585</v>
          </cell>
        </row>
        <row r="17">
          <cell r="V17">
            <v>14.034960511761591</v>
          </cell>
        </row>
        <row r="18">
          <cell r="V18">
            <v>12.672333641331486</v>
          </cell>
        </row>
        <row r="19">
          <cell r="V19">
            <v>10.18591741172566</v>
          </cell>
        </row>
        <row r="20">
          <cell r="V20">
            <v>9.1236627034577147</v>
          </cell>
        </row>
        <row r="21">
          <cell r="V21">
            <v>9.2650240252788443</v>
          </cell>
        </row>
        <row r="22">
          <cell r="V22">
            <v>7.5078501379367308</v>
          </cell>
        </row>
        <row r="23">
          <cell r="V23">
            <v>8.0660516379415448</v>
          </cell>
        </row>
        <row r="24">
          <cell r="V24">
            <v>8.3066275628387842</v>
          </cell>
        </row>
      </sheetData>
      <sheetData sheetId="17"/>
      <sheetData sheetId="18">
        <row r="10">
          <cell r="V10">
            <v>0.66440518096374657</v>
          </cell>
        </row>
        <row r="16">
          <cell r="V16">
            <v>11.167977217047596</v>
          </cell>
        </row>
        <row r="17">
          <cell r="V17">
            <v>12.098291208674892</v>
          </cell>
        </row>
        <row r="18">
          <cell r="V18">
            <v>10.660841047519499</v>
          </cell>
        </row>
        <row r="19">
          <cell r="V19">
            <v>10.313158756280211</v>
          </cell>
        </row>
        <row r="20">
          <cell r="V20">
            <v>9.344424655505037</v>
          </cell>
        </row>
        <row r="21">
          <cell r="V21">
            <v>9.2472993157952388</v>
          </cell>
        </row>
        <row r="22">
          <cell r="V22">
            <v>9.0853419354171407</v>
          </cell>
        </row>
        <row r="23">
          <cell r="V23">
            <v>8.4619984523626801</v>
          </cell>
        </row>
        <row r="24">
          <cell r="V24">
            <v>8.5394162348155511</v>
          </cell>
        </row>
      </sheetData>
      <sheetData sheetId="19"/>
      <sheetData sheetId="20">
        <row r="10">
          <cell r="V10">
            <v>2.1714367746600041</v>
          </cell>
        </row>
        <row r="16">
          <cell r="V16">
            <v>15.244988164766177</v>
          </cell>
        </row>
        <row r="17">
          <cell r="V17">
            <v>16.287241786003044</v>
          </cell>
        </row>
        <row r="18">
          <cell r="V18">
            <v>16.492540415930581</v>
          </cell>
        </row>
        <row r="19">
          <cell r="V19">
            <v>15.917936568160385</v>
          </cell>
        </row>
        <row r="20">
          <cell r="V20">
            <v>14.5175726531641</v>
          </cell>
        </row>
        <row r="21">
          <cell r="V21">
            <v>12.605129354052048</v>
          </cell>
        </row>
        <row r="22">
          <cell r="V22">
            <v>13.0666546736354</v>
          </cell>
        </row>
        <row r="23">
          <cell r="V23">
            <v>13.329927225800253</v>
          </cell>
        </row>
        <row r="24">
          <cell r="V24">
            <v>13.933411499995485</v>
          </cell>
        </row>
      </sheetData>
      <sheetData sheetId="21"/>
      <sheetData sheetId="22">
        <row r="10">
          <cell r="V10">
            <v>0.96014832599271505</v>
          </cell>
        </row>
        <row r="16">
          <cell r="V16">
            <v>9.2936368280369592</v>
          </cell>
        </row>
        <row r="17">
          <cell r="V17">
            <v>9.2933007255069953</v>
          </cell>
        </row>
        <row r="18">
          <cell r="V18">
            <v>8.9321705090031909</v>
          </cell>
        </row>
        <row r="19">
          <cell r="V19">
            <v>8.9314616557438171</v>
          </cell>
        </row>
        <row r="20">
          <cell r="V20">
            <v>8.5646699463474398</v>
          </cell>
        </row>
        <row r="21">
          <cell r="V21">
            <v>8.155502261648568</v>
          </cell>
        </row>
        <row r="22">
          <cell r="V22">
            <v>8.3446902177401316</v>
          </cell>
        </row>
        <row r="23">
          <cell r="V23">
            <v>8.1173122412007945</v>
          </cell>
        </row>
        <row r="24">
          <cell r="V24">
            <v>7.2957690565141791</v>
          </cell>
        </row>
      </sheetData>
      <sheetData sheetId="23"/>
      <sheetData sheetId="24">
        <row r="10">
          <cell r="V10">
            <v>1.0000000000000002</v>
          </cell>
        </row>
        <row r="16">
          <cell r="V16">
            <v>7.0116179319389227</v>
          </cell>
        </row>
        <row r="17">
          <cell r="V17">
            <v>7.9502407854902621</v>
          </cell>
        </row>
        <row r="18">
          <cell r="V18">
            <v>7.5888999366852739</v>
          </cell>
        </row>
        <row r="19">
          <cell r="V19">
            <v>4.2920741545519414</v>
          </cell>
        </row>
        <row r="20">
          <cell r="V20">
            <v>2.8174805127413394</v>
          </cell>
        </row>
        <row r="21">
          <cell r="V21">
            <v>0.53657585287621334</v>
          </cell>
        </row>
        <row r="22">
          <cell r="V22">
            <v>1.9084472317270735</v>
          </cell>
        </row>
        <row r="23">
          <cell r="V23">
            <v>2.4314404020374796</v>
          </cell>
        </row>
        <row r="24">
          <cell r="V24">
            <v>0.75449131886689313</v>
          </cell>
        </row>
      </sheetData>
      <sheetData sheetId="25"/>
      <sheetData sheetId="26">
        <row r="10">
          <cell r="V10">
            <v>0.97560880785394388</v>
          </cell>
        </row>
        <row r="16">
          <cell r="V16">
            <v>5.7169553027214519</v>
          </cell>
        </row>
        <row r="17">
          <cell r="V17">
            <v>5.3382785574270741</v>
          </cell>
        </row>
        <row r="18">
          <cell r="V18">
            <v>3.7369159942408006</v>
          </cell>
        </row>
        <row r="19">
          <cell r="V19">
            <v>1.837797386980567</v>
          </cell>
        </row>
        <row r="20">
          <cell r="V20">
            <v>2.6437974626258978</v>
          </cell>
        </row>
        <row r="21">
          <cell r="V21">
            <v>1.9362646808281145</v>
          </cell>
        </row>
        <row r="22">
          <cell r="V22">
            <v>1.0294457819634286</v>
          </cell>
        </row>
        <row r="23">
          <cell r="V23">
            <v>2.0896523793166009</v>
          </cell>
        </row>
        <row r="24">
          <cell r="V24">
            <v>1.9476795380786205</v>
          </cell>
        </row>
      </sheetData>
      <sheetData sheetId="27"/>
      <sheetData sheetId="28">
        <row r="10">
          <cell r="V10">
            <v>0.50000000000000033</v>
          </cell>
        </row>
        <row r="16">
          <cell r="V16">
            <v>7.472886865596978</v>
          </cell>
        </row>
        <row r="17">
          <cell r="V17">
            <v>7.4731737770419286</v>
          </cell>
        </row>
        <row r="18">
          <cell r="V18">
            <v>6.8740079646393459</v>
          </cell>
        </row>
        <row r="19">
          <cell r="V19">
            <v>6.5510322348424967</v>
          </cell>
        </row>
        <row r="20">
          <cell r="V20">
            <v>5.5391931033704447</v>
          </cell>
        </row>
        <row r="21">
          <cell r="V21">
            <v>5.7508383446369669</v>
          </cell>
        </row>
        <row r="22">
          <cell r="V22">
            <v>5.4874204330565943</v>
          </cell>
        </row>
        <row r="23">
          <cell r="V23">
            <v>6.4690841205767997</v>
          </cell>
        </row>
        <row r="24">
          <cell r="V24">
            <v>5.9243084605517504</v>
          </cell>
        </row>
      </sheetData>
      <sheetData sheetId="29"/>
      <sheetData sheetId="30">
        <row r="10">
          <cell r="V10">
            <v>0.83155871385794011</v>
          </cell>
        </row>
        <row r="16">
          <cell r="V16">
            <v>7.5607086672924906</v>
          </cell>
        </row>
        <row r="17">
          <cell r="V17">
            <v>7.726612674343281</v>
          </cell>
        </row>
        <row r="18">
          <cell r="V18">
            <v>8.1071741324733235</v>
          </cell>
        </row>
        <row r="19">
          <cell r="V19">
            <v>8.3376604049441667</v>
          </cell>
        </row>
        <row r="20">
          <cell r="V20">
            <v>8.5909643902085051</v>
          </cell>
        </row>
        <row r="21">
          <cell r="V21">
            <v>8.6227804075856263</v>
          </cell>
        </row>
        <row r="22">
          <cell r="V22">
            <v>7.8643681486404926</v>
          </cell>
        </row>
        <row r="23">
          <cell r="V23">
            <v>7.7118679704008892</v>
          </cell>
        </row>
        <row r="24">
          <cell r="V24">
            <v>6.4484582389794403</v>
          </cell>
        </row>
      </sheetData>
      <sheetData sheetId="31"/>
      <sheetData sheetId="32">
        <row r="10">
          <cell r="V10">
            <v>1.2000000000000008</v>
          </cell>
        </row>
        <row r="16">
          <cell r="V16">
            <v>10.573027233777703</v>
          </cell>
        </row>
        <row r="17">
          <cell r="V17">
            <v>11.304979083119528</v>
          </cell>
        </row>
        <row r="18">
          <cell r="V18">
            <v>11.126580921728079</v>
          </cell>
        </row>
        <row r="19">
          <cell r="V19">
            <v>11.068756149586369</v>
          </cell>
        </row>
        <row r="20">
          <cell r="V20">
            <v>11.241818276489465</v>
          </cell>
        </row>
        <row r="21">
          <cell r="V21">
            <v>11.528340967208141</v>
          </cell>
        </row>
        <row r="22">
          <cell r="V22">
            <v>11.316732344981444</v>
          </cell>
        </row>
        <row r="23">
          <cell r="V23">
            <v>8.9698015470671102</v>
          </cell>
        </row>
        <row r="24">
          <cell r="V24">
            <v>8.5671726201456284</v>
          </cell>
        </row>
      </sheetData>
      <sheetData sheetId="33"/>
      <sheetData sheetId="34">
        <row r="10">
          <cell r="V10">
            <v>1.5000000000000009</v>
          </cell>
        </row>
        <row r="16">
          <cell r="V16">
            <v>11.529484285506461</v>
          </cell>
        </row>
        <row r="17">
          <cell r="V17">
            <v>13.901580917673614</v>
          </cell>
        </row>
        <row r="18">
          <cell r="V18">
            <v>13.477919753048962</v>
          </cell>
        </row>
        <row r="19">
          <cell r="V19">
            <v>13.699536261717698</v>
          </cell>
        </row>
        <row r="20">
          <cell r="V20">
            <v>11.984014105722116</v>
          </cell>
        </row>
        <row r="21">
          <cell r="V21">
            <v>10.528172216161362</v>
          </cell>
        </row>
        <row r="22">
          <cell r="V22">
            <v>9.7204066324846679</v>
          </cell>
        </row>
        <row r="23">
          <cell r="V23">
            <v>7.8915927462554691</v>
          </cell>
        </row>
        <row r="24">
          <cell r="V24">
            <v>8.0720694861097577</v>
          </cell>
        </row>
      </sheetData>
      <sheetData sheetId="35"/>
      <sheetData sheetId="36">
        <row r="10">
          <cell r="V10">
            <v>1.7000000000000004</v>
          </cell>
        </row>
        <row r="16">
          <cell r="V16">
            <v>12.350730125193373</v>
          </cell>
        </row>
        <row r="17">
          <cell r="V17">
            <v>14.249181920833394</v>
          </cell>
        </row>
        <row r="18">
          <cell r="V18">
            <v>12.786482626074141</v>
          </cell>
        </row>
        <row r="19">
          <cell r="V19">
            <v>12.703890918364507</v>
          </cell>
        </row>
        <row r="20">
          <cell r="V20">
            <v>11.650743984490868</v>
          </cell>
        </row>
        <row r="21">
          <cell r="V21">
            <v>9.4865706452736909</v>
          </cell>
        </row>
        <row r="22">
          <cell r="V22">
            <v>7.9726762425476734</v>
          </cell>
        </row>
        <row r="23">
          <cell r="V23">
            <v>6.6928883619323418</v>
          </cell>
        </row>
        <row r="24">
          <cell r="V24">
            <v>3.8060711747864051</v>
          </cell>
        </row>
      </sheetData>
      <sheetData sheetId="37"/>
      <sheetData sheetId="38">
        <row r="10">
          <cell r="V10">
            <v>8.0293347705664236E-2</v>
          </cell>
        </row>
        <row r="16">
          <cell r="V16">
            <v>11.116009041644874</v>
          </cell>
        </row>
        <row r="17">
          <cell r="V17">
            <v>11.896815305243875</v>
          </cell>
        </row>
        <row r="18">
          <cell r="V18">
            <v>9.5897843679785417</v>
          </cell>
        </row>
        <row r="19">
          <cell r="V19">
            <v>9.9778010732605367</v>
          </cell>
        </row>
        <row r="20">
          <cell r="V20">
            <v>7.4390220113959238</v>
          </cell>
        </row>
        <row r="21">
          <cell r="V21">
            <v>7.8140619416036667</v>
          </cell>
        </row>
        <row r="22">
          <cell r="V22">
            <v>5.1618359026204876</v>
          </cell>
        </row>
        <row r="23">
          <cell r="V23">
            <v>6.4034446681211277</v>
          </cell>
        </row>
        <row r="24">
          <cell r="V24">
            <v>4.6290686463849973</v>
          </cell>
        </row>
      </sheetData>
      <sheetData sheetId="39"/>
      <sheetData sheetId="40">
        <row r="10">
          <cell r="V10">
            <v>1.517427344655804</v>
          </cell>
        </row>
        <row r="16">
          <cell r="V16">
            <v>9.819241674633016</v>
          </cell>
        </row>
        <row r="17">
          <cell r="V17">
            <v>10.032785994846048</v>
          </cell>
        </row>
        <row r="18">
          <cell r="V18">
            <v>9.3991679395406607</v>
          </cell>
        </row>
        <row r="19">
          <cell r="V19">
            <v>9.0898837280123139</v>
          </cell>
        </row>
        <row r="20">
          <cell r="V20">
            <v>8.5666296363903829</v>
          </cell>
        </row>
        <row r="21">
          <cell r="V21">
            <v>8.5456888138057732</v>
          </cell>
        </row>
        <row r="22">
          <cell r="V22">
            <v>2.9770094452595144</v>
          </cell>
        </row>
        <row r="23">
          <cell r="V23">
            <v>1.3224732357254219</v>
          </cell>
        </row>
        <row r="24">
          <cell r="V24">
            <v>4.3687628120375503</v>
          </cell>
        </row>
      </sheetData>
      <sheetData sheetId="41"/>
      <sheetData sheetId="42">
        <row r="10">
          <cell r="V10">
            <v>1.2598046258131139</v>
          </cell>
        </row>
        <row r="16">
          <cell r="V16">
            <v>13.108860941482403</v>
          </cell>
        </row>
        <row r="17">
          <cell r="V17">
            <v>15.236249918515366</v>
          </cell>
        </row>
        <row r="18">
          <cell r="V18">
            <v>15.041944319756688</v>
          </cell>
        </row>
        <row r="19">
          <cell r="V19">
            <v>13.217363029910516</v>
          </cell>
        </row>
        <row r="20">
          <cell r="V20">
            <v>12.404183860556994</v>
          </cell>
        </row>
        <row r="21">
          <cell r="V21">
            <v>12.107451343082671</v>
          </cell>
        </row>
        <row r="22">
          <cell r="V22">
            <v>10.480746210815541</v>
          </cell>
        </row>
        <row r="23">
          <cell r="V23">
            <v>8.5472772488444022</v>
          </cell>
        </row>
        <row r="24">
          <cell r="V24">
            <v>13.714892523014221</v>
          </cell>
        </row>
      </sheetData>
      <sheetData sheetId="43"/>
      <sheetData sheetId="44">
        <row r="10">
          <cell r="V10">
            <v>2.1255054669944582</v>
          </cell>
        </row>
        <row r="16">
          <cell r="V16">
            <v>13.508182244537126</v>
          </cell>
        </row>
        <row r="17">
          <cell r="V17">
            <v>12.995301184681624</v>
          </cell>
        </row>
        <row r="18">
          <cell r="V18">
            <v>13.030379512814658</v>
          </cell>
        </row>
        <row r="19">
          <cell r="V19">
            <v>12.312074353563382</v>
          </cell>
        </row>
        <row r="20">
          <cell r="V20">
            <v>12.727781056423158</v>
          </cell>
        </row>
        <row r="21">
          <cell r="V21">
            <v>12.19470951107291</v>
          </cell>
        </row>
        <row r="22">
          <cell r="V22">
            <v>10.34509397439812</v>
          </cell>
        </row>
        <row r="23">
          <cell r="V23">
            <v>10.619148752132686</v>
          </cell>
        </row>
        <row r="24">
          <cell r="V24">
            <v>10.481331353457152</v>
          </cell>
        </row>
      </sheetData>
      <sheetData sheetId="45"/>
      <sheetData sheetId="46">
        <row r="10">
          <cell r="V10">
            <v>2.523636494746416</v>
          </cell>
        </row>
        <row r="16">
          <cell r="V16">
            <v>13.28143898523758</v>
          </cell>
        </row>
        <row r="17">
          <cell r="V17">
            <v>13.055594352077863</v>
          </cell>
        </row>
        <row r="18">
          <cell r="V18">
            <v>12.372264368385558</v>
          </cell>
        </row>
        <row r="19">
          <cell r="V19">
            <v>11.890633649790646</v>
          </cell>
        </row>
        <row r="20">
          <cell r="V20">
            <v>10.701967306963109</v>
          </cell>
        </row>
        <row r="21">
          <cell r="V21">
            <v>10.186827186364447</v>
          </cell>
        </row>
        <row r="22">
          <cell r="V22">
            <v>8.0815540167285267</v>
          </cell>
        </row>
        <row r="23">
          <cell r="V23">
            <v>7.83928937334381</v>
          </cell>
        </row>
        <row r="24">
          <cell r="V24">
            <v>7.4167881541796898</v>
          </cell>
        </row>
      </sheetData>
      <sheetData sheetId="47"/>
      <sheetData sheetId="48">
        <row r="10">
          <cell r="V10">
            <v>1.8000000000000009</v>
          </cell>
        </row>
        <row r="16">
          <cell r="V16">
            <v>11.176558202584527</v>
          </cell>
        </row>
        <row r="17">
          <cell r="V17">
            <v>11.753047445222929</v>
          </cell>
        </row>
        <row r="18">
          <cell r="V18">
            <v>10.75712489033168</v>
          </cell>
        </row>
        <row r="19">
          <cell r="V19">
            <v>10.37204253705896</v>
          </cell>
        </row>
        <row r="20">
          <cell r="V20">
            <v>10.21693889424218</v>
          </cell>
        </row>
        <row r="21">
          <cell r="V21">
            <v>7.8660947292187409</v>
          </cell>
        </row>
        <row r="22">
          <cell r="V22">
            <v>5.3626745847081407</v>
          </cell>
        </row>
        <row r="23">
          <cell r="V23">
            <v>5.0784332923468334</v>
          </cell>
        </row>
        <row r="24">
          <cell r="V24">
            <v>5.2866323523983496</v>
          </cell>
        </row>
      </sheetData>
      <sheetData sheetId="49"/>
      <sheetData sheetId="50">
        <row r="10">
          <cell r="V10">
            <v>2.5</v>
          </cell>
        </row>
        <row r="16">
          <cell r="V16">
            <v>15.273127133778862</v>
          </cell>
        </row>
        <row r="17">
          <cell r="V17">
            <v>14.503871460254457</v>
          </cell>
        </row>
        <row r="18">
          <cell r="V18">
            <v>15.106496740326975</v>
          </cell>
        </row>
        <row r="19">
          <cell r="V19">
            <v>14.74151223513665</v>
          </cell>
        </row>
        <row r="20">
          <cell r="V20">
            <v>14.617743324449496</v>
          </cell>
        </row>
        <row r="21">
          <cell r="V21">
            <v>14.657338966198891</v>
          </cell>
        </row>
        <row r="22">
          <cell r="V22">
            <v>14.27359352500573</v>
          </cell>
        </row>
        <row r="23">
          <cell r="V23">
            <v>14.544459691218449</v>
          </cell>
        </row>
        <row r="24">
          <cell r="V24">
            <v>13.95461776338054</v>
          </cell>
        </row>
      </sheetData>
      <sheetData sheetId="51"/>
      <sheetData sheetId="52">
        <row r="10">
          <cell r="V10">
            <v>1.1599192393818341</v>
          </cell>
        </row>
        <row r="16">
          <cell r="V16">
            <v>10.572852097838606</v>
          </cell>
        </row>
        <row r="17">
          <cell r="V17">
            <v>10.603358834218458</v>
          </cell>
        </row>
        <row r="18">
          <cell r="V18">
            <v>10.176986200744103</v>
          </cell>
        </row>
        <row r="19">
          <cell r="V19">
            <v>10.592960204012774</v>
          </cell>
        </row>
        <row r="20">
          <cell r="V20">
            <v>10.145870307445954</v>
          </cell>
        </row>
        <row r="21">
          <cell r="V21">
            <v>10.133810554708463</v>
          </cell>
        </row>
        <row r="22">
          <cell r="V22">
            <v>9.8643967991197599</v>
          </cell>
        </row>
        <row r="23">
          <cell r="V23">
            <v>9.7889067855098677</v>
          </cell>
        </row>
        <row r="24">
          <cell r="V24">
            <v>9.9854097116020277</v>
          </cell>
        </row>
      </sheetData>
      <sheetData sheetId="53"/>
      <sheetData sheetId="54">
        <row r="10">
          <cell r="V10">
            <v>0.97560880785394388</v>
          </cell>
        </row>
        <row r="16">
          <cell r="V16">
            <v>5.1927779816371951</v>
          </cell>
        </row>
        <row r="17">
          <cell r="V17">
            <v>6.102397952855223</v>
          </cell>
        </row>
        <row r="18">
          <cell r="V18">
            <v>4.9261718914033716</v>
          </cell>
        </row>
        <row r="19">
          <cell r="V19">
            <v>4.8911018765930869</v>
          </cell>
        </row>
        <row r="20">
          <cell r="V20">
            <v>5.3298526781585105</v>
          </cell>
        </row>
        <row r="21">
          <cell r="V21">
            <v>6.0655490303589259</v>
          </cell>
        </row>
        <row r="22">
          <cell r="V22">
            <v>5.7203726543854945</v>
          </cell>
        </row>
        <row r="23">
          <cell r="V23">
            <v>5.301939815261786</v>
          </cell>
        </row>
        <row r="24">
          <cell r="V24">
            <v>5.5627825422049604</v>
          </cell>
        </row>
      </sheetData>
      <sheetData sheetId="55"/>
      <sheetData sheetId="56">
        <row r="10">
          <cell r="V10">
            <v>-3.8709051492692985E-2</v>
          </cell>
        </row>
        <row r="16">
          <cell r="V16">
            <v>3.5823326358475898</v>
          </cell>
        </row>
        <row r="17">
          <cell r="V17">
            <v>4.2479112736083957</v>
          </cell>
        </row>
        <row r="18">
          <cell r="V18">
            <v>5.4867134753773756</v>
          </cell>
        </row>
        <row r="19">
          <cell r="V19">
            <v>4.3159327422191804</v>
          </cell>
        </row>
        <row r="20">
          <cell r="V20">
            <v>3.6302119502432006E-2</v>
          </cell>
        </row>
        <row r="21">
          <cell r="V21">
            <v>2.1365197003683751</v>
          </cell>
        </row>
        <row r="22">
          <cell r="V22">
            <v>2.366698724246421</v>
          </cell>
        </row>
        <row r="23">
          <cell r="V23">
            <v>4.2453082177798338</v>
          </cell>
        </row>
        <row r="24">
          <cell r="V24">
            <v>5.0696544579634972</v>
          </cell>
        </row>
      </sheetData>
      <sheetData sheetId="57"/>
      <sheetData sheetId="58">
        <row r="10">
          <cell r="V10">
            <v>0.50000000000000033</v>
          </cell>
        </row>
        <row r="16">
          <cell r="V16">
            <v>8.6319705012626269</v>
          </cell>
        </row>
        <row r="17">
          <cell r="V17">
            <v>8.706266469245012</v>
          </cell>
        </row>
        <row r="18">
          <cell r="V18">
            <v>8.9504338722658918</v>
          </cell>
        </row>
        <row r="19">
          <cell r="V19">
            <v>8.9638569054437305</v>
          </cell>
        </row>
        <row r="20">
          <cell r="V20">
            <v>8.942243662528611</v>
          </cell>
        </row>
        <row r="21">
          <cell r="V21">
            <v>9.5085033999815494</v>
          </cell>
        </row>
        <row r="22">
          <cell r="V22">
            <v>9.4752478393181558</v>
          </cell>
        </row>
        <row r="23">
          <cell r="V23">
            <v>10.52561724961393</v>
          </cell>
        </row>
        <row r="24">
          <cell r="V24">
            <v>10.908759457423429</v>
          </cell>
        </row>
      </sheetData>
      <sheetData sheetId="59"/>
      <sheetData sheetId="60">
        <row r="10">
          <cell r="V10">
            <v>1.7592308553380214</v>
          </cell>
        </row>
        <row r="16">
          <cell r="V16">
            <v>11.951887395650999</v>
          </cell>
        </row>
        <row r="17">
          <cell r="V17">
            <v>12.133721284311155</v>
          </cell>
        </row>
        <row r="18">
          <cell r="V18">
            <v>12.399926400776428</v>
          </cell>
        </row>
        <row r="19">
          <cell r="V19">
            <v>12.424669005170211</v>
          </cell>
        </row>
        <row r="20">
          <cell r="V20">
            <v>12.353428746742015</v>
          </cell>
        </row>
        <row r="21">
          <cell r="V21">
            <v>12.476047178042954</v>
          </cell>
        </row>
        <row r="22">
          <cell r="V22">
            <v>12.047154524408931</v>
          </cell>
        </row>
        <row r="23">
          <cell r="V23">
            <v>10.672751303631818</v>
          </cell>
        </row>
        <row r="24">
          <cell r="V24">
            <v>9.5045774367871516</v>
          </cell>
        </row>
      </sheetData>
      <sheetData sheetId="61"/>
      <sheetData sheetId="62">
        <row r="10">
          <cell r="V10">
            <v>1.2296995830367816</v>
          </cell>
        </row>
        <row r="16">
          <cell r="V16">
            <v>11.804674596138154</v>
          </cell>
        </row>
        <row r="17">
          <cell r="V17">
            <v>12.415210069424631</v>
          </cell>
        </row>
        <row r="18">
          <cell r="V18">
            <v>12.909699614345479</v>
          </cell>
        </row>
        <row r="19">
          <cell r="V19">
            <v>11.443005820139801</v>
          </cell>
        </row>
        <row r="20">
          <cell r="V20">
            <v>10.088994510666618</v>
          </cell>
        </row>
        <row r="21">
          <cell r="V21">
            <v>5.5598605807524093</v>
          </cell>
        </row>
        <row r="22">
          <cell r="V22">
            <v>5.5265454392244759</v>
          </cell>
        </row>
        <row r="23">
          <cell r="V23">
            <v>6.4604127074328304</v>
          </cell>
        </row>
        <row r="24">
          <cell r="V24">
            <v>6.2570908459471246</v>
          </cell>
        </row>
      </sheetData>
      <sheetData sheetId="63"/>
      <sheetData sheetId="64">
        <row r="10">
          <cell r="V10">
            <v>-14.2</v>
          </cell>
        </row>
        <row r="16">
          <cell r="V16">
            <v>-99</v>
          </cell>
        </row>
        <row r="17">
          <cell r="V17">
            <v>-99</v>
          </cell>
        </row>
        <row r="18">
          <cell r="V18">
            <v>10.546040214837454</v>
          </cell>
        </row>
        <row r="19">
          <cell r="V19">
            <v>-99</v>
          </cell>
        </row>
        <row r="20">
          <cell r="V20">
            <v>-99</v>
          </cell>
        </row>
        <row r="21">
          <cell r="V21">
            <v>-99</v>
          </cell>
        </row>
        <row r="22">
          <cell r="V22">
            <v>13.66472322240222</v>
          </cell>
        </row>
        <row r="23">
          <cell r="V23">
            <v>12.329892217485682</v>
          </cell>
        </row>
        <row r="24">
          <cell r="V24">
            <v>9.8168128001345423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0">
          <cell r="V10">
            <v>1.8000000000000009</v>
          </cell>
        </row>
        <row r="16">
          <cell r="V16">
            <v>13.277202467953369</v>
          </cell>
        </row>
        <row r="17">
          <cell r="V17">
            <v>13.433165647738003</v>
          </cell>
        </row>
        <row r="18">
          <cell r="V18">
            <v>12.383327529128602</v>
          </cell>
        </row>
        <row r="19">
          <cell r="V19">
            <v>11.335108288297114</v>
          </cell>
        </row>
        <row r="20">
          <cell r="V20">
            <v>10.104740365923181</v>
          </cell>
        </row>
        <row r="21">
          <cell r="V21">
            <v>5.5488835029272314</v>
          </cell>
        </row>
        <row r="22">
          <cell r="V22">
            <v>3.9774697107703321</v>
          </cell>
        </row>
        <row r="23">
          <cell r="V23">
            <v>3.0953463778506407</v>
          </cell>
        </row>
        <row r="24">
          <cell r="V24">
            <v>3.7347456092966667</v>
          </cell>
        </row>
      </sheetData>
      <sheetData sheetId="5"/>
      <sheetData sheetId="6">
        <row r="10">
          <cell r="V10">
            <v>1.1846881959460978</v>
          </cell>
        </row>
        <row r="16">
          <cell r="V16">
            <v>15.052254263606439</v>
          </cell>
        </row>
        <row r="17">
          <cell r="V17">
            <v>14.748473161350768</v>
          </cell>
        </row>
        <row r="18">
          <cell r="V18">
            <v>16.548424179845757</v>
          </cell>
        </row>
        <row r="19">
          <cell r="V19">
            <v>15.487898900734645</v>
          </cell>
        </row>
        <row r="20">
          <cell r="V20">
            <v>15.438164580103809</v>
          </cell>
        </row>
        <row r="21">
          <cell r="V21">
            <v>15.170999365674708</v>
          </cell>
        </row>
        <row r="22">
          <cell r="V22">
            <v>15.686144488022236</v>
          </cell>
        </row>
        <row r="23">
          <cell r="V23">
            <v>15.23419890451599</v>
          </cell>
        </row>
        <row r="24">
          <cell r="V24">
            <v>14.620955065837139</v>
          </cell>
        </row>
      </sheetData>
      <sheetData sheetId="7"/>
      <sheetData sheetId="8">
        <row r="10">
          <cell r="V10">
            <v>2.0000000000000013</v>
          </cell>
        </row>
        <row r="16">
          <cell r="V16">
            <v>14.485545174299734</v>
          </cell>
        </row>
        <row r="17">
          <cell r="V17">
            <v>15.147351124173847</v>
          </cell>
        </row>
        <row r="18">
          <cell r="V18">
            <v>14.83366799147152</v>
          </cell>
        </row>
        <row r="19">
          <cell r="V19">
            <v>15.271464620835006</v>
          </cell>
        </row>
        <row r="20">
          <cell r="V20">
            <v>14.679440210797447</v>
          </cell>
        </row>
        <row r="21">
          <cell r="V21">
            <v>14.521191739381385</v>
          </cell>
        </row>
        <row r="22">
          <cell r="V22">
            <v>12.145539409730539</v>
          </cell>
        </row>
        <row r="23">
          <cell r="V23">
            <v>9.5392878865947175</v>
          </cell>
        </row>
        <row r="24">
          <cell r="V24">
            <v>8.990702222742895</v>
          </cell>
        </row>
      </sheetData>
      <sheetData sheetId="9"/>
      <sheetData sheetId="10">
        <row r="10">
          <cell r="V10">
            <v>2.0999999999999992</v>
          </cell>
        </row>
        <row r="16">
          <cell r="V16">
            <v>15.679852487345389</v>
          </cell>
        </row>
        <row r="17">
          <cell r="V17">
            <v>15.985652227675473</v>
          </cell>
        </row>
        <row r="18">
          <cell r="V18">
            <v>14.850813654429666</v>
          </cell>
        </row>
        <row r="19">
          <cell r="V19">
            <v>12.340028198564125</v>
          </cell>
        </row>
        <row r="20">
          <cell r="V20">
            <v>10.472659646528076</v>
          </cell>
        </row>
        <row r="21">
          <cell r="V21">
            <v>6.3458544061187832</v>
          </cell>
        </row>
        <row r="22">
          <cell r="V22">
            <v>7.2106161090568248</v>
          </cell>
        </row>
        <row r="23">
          <cell r="V23">
            <v>2.8879946023367635</v>
          </cell>
        </row>
        <row r="24">
          <cell r="V24">
            <v>2.7820602805865953</v>
          </cell>
        </row>
      </sheetData>
      <sheetData sheetId="11"/>
      <sheetData sheetId="12">
        <row r="10">
          <cell r="V10">
            <v>1.8302657282835617</v>
          </cell>
        </row>
        <row r="16">
          <cell r="V16">
            <v>13.931109985551963</v>
          </cell>
        </row>
        <row r="17">
          <cell r="V17">
            <v>14.074992213671456</v>
          </cell>
        </row>
        <row r="18">
          <cell r="V18">
            <v>14.768758731196868</v>
          </cell>
        </row>
        <row r="19">
          <cell r="V19">
            <v>14.349719167563595</v>
          </cell>
        </row>
        <row r="20">
          <cell r="V20">
            <v>14.173502135009279</v>
          </cell>
        </row>
        <row r="21">
          <cell r="V21">
            <v>14.360409939043636</v>
          </cell>
        </row>
        <row r="22">
          <cell r="V22">
            <v>13.958903910519355</v>
          </cell>
        </row>
        <row r="23">
          <cell r="V23">
            <v>13.491748016569124</v>
          </cell>
        </row>
        <row r="24">
          <cell r="V24">
            <v>12.539465719482692</v>
          </cell>
        </row>
      </sheetData>
      <sheetData sheetId="13"/>
      <sheetData sheetId="14">
        <row r="10">
          <cell r="V10">
            <v>1.9000000000000024</v>
          </cell>
        </row>
        <row r="16">
          <cell r="V16">
            <v>13.580794675668708</v>
          </cell>
        </row>
        <row r="17">
          <cell r="V17">
            <v>13.501221776578824</v>
          </cell>
        </row>
        <row r="18">
          <cell r="V18">
            <v>13.988773266145826</v>
          </cell>
        </row>
        <row r="19">
          <cell r="V19">
            <v>13.91566710033908</v>
          </cell>
        </row>
        <row r="20">
          <cell r="V20">
            <v>14.473633079498375</v>
          </cell>
        </row>
        <row r="21">
          <cell r="V21">
            <v>14.835324369771758</v>
          </cell>
        </row>
        <row r="22">
          <cell r="V22">
            <v>14.772393690214514</v>
          </cell>
        </row>
        <row r="23">
          <cell r="V23">
            <v>14.9989382931208</v>
          </cell>
        </row>
        <row r="24">
          <cell r="V24">
            <v>14.910570501332369</v>
          </cell>
        </row>
      </sheetData>
      <sheetData sheetId="15"/>
      <sheetData sheetId="16">
        <row r="10">
          <cell r="V10">
            <v>1.8999999999999995</v>
          </cell>
        </row>
        <row r="16">
          <cell r="V16">
            <v>16.03782085684032</v>
          </cell>
        </row>
        <row r="17">
          <cell r="V17">
            <v>16.492177588467502</v>
          </cell>
        </row>
        <row r="18">
          <cell r="V18">
            <v>16.656905416382799</v>
          </cell>
        </row>
        <row r="19">
          <cell r="V19">
            <v>16.712291686481326</v>
          </cell>
        </row>
        <row r="20">
          <cell r="V20">
            <v>16.982216588596152</v>
          </cell>
        </row>
        <row r="21">
          <cell r="V21">
            <v>15.859404390661172</v>
          </cell>
        </row>
        <row r="22">
          <cell r="V22">
            <v>15.886382043816328</v>
          </cell>
        </row>
        <row r="23">
          <cell r="V23">
            <v>13.652535939503672</v>
          </cell>
        </row>
        <row r="24">
          <cell r="V24">
            <v>11.396946911763902</v>
          </cell>
        </row>
      </sheetData>
      <sheetData sheetId="17"/>
      <sheetData sheetId="18">
        <row r="10">
          <cell r="V10">
            <v>1.8000000000000009</v>
          </cell>
        </row>
        <row r="16">
          <cell r="V16">
            <v>17.73012442618926</v>
          </cell>
        </row>
        <row r="17">
          <cell r="V17">
            <v>18.229031103156647</v>
          </cell>
        </row>
        <row r="18">
          <cell r="V18">
            <v>17.550575516682152</v>
          </cell>
        </row>
        <row r="19">
          <cell r="V19">
            <v>16.8768299604966</v>
          </cell>
        </row>
        <row r="20">
          <cell r="V20">
            <v>15.445643488282897</v>
          </cell>
        </row>
        <row r="21">
          <cell r="V21">
            <v>11.737110696910811</v>
          </cell>
        </row>
        <row r="22">
          <cell r="V22">
            <v>11.650000433661267</v>
          </cell>
        </row>
        <row r="23">
          <cell r="V23">
            <v>10.03509008978383</v>
          </cell>
        </row>
        <row r="24">
          <cell r="V24">
            <v>9.8799289120436331</v>
          </cell>
        </row>
      </sheetData>
      <sheetData sheetId="19"/>
      <sheetData sheetId="20">
        <row r="10">
          <cell r="V10">
            <v>1.5283032476823162</v>
          </cell>
        </row>
        <row r="16">
          <cell r="V16">
            <v>16.128612531368439</v>
          </cell>
        </row>
        <row r="17">
          <cell r="V17">
            <v>17.124149597796027</v>
          </cell>
        </row>
        <row r="18">
          <cell r="V18">
            <v>16.608067202406584</v>
          </cell>
        </row>
        <row r="19">
          <cell r="V19">
            <v>14.225278437567663</v>
          </cell>
        </row>
        <row r="20">
          <cell r="V20">
            <v>12.616869897372034</v>
          </cell>
        </row>
        <row r="21">
          <cell r="V21">
            <v>9.6667076155100826</v>
          </cell>
        </row>
        <row r="22">
          <cell r="V22">
            <v>8.9930406876911579</v>
          </cell>
        </row>
        <row r="23">
          <cell r="V23">
            <v>6.2056805575589369</v>
          </cell>
        </row>
        <row r="24">
          <cell r="V24">
            <v>10.830904510503471</v>
          </cell>
        </row>
      </sheetData>
      <sheetData sheetId="21"/>
      <sheetData sheetId="22">
        <row r="10">
          <cell r="V10">
            <v>1.5000000000000009</v>
          </cell>
        </row>
        <row r="16">
          <cell r="V16">
            <v>13.581289356938322</v>
          </cell>
        </row>
        <row r="17">
          <cell r="V17">
            <v>16.131367146465305</v>
          </cell>
        </row>
        <row r="18">
          <cell r="V18">
            <v>10.549885615622479</v>
          </cell>
        </row>
        <row r="19">
          <cell r="V19">
            <v>9.6755490709801251</v>
          </cell>
        </row>
        <row r="20">
          <cell r="V20">
            <v>8.1656808310925619</v>
          </cell>
        </row>
        <row r="21">
          <cell r="V21">
            <v>8.2349746607669552</v>
          </cell>
        </row>
        <row r="22">
          <cell r="V22">
            <v>8.07932271099593</v>
          </cell>
        </row>
        <row r="23">
          <cell r="V23">
            <v>8.0175294913082951</v>
          </cell>
        </row>
        <row r="24">
          <cell r="V24">
            <v>5.3101311956851545</v>
          </cell>
        </row>
      </sheetData>
      <sheetData sheetId="23"/>
      <sheetData sheetId="24">
        <row r="10">
          <cell r="V10">
            <v>1.8999999999999995</v>
          </cell>
        </row>
        <row r="16">
          <cell r="V16">
            <v>13.654817969961705</v>
          </cell>
        </row>
        <row r="17">
          <cell r="V17">
            <v>12.799705791301403</v>
          </cell>
        </row>
        <row r="18">
          <cell r="V18">
            <v>10.586416937066506</v>
          </cell>
        </row>
        <row r="19">
          <cell r="V19">
            <v>9.1233818907763027</v>
          </cell>
        </row>
        <row r="20">
          <cell r="V20">
            <v>8.3082685144363442</v>
          </cell>
        </row>
        <row r="21">
          <cell r="V21">
            <v>7.4694247219031391</v>
          </cell>
        </row>
        <row r="22">
          <cell r="V22">
            <v>7.4819875599792116</v>
          </cell>
        </row>
        <row r="23">
          <cell r="V23">
            <v>5.8695171648565747</v>
          </cell>
        </row>
        <row r="24">
          <cell r="V24">
            <v>7.5038636549964766</v>
          </cell>
        </row>
      </sheetData>
      <sheetData sheetId="25"/>
      <sheetData sheetId="26">
        <row r="10">
          <cell r="V10">
            <v>1.6316778906132092</v>
          </cell>
        </row>
        <row r="16">
          <cell r="V16">
            <v>12.085022940854287</v>
          </cell>
        </row>
        <row r="17">
          <cell r="V17">
            <v>11.045443905228618</v>
          </cell>
        </row>
        <row r="18">
          <cell r="V18">
            <v>8.7008106701899273</v>
          </cell>
        </row>
        <row r="19">
          <cell r="V19">
            <v>6.9204762027897724</v>
          </cell>
        </row>
        <row r="20">
          <cell r="V20">
            <v>5.9800162716842147</v>
          </cell>
        </row>
        <row r="21">
          <cell r="V21">
            <v>5.1142356633521953</v>
          </cell>
        </row>
        <row r="22">
          <cell r="V22">
            <v>5.2082473098969082</v>
          </cell>
        </row>
        <row r="23">
          <cell r="V23">
            <v>5.6801600794056721</v>
          </cell>
        </row>
        <row r="24">
          <cell r="V24">
            <v>4.9053157690687517</v>
          </cell>
        </row>
      </sheetData>
      <sheetData sheetId="27"/>
      <sheetData sheetId="28">
        <row r="10">
          <cell r="V10">
            <v>1.8269052089966871</v>
          </cell>
        </row>
        <row r="16">
          <cell r="V16">
            <v>11.551692930039797</v>
          </cell>
        </row>
        <row r="17">
          <cell r="V17">
            <v>8.8086731674106975</v>
          </cell>
        </row>
        <row r="18">
          <cell r="V18">
            <v>8.7752814368456242</v>
          </cell>
        </row>
        <row r="19">
          <cell r="V19">
            <v>7.8247112504730705</v>
          </cell>
        </row>
        <row r="20">
          <cell r="V20">
            <v>8.0849918574629829</v>
          </cell>
        </row>
        <row r="21">
          <cell r="V21">
            <v>7.6565972832191642</v>
          </cell>
        </row>
        <row r="22">
          <cell r="V22">
            <v>7.9206762197148572</v>
          </cell>
        </row>
        <row r="23">
          <cell r="V23">
            <v>6.1633623482770927</v>
          </cell>
        </row>
        <row r="24">
          <cell r="V24">
            <v>7.5138248528309095</v>
          </cell>
        </row>
      </sheetData>
      <sheetData sheetId="29"/>
      <sheetData sheetId="30">
        <row r="10">
          <cell r="V10">
            <v>1.8265571961105027</v>
          </cell>
        </row>
        <row r="16">
          <cell r="V16">
            <v>11.776936631238037</v>
          </cell>
        </row>
        <row r="17">
          <cell r="V17">
            <v>11.729571712913797</v>
          </cell>
        </row>
        <row r="18">
          <cell r="V18">
            <v>15.212334337409679</v>
          </cell>
        </row>
        <row r="19">
          <cell r="V19">
            <v>15.181821221980623</v>
          </cell>
        </row>
        <row r="20">
          <cell r="V20">
            <v>13.71869515743405</v>
          </cell>
        </row>
        <row r="21">
          <cell r="V21">
            <v>13.36952485672596</v>
          </cell>
        </row>
        <row r="22">
          <cell r="V22">
            <v>12.555241194336011</v>
          </cell>
        </row>
        <row r="23">
          <cell r="V23">
            <v>10.493125587226031</v>
          </cell>
        </row>
        <row r="24">
          <cell r="V24">
            <v>14.891142102245151</v>
          </cell>
        </row>
      </sheetData>
      <sheetData sheetId="31"/>
      <sheetData sheetId="32">
        <row r="10">
          <cell r="V10">
            <v>1.8999999999999995</v>
          </cell>
        </row>
        <row r="16">
          <cell r="V16">
            <v>15.564646032644255</v>
          </cell>
        </row>
        <row r="17">
          <cell r="V17">
            <v>15.558749962281103</v>
          </cell>
        </row>
        <row r="18">
          <cell r="V18">
            <v>15.296229213288752</v>
          </cell>
        </row>
        <row r="19">
          <cell r="V19">
            <v>15.439852299485437</v>
          </cell>
        </row>
        <row r="20">
          <cell r="V20">
            <v>15.754934144153356</v>
          </cell>
        </row>
        <row r="21">
          <cell r="V21">
            <v>16.022120070823334</v>
          </cell>
        </row>
        <row r="22">
          <cell r="V22">
            <v>15.701710381533772</v>
          </cell>
        </row>
        <row r="23">
          <cell r="V23">
            <v>15.323741736029476</v>
          </cell>
        </row>
        <row r="24">
          <cell r="V24">
            <v>15.600538149193788</v>
          </cell>
        </row>
      </sheetData>
      <sheetData sheetId="33"/>
      <sheetData sheetId="34">
        <row r="10">
          <cell r="V10">
            <v>1.4595752581492791</v>
          </cell>
        </row>
        <row r="16">
          <cell r="V16">
            <v>14.774675788475621</v>
          </cell>
        </row>
        <row r="17">
          <cell r="V17">
            <v>14.065372247542109</v>
          </cell>
        </row>
        <row r="18">
          <cell r="V18">
            <v>13.989342961917234</v>
          </cell>
        </row>
        <row r="19">
          <cell r="V19">
            <v>14.91001800929747</v>
          </cell>
        </row>
        <row r="20">
          <cell r="V20">
            <v>14.966210769509548</v>
          </cell>
        </row>
        <row r="21">
          <cell r="V21">
            <v>14.807819729463514</v>
          </cell>
        </row>
        <row r="22">
          <cell r="V22">
            <v>14.910123924831256</v>
          </cell>
        </row>
        <row r="23">
          <cell r="V23">
            <v>14.603658939666415</v>
          </cell>
        </row>
        <row r="24">
          <cell r="V24">
            <v>14.311340196285274</v>
          </cell>
        </row>
      </sheetData>
      <sheetData sheetId="35"/>
      <sheetData sheetId="36">
        <row r="10">
          <cell r="V10">
            <v>1.8591159607169385</v>
          </cell>
        </row>
        <row r="16">
          <cell r="V16">
            <v>13.436308752154961</v>
          </cell>
        </row>
        <row r="17">
          <cell r="V17">
            <v>13.436087515316862</v>
          </cell>
        </row>
        <row r="18">
          <cell r="V18">
            <v>12.981867746276118</v>
          </cell>
        </row>
        <row r="19">
          <cell r="V19">
            <v>12.747603873761879</v>
          </cell>
        </row>
        <row r="20">
          <cell r="V20">
            <v>12.347394411168343</v>
          </cell>
        </row>
        <row r="21">
          <cell r="V21">
            <v>12.470782567214602</v>
          </cell>
        </row>
        <row r="22">
          <cell r="V22">
            <v>12.494095730686059</v>
          </cell>
        </row>
        <row r="23">
          <cell r="V23">
            <v>12.06149473627597</v>
          </cell>
        </row>
        <row r="24">
          <cell r="V24">
            <v>12.813304983074042</v>
          </cell>
        </row>
      </sheetData>
      <sheetData sheetId="37"/>
      <sheetData sheetId="38">
        <row r="10">
          <cell r="V10">
            <v>1.816735080301898</v>
          </cell>
        </row>
        <row r="16">
          <cell r="V16">
            <v>12.474165435500726</v>
          </cell>
        </row>
        <row r="17">
          <cell r="V17">
            <v>12.51714111624559</v>
          </cell>
        </row>
        <row r="18">
          <cell r="V18">
            <v>12.884081810013875</v>
          </cell>
        </row>
        <row r="19">
          <cell r="V19">
            <v>12.917422035427665</v>
          </cell>
        </row>
        <row r="20">
          <cell r="V20">
            <v>14.000925053963895</v>
          </cell>
        </row>
        <row r="21">
          <cell r="V21">
            <v>13.573477956833733</v>
          </cell>
        </row>
        <row r="22">
          <cell r="V22">
            <v>13.289540543655233</v>
          </cell>
        </row>
        <row r="23">
          <cell r="V23">
            <v>13.650430874506361</v>
          </cell>
        </row>
        <row r="24">
          <cell r="V24">
            <v>14.147392772577215</v>
          </cell>
        </row>
      </sheetData>
      <sheetData sheetId="39"/>
      <sheetData sheetId="40">
        <row r="10">
          <cell r="V10">
            <v>2.116041969988447</v>
          </cell>
        </row>
        <row r="16">
          <cell r="V16">
            <v>14.466983824719346</v>
          </cell>
        </row>
        <row r="17">
          <cell r="V17">
            <v>14.656171843189222</v>
          </cell>
        </row>
        <row r="18">
          <cell r="V18">
            <v>14.776283372364698</v>
          </cell>
        </row>
        <row r="19">
          <cell r="V19">
            <v>15.434782801011446</v>
          </cell>
        </row>
        <row r="20">
          <cell r="V20">
            <v>15.046192457130795</v>
          </cell>
        </row>
        <row r="21">
          <cell r="V21">
            <v>15.126022294198176</v>
          </cell>
        </row>
        <row r="22">
          <cell r="V22">
            <v>17.149549799853677</v>
          </cell>
        </row>
        <row r="23">
          <cell r="V23">
            <v>19.146172904651671</v>
          </cell>
        </row>
        <row r="24">
          <cell r="V24">
            <v>17.498703047627796</v>
          </cell>
        </row>
      </sheetData>
      <sheetData sheetId="41"/>
      <sheetData sheetId="42">
        <row r="10">
          <cell r="V10">
            <v>1.8000000000000009</v>
          </cell>
        </row>
        <row r="16">
          <cell r="V16">
            <v>16.132307654429489</v>
          </cell>
        </row>
        <row r="17">
          <cell r="V17">
            <v>16.568704170302869</v>
          </cell>
        </row>
        <row r="18">
          <cell r="V18">
            <v>16.455930996600028</v>
          </cell>
        </row>
        <row r="19">
          <cell r="V19">
            <v>16.636182449274965</v>
          </cell>
        </row>
        <row r="20">
          <cell r="V20">
            <v>15.095362476603658</v>
          </cell>
        </row>
        <row r="21">
          <cell r="V21">
            <v>14.186705253874715</v>
          </cell>
        </row>
        <row r="22">
          <cell r="V22">
            <v>14.131709136530802</v>
          </cell>
        </row>
        <row r="23">
          <cell r="V23">
            <v>14.34093389314298</v>
          </cell>
        </row>
        <row r="24">
          <cell r="V24">
            <v>14.027635446815351</v>
          </cell>
        </row>
      </sheetData>
      <sheetData sheetId="43"/>
      <sheetData sheetId="44">
        <row r="10">
          <cell r="V10">
            <v>2.1255054669944555</v>
          </cell>
        </row>
        <row r="16">
          <cell r="V16">
            <v>16.493095057694976</v>
          </cell>
        </row>
        <row r="17">
          <cell r="V17">
            <v>16.554307666987167</v>
          </cell>
        </row>
        <row r="18">
          <cell r="V18">
            <v>16.01927759493789</v>
          </cell>
        </row>
        <row r="19">
          <cell r="V19">
            <v>15.473852291585011</v>
          </cell>
        </row>
        <row r="20">
          <cell r="V20">
            <v>14.944989025339313</v>
          </cell>
        </row>
        <row r="21">
          <cell r="V21">
            <v>14.38770553689184</v>
          </cell>
        </row>
        <row r="22">
          <cell r="V22">
            <v>14.011271584334358</v>
          </cell>
        </row>
        <row r="23">
          <cell r="V23">
            <v>17.109115465029994</v>
          </cell>
        </row>
        <row r="24">
          <cell r="V24">
            <v>17.308475606502363</v>
          </cell>
        </row>
      </sheetData>
      <sheetData sheetId="45"/>
      <sheetData sheetId="46">
        <row r="10">
          <cell r="V10">
            <v>2.6999999999999997</v>
          </cell>
        </row>
        <row r="16">
          <cell r="V16">
            <v>17.014291532032509</v>
          </cell>
        </row>
        <row r="17">
          <cell r="V17">
            <v>16.709807240359812</v>
          </cell>
        </row>
        <row r="18">
          <cell r="V18">
            <v>16.820915599742975</v>
          </cell>
        </row>
        <row r="19">
          <cell r="V19">
            <v>16.605767307168264</v>
          </cell>
        </row>
        <row r="20">
          <cell r="V20">
            <v>16.516526714931388</v>
          </cell>
        </row>
        <row r="21">
          <cell r="V21">
            <v>14.176952040580575</v>
          </cell>
        </row>
        <row r="22">
          <cell r="V22">
            <v>13.800599517117602</v>
          </cell>
        </row>
        <row r="23">
          <cell r="V23">
            <v>13.149950694814486</v>
          </cell>
        </row>
        <row r="24">
          <cell r="V24">
            <v>12.313145722952878</v>
          </cell>
        </row>
      </sheetData>
      <sheetData sheetId="47"/>
      <sheetData sheetId="48">
        <row r="10">
          <cell r="V10">
            <v>2.0588860309489636</v>
          </cell>
        </row>
        <row r="16">
          <cell r="V16">
            <v>17.266297844017291</v>
          </cell>
        </row>
        <row r="17">
          <cell r="V17">
            <v>18.027901718835377</v>
          </cell>
        </row>
        <row r="18">
          <cell r="V18">
            <v>17.679790263275528</v>
          </cell>
        </row>
        <row r="19">
          <cell r="V19">
            <v>16.152996838350308</v>
          </cell>
        </row>
        <row r="20">
          <cell r="V20">
            <v>11.437713945106436</v>
          </cell>
        </row>
        <row r="21">
          <cell r="V21">
            <v>10.741064481854853</v>
          </cell>
        </row>
        <row r="22">
          <cell r="V22">
            <v>9.4814211574055349</v>
          </cell>
        </row>
        <row r="23">
          <cell r="V23">
            <v>10.053217369848703</v>
          </cell>
        </row>
        <row r="24">
          <cell r="V24">
            <v>13.837951267467037</v>
          </cell>
        </row>
      </sheetData>
      <sheetData sheetId="49"/>
      <sheetData sheetId="50">
        <row r="10">
          <cell r="V10">
            <v>2.0999999999999992</v>
          </cell>
        </row>
        <row r="16">
          <cell r="V16">
            <v>16.849685488701002</v>
          </cell>
        </row>
        <row r="17">
          <cell r="V17">
            <v>17.532608109549511</v>
          </cell>
        </row>
        <row r="18">
          <cell r="V18">
            <v>17.08867574095235</v>
          </cell>
        </row>
        <row r="19">
          <cell r="V19">
            <v>16.443159670866603</v>
          </cell>
        </row>
        <row r="20">
          <cell r="V20">
            <v>15.010084788395135</v>
          </cell>
        </row>
        <row r="21">
          <cell r="V21">
            <v>14.368342853062954</v>
          </cell>
        </row>
        <row r="22">
          <cell r="V22">
            <v>13.255902460765416</v>
          </cell>
        </row>
        <row r="23">
          <cell r="V23">
            <v>10.17564597224654</v>
          </cell>
        </row>
        <row r="24">
          <cell r="V24">
            <v>18.281316126422389</v>
          </cell>
        </row>
      </sheetData>
      <sheetData sheetId="51"/>
      <sheetData sheetId="52">
        <row r="10">
          <cell r="V10">
            <v>1.8953569809531132</v>
          </cell>
        </row>
        <row r="16">
          <cell r="V16">
            <v>17.114122165680737</v>
          </cell>
        </row>
        <row r="17">
          <cell r="V17">
            <v>16.773659160143826</v>
          </cell>
        </row>
        <row r="18">
          <cell r="V18">
            <v>16.553120777258126</v>
          </cell>
        </row>
        <row r="19">
          <cell r="V19">
            <v>15.748577220581254</v>
          </cell>
        </row>
        <row r="20">
          <cell r="V20">
            <v>14.661588904254032</v>
          </cell>
        </row>
        <row r="21">
          <cell r="V21">
            <v>12.867624261812178</v>
          </cell>
        </row>
        <row r="22">
          <cell r="V22">
            <v>11.743164663052085</v>
          </cell>
        </row>
        <row r="23">
          <cell r="V23">
            <v>8.337205338397645</v>
          </cell>
        </row>
        <row r="24">
          <cell r="V24">
            <v>7.399130187374765</v>
          </cell>
        </row>
      </sheetData>
      <sheetData sheetId="53"/>
      <sheetData sheetId="54">
        <row r="10">
          <cell r="V10">
            <v>2.0588860309489636</v>
          </cell>
        </row>
        <row r="16">
          <cell r="V16">
            <v>14.954723699190717</v>
          </cell>
        </row>
        <row r="17">
          <cell r="V17">
            <v>14.542450176740321</v>
          </cell>
        </row>
        <row r="18">
          <cell r="V18">
            <v>13.294103610293392</v>
          </cell>
        </row>
        <row r="19">
          <cell r="V19">
            <v>11.693500058995946</v>
          </cell>
        </row>
        <row r="20">
          <cell r="V20">
            <v>11.017893726736423</v>
          </cell>
        </row>
        <row r="21">
          <cell r="V21">
            <v>11.247446503994141</v>
          </cell>
        </row>
        <row r="22">
          <cell r="V22">
            <v>10.692349534199966</v>
          </cell>
        </row>
        <row r="23">
          <cell r="V23">
            <v>10.050928693955239</v>
          </cell>
        </row>
        <row r="24">
          <cell r="V24">
            <v>8.7686508122754638</v>
          </cell>
        </row>
      </sheetData>
      <sheetData sheetId="55"/>
      <sheetData sheetId="56">
        <row r="10">
          <cell r="V10">
            <v>2.5</v>
          </cell>
        </row>
        <row r="16">
          <cell r="V16">
            <v>16.930425713049896</v>
          </cell>
        </row>
        <row r="17">
          <cell r="V17">
            <v>16.621674585647508</v>
          </cell>
        </row>
        <row r="18">
          <cell r="V18">
            <v>17.930171723445735</v>
          </cell>
        </row>
        <row r="19">
          <cell r="V19">
            <v>18.706305908273066</v>
          </cell>
        </row>
        <row r="20">
          <cell r="V20">
            <v>18.070757567884776</v>
          </cell>
        </row>
        <row r="21">
          <cell r="V21">
            <v>16.470868996067395</v>
          </cell>
        </row>
        <row r="22">
          <cell r="V22">
            <v>16.562032502764811</v>
          </cell>
        </row>
        <row r="23">
          <cell r="V23">
            <v>17.985854593464019</v>
          </cell>
        </row>
        <row r="24">
          <cell r="V24">
            <v>18.86290475022399</v>
          </cell>
        </row>
      </sheetData>
      <sheetData sheetId="57"/>
      <sheetData sheetId="58">
        <row r="10">
          <cell r="V10">
            <v>1.673177597483771</v>
          </cell>
        </row>
        <row r="16">
          <cell r="V16">
            <v>12.964204491669648</v>
          </cell>
        </row>
        <row r="17">
          <cell r="V17">
            <v>12.343545224743979</v>
          </cell>
        </row>
        <row r="18">
          <cell r="V18">
            <v>12.262739066560167</v>
          </cell>
        </row>
        <row r="19">
          <cell r="V19">
            <v>11.979272574661019</v>
          </cell>
        </row>
        <row r="20">
          <cell r="V20">
            <v>11.813147596498036</v>
          </cell>
        </row>
        <row r="21">
          <cell r="V21">
            <v>12.895449645734461</v>
          </cell>
        </row>
        <row r="22">
          <cell r="V22">
            <v>13.73223354440772</v>
          </cell>
        </row>
        <row r="23">
          <cell r="V23">
            <v>13.897180427282176</v>
          </cell>
        </row>
        <row r="24">
          <cell r="V24">
            <v>14.175391928301801</v>
          </cell>
        </row>
      </sheetData>
      <sheetData sheetId="59"/>
      <sheetData sheetId="60">
        <row r="10">
          <cell r="V10">
            <v>1.9165041375260774</v>
          </cell>
        </row>
        <row r="16">
          <cell r="V16">
            <v>13.779907316304076</v>
          </cell>
        </row>
        <row r="17">
          <cell r="V17">
            <v>14.326923009352999</v>
          </cell>
        </row>
        <row r="18">
          <cell r="V18">
            <v>14.099193070281972</v>
          </cell>
        </row>
        <row r="19">
          <cell r="V19">
            <v>14.986266879608284</v>
          </cell>
        </row>
        <row r="20">
          <cell r="V20">
            <v>14.953521895232642</v>
          </cell>
        </row>
        <row r="21">
          <cell r="V21">
            <v>13.794863011785072</v>
          </cell>
        </row>
        <row r="22">
          <cell r="V22">
            <v>14.402679831299995</v>
          </cell>
        </row>
        <row r="23">
          <cell r="V23">
            <v>16.512856978747159</v>
          </cell>
        </row>
        <row r="24">
          <cell r="V24">
            <v>15.77903028795315</v>
          </cell>
        </row>
      </sheetData>
      <sheetData sheetId="61"/>
      <sheetData sheetId="62">
        <row r="10">
          <cell r="V10">
            <v>2.3155794264703933</v>
          </cell>
        </row>
        <row r="16">
          <cell r="V16">
            <v>15.811000226861282</v>
          </cell>
        </row>
        <row r="17">
          <cell r="V17">
            <v>16.1429092282665</v>
          </cell>
        </row>
        <row r="18">
          <cell r="V18">
            <v>16.283474266452767</v>
          </cell>
        </row>
        <row r="19">
          <cell r="V19">
            <v>15.962867329030738</v>
          </cell>
        </row>
        <row r="20">
          <cell r="V20">
            <v>16.072969342306052</v>
          </cell>
        </row>
        <row r="21">
          <cell r="V21">
            <v>15.123312588121664</v>
          </cell>
        </row>
        <row r="22">
          <cell r="V22">
            <v>14.344306952786683</v>
          </cell>
        </row>
        <row r="23">
          <cell r="V23">
            <v>16.890528794392296</v>
          </cell>
        </row>
        <row r="24">
          <cell r="V24">
            <v>18.180241464588232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0">
          <cell r="V10">
            <v>2.399999999999999</v>
          </cell>
        </row>
        <row r="16">
          <cell r="V16">
            <v>15.162429413439622</v>
          </cell>
        </row>
        <row r="17">
          <cell r="V17">
            <v>14.55189274484032</v>
          </cell>
        </row>
        <row r="18">
          <cell r="V18">
            <v>14.5433838371851</v>
          </cell>
        </row>
        <row r="19">
          <cell r="V19">
            <v>15.006645792186212</v>
          </cell>
        </row>
        <row r="20">
          <cell r="V20">
            <v>13.199529887494144</v>
          </cell>
        </row>
        <row r="21">
          <cell r="V21">
            <v>11.865630978687612</v>
          </cell>
        </row>
        <row r="22">
          <cell r="V22">
            <v>13.149188276035341</v>
          </cell>
        </row>
        <row r="23">
          <cell r="V23">
            <v>11.453595444530293</v>
          </cell>
        </row>
        <row r="24">
          <cell r="V24">
            <v>9.2519469611333029</v>
          </cell>
        </row>
      </sheetData>
      <sheetData sheetId="5"/>
      <sheetData sheetId="6">
        <row r="10">
          <cell r="V10">
            <v>2.0259722369183666</v>
          </cell>
        </row>
        <row r="16">
          <cell r="V16">
            <v>16.533888792778562</v>
          </cell>
        </row>
        <row r="17">
          <cell r="V17">
            <v>14.163331352101437</v>
          </cell>
        </row>
        <row r="18">
          <cell r="V18">
            <v>12.422244681311492</v>
          </cell>
        </row>
        <row r="19">
          <cell r="V19">
            <v>10.494512913350453</v>
          </cell>
        </row>
        <row r="20">
          <cell r="V20">
            <v>11.537109462538719</v>
          </cell>
        </row>
        <row r="21">
          <cell r="V21">
            <v>11.302316994660915</v>
          </cell>
        </row>
        <row r="22">
          <cell r="V22">
            <v>10.169988940046519</v>
          </cell>
        </row>
        <row r="23">
          <cell r="V23">
            <v>8.1720541969311871</v>
          </cell>
        </row>
        <row r="24">
          <cell r="V24">
            <v>18.198923149855059</v>
          </cell>
        </row>
      </sheetData>
      <sheetData sheetId="7"/>
      <sheetData sheetId="8">
        <row r="10">
          <cell r="V10">
            <v>2.0999999999999992</v>
          </cell>
        </row>
        <row r="16">
          <cell r="V16">
            <v>16.649285620382155</v>
          </cell>
        </row>
        <row r="17">
          <cell r="V17">
            <v>17.021772822685001</v>
          </cell>
        </row>
        <row r="18">
          <cell r="V18">
            <v>17.670717400195592</v>
          </cell>
        </row>
        <row r="19">
          <cell r="V19">
            <v>17.165775895871693</v>
          </cell>
        </row>
        <row r="20">
          <cell r="V20">
            <v>17.897994086317745</v>
          </cell>
        </row>
        <row r="21">
          <cell r="V21">
            <v>17.087877163568528</v>
          </cell>
        </row>
        <row r="22">
          <cell r="V22">
            <v>16.402010715942268</v>
          </cell>
        </row>
        <row r="23">
          <cell r="V23">
            <v>16.903813191159568</v>
          </cell>
        </row>
        <row r="24">
          <cell r="V24">
            <v>15.816056122133121</v>
          </cell>
        </row>
      </sheetData>
      <sheetData sheetId="9"/>
      <sheetData sheetId="10">
        <row r="10">
          <cell r="V10">
            <v>2.0588860309489658</v>
          </cell>
        </row>
        <row r="16">
          <cell r="V16">
            <v>14.412903449909949</v>
          </cell>
        </row>
        <row r="17">
          <cell r="V17">
            <v>14.076735730975125</v>
          </cell>
        </row>
        <row r="18">
          <cell r="V18">
            <v>13.854271464859904</v>
          </cell>
        </row>
        <row r="19">
          <cell r="V19">
            <v>14.314171267044271</v>
          </cell>
        </row>
        <row r="20">
          <cell r="V20">
            <v>14.314060245501118</v>
          </cell>
        </row>
        <row r="21">
          <cell r="V21">
            <v>14.301984981487308</v>
          </cell>
        </row>
        <row r="22">
          <cell r="V22">
            <v>14.080089281460312</v>
          </cell>
        </row>
        <row r="23">
          <cell r="V23">
            <v>14.04804790079708</v>
          </cell>
        </row>
        <row r="24">
          <cell r="V24">
            <v>14.107045829260672</v>
          </cell>
        </row>
      </sheetData>
      <sheetData sheetId="11"/>
      <sheetData sheetId="12">
        <row r="10">
          <cell r="V10">
            <v>2.2000000000000006</v>
          </cell>
        </row>
        <row r="16">
          <cell r="V16">
            <v>14.430811938565181</v>
          </cell>
        </row>
        <row r="17">
          <cell r="V17">
            <v>13.844252498324948</v>
          </cell>
        </row>
        <row r="18">
          <cell r="V18">
            <v>13.370310842753971</v>
          </cell>
        </row>
        <row r="19">
          <cell r="V19">
            <v>13.51544300224187</v>
          </cell>
        </row>
        <row r="20">
          <cell r="V20">
            <v>14.477783388015105</v>
          </cell>
        </row>
        <row r="21">
          <cell r="V21">
            <v>14.592294313301744</v>
          </cell>
        </row>
        <row r="22">
          <cell r="V22">
            <v>14.562190207748763</v>
          </cell>
        </row>
        <row r="23">
          <cell r="V23">
            <v>14.939210683088415</v>
          </cell>
        </row>
        <row r="24">
          <cell r="V24">
            <v>15.071909123271324</v>
          </cell>
        </row>
      </sheetData>
      <sheetData sheetId="13"/>
      <sheetData sheetId="14">
        <row r="10">
          <cell r="V10">
            <v>1.9590010192539069</v>
          </cell>
        </row>
        <row r="16">
          <cell r="V16">
            <v>13.572375990192926</v>
          </cell>
        </row>
        <row r="17">
          <cell r="V17">
            <v>13.403895007861406</v>
          </cell>
        </row>
        <row r="18">
          <cell r="V18">
            <v>13.679678362155006</v>
          </cell>
        </row>
        <row r="19">
          <cell r="V19">
            <v>14.077841717968228</v>
          </cell>
        </row>
        <row r="20">
          <cell r="V20">
            <v>13.17192341540469</v>
          </cell>
        </row>
        <row r="21">
          <cell r="V21">
            <v>13.721203809374758</v>
          </cell>
        </row>
        <row r="22">
          <cell r="V22">
            <v>15.140359150929475</v>
          </cell>
        </row>
        <row r="23">
          <cell r="V23">
            <v>14.720932376760386</v>
          </cell>
        </row>
        <row r="24">
          <cell r="V24">
            <v>14.705633708980661</v>
          </cell>
        </row>
      </sheetData>
      <sheetData sheetId="15"/>
      <sheetData sheetId="16">
        <row r="10">
          <cell r="V10">
            <v>1.8302657282835617</v>
          </cell>
        </row>
        <row r="16">
          <cell r="V16">
            <v>12.929477974054919</v>
          </cell>
        </row>
        <row r="17">
          <cell r="V17">
            <v>12.802811063766894</v>
          </cell>
        </row>
        <row r="18">
          <cell r="V18">
            <v>12.850427037799308</v>
          </cell>
        </row>
        <row r="19">
          <cell r="V19">
            <v>11.953015614950846</v>
          </cell>
        </row>
        <row r="20">
          <cell r="V20">
            <v>12.095181669340311</v>
          </cell>
        </row>
        <row r="21">
          <cell r="V21">
            <v>10.728820042537345</v>
          </cell>
        </row>
        <row r="22">
          <cell r="V22">
            <v>13.865979660889725</v>
          </cell>
        </row>
        <row r="23">
          <cell r="V23">
            <v>14.465270197692638</v>
          </cell>
        </row>
        <row r="24">
          <cell r="V24">
            <v>13.18282965137967</v>
          </cell>
        </row>
      </sheetData>
      <sheetData sheetId="17"/>
      <sheetData sheetId="18">
        <row r="10">
          <cell r="V10">
            <v>2.158770995802139</v>
          </cell>
        </row>
        <row r="16">
          <cell r="V16">
            <v>14.489984738933511</v>
          </cell>
        </row>
        <row r="17">
          <cell r="V17">
            <v>14.166316975264827</v>
          </cell>
        </row>
        <row r="18">
          <cell r="V18">
            <v>13.966281972305479</v>
          </cell>
        </row>
        <row r="19">
          <cell r="V19">
            <v>14.516935771125171</v>
          </cell>
        </row>
        <row r="20">
          <cell r="V20">
            <v>14.326207470295545</v>
          </cell>
        </row>
        <row r="21">
          <cell r="V21">
            <v>14.699562486922556</v>
          </cell>
        </row>
        <row r="22">
          <cell r="V22">
            <v>13.984872719456765</v>
          </cell>
        </row>
        <row r="23">
          <cell r="V23">
            <v>15.79386268999202</v>
          </cell>
        </row>
        <row r="24">
          <cell r="V24">
            <v>17.814369101024191</v>
          </cell>
        </row>
      </sheetData>
      <sheetData sheetId="19"/>
      <sheetData sheetId="20">
        <row r="10">
          <cell r="V10">
            <v>1.5594605040542271</v>
          </cell>
        </row>
        <row r="16">
          <cell r="V16">
            <v>15.422763824034691</v>
          </cell>
        </row>
        <row r="17">
          <cell r="V17">
            <v>15.326837109971045</v>
          </cell>
        </row>
        <row r="18">
          <cell r="V18">
            <v>15.813635122301006</v>
          </cell>
        </row>
        <row r="19">
          <cell r="V19">
            <v>16.184345309374716</v>
          </cell>
        </row>
        <row r="20">
          <cell r="V20">
            <v>16.339212698805529</v>
          </cell>
        </row>
        <row r="21">
          <cell r="V21">
            <v>16.652591334462432</v>
          </cell>
        </row>
        <row r="22">
          <cell r="V22">
            <v>16.698227087262143</v>
          </cell>
        </row>
        <row r="23">
          <cell r="V23">
            <v>15.76249843872726</v>
          </cell>
        </row>
        <row r="24">
          <cell r="V24">
            <v>15.869550082301265</v>
          </cell>
        </row>
      </sheetData>
      <sheetData sheetId="21"/>
      <sheetData sheetId="22">
        <row r="10">
          <cell r="V10">
            <v>2.5999999999999992</v>
          </cell>
        </row>
        <row r="16">
          <cell r="V16">
            <v>16.950327320548016</v>
          </cell>
        </row>
        <row r="17">
          <cell r="V17">
            <v>16.902431984468794</v>
          </cell>
        </row>
        <row r="18">
          <cell r="V18">
            <v>16.75842397932384</v>
          </cell>
        </row>
        <row r="19">
          <cell r="V19">
            <v>17.302470652876146</v>
          </cell>
        </row>
        <row r="20">
          <cell r="V20">
            <v>16.489991837718119</v>
          </cell>
        </row>
        <row r="21">
          <cell r="V21">
            <v>16.824644687476649</v>
          </cell>
        </row>
        <row r="22">
          <cell r="V22">
            <v>16.49611388576967</v>
          </cell>
        </row>
        <row r="23">
          <cell r="V23">
            <v>18.016209720041047</v>
          </cell>
        </row>
        <row r="24">
          <cell r="V24">
            <v>18.682681361304997</v>
          </cell>
        </row>
      </sheetData>
      <sheetData sheetId="23"/>
      <sheetData sheetId="24">
        <row r="10">
          <cell r="V10">
            <v>2.6999999999999997</v>
          </cell>
        </row>
        <row r="16">
          <cell r="V16">
            <v>18.059417891797342</v>
          </cell>
        </row>
        <row r="17">
          <cell r="V17">
            <v>19.022299443431898</v>
          </cell>
        </row>
        <row r="18">
          <cell r="V18">
            <v>18.944787904659986</v>
          </cell>
        </row>
        <row r="19">
          <cell r="V19">
            <v>19.117096510933568</v>
          </cell>
        </row>
        <row r="20">
          <cell r="V20">
            <v>19.538701249601424</v>
          </cell>
        </row>
        <row r="21">
          <cell r="V21">
            <v>18.202809902787127</v>
          </cell>
        </row>
        <row r="22">
          <cell r="V22">
            <v>18.681159981058531</v>
          </cell>
        </row>
        <row r="23">
          <cell r="V23">
            <v>19.061850640557424</v>
          </cell>
        </row>
        <row r="24">
          <cell r="V24">
            <v>18.448537178581944</v>
          </cell>
        </row>
      </sheetData>
      <sheetData sheetId="25"/>
      <sheetData sheetId="26">
        <row r="10">
          <cell r="V10">
            <v>3.5000000000000022</v>
          </cell>
        </row>
        <row r="16">
          <cell r="V16">
            <v>18.327578469566571</v>
          </cell>
        </row>
        <row r="17">
          <cell r="V17">
            <v>17.496686154036929</v>
          </cell>
        </row>
        <row r="18">
          <cell r="V18">
            <v>17.469236949633309</v>
          </cell>
        </row>
        <row r="19">
          <cell r="V19">
            <v>16.784864352759392</v>
          </cell>
        </row>
        <row r="20">
          <cell r="V20">
            <v>16.205656975560466</v>
          </cell>
        </row>
        <row r="21">
          <cell r="V21">
            <v>16.224018772567742</v>
          </cell>
        </row>
        <row r="22">
          <cell r="V22">
            <v>15.213203773757941</v>
          </cell>
        </row>
        <row r="23">
          <cell r="V23">
            <v>18.575614317578243</v>
          </cell>
        </row>
        <row r="24">
          <cell r="V24">
            <v>18.08069102301102</v>
          </cell>
        </row>
      </sheetData>
      <sheetData sheetId="27"/>
      <sheetData sheetId="28">
        <row r="10">
          <cell r="V10">
            <v>1.8000000000000036</v>
          </cell>
        </row>
        <row r="16">
          <cell r="V16">
            <v>14.908689092131912</v>
          </cell>
        </row>
        <row r="17">
          <cell r="V17">
            <v>15.671534637958535</v>
          </cell>
        </row>
        <row r="18">
          <cell r="V18">
            <v>15.263768029118703</v>
          </cell>
        </row>
        <row r="19">
          <cell r="V19">
            <v>14.861807348046048</v>
          </cell>
        </row>
        <row r="20">
          <cell r="V20">
            <v>14.92295425411888</v>
          </cell>
        </row>
        <row r="21">
          <cell r="V21">
            <v>16.256964300483133</v>
          </cell>
        </row>
        <row r="22">
          <cell r="V22">
            <v>16.268933971273924</v>
          </cell>
        </row>
        <row r="23">
          <cell r="V23">
            <v>16.073020143379988</v>
          </cell>
        </row>
        <row r="24">
          <cell r="V24">
            <v>16.124774801666252</v>
          </cell>
        </row>
      </sheetData>
      <sheetData sheetId="29"/>
      <sheetData sheetId="30">
        <row r="10">
          <cell r="V10">
            <v>2.3585407849829898</v>
          </cell>
        </row>
        <row r="16">
          <cell r="V16">
            <v>15.876277653069883</v>
          </cell>
        </row>
        <row r="17">
          <cell r="V17">
            <v>15.917650493630159</v>
          </cell>
        </row>
        <row r="18">
          <cell r="V18">
            <v>16.17436506427239</v>
          </cell>
        </row>
        <row r="19">
          <cell r="V19">
            <v>15.908900039723031</v>
          </cell>
        </row>
        <row r="20">
          <cell r="V20">
            <v>16.239508816675357</v>
          </cell>
        </row>
        <row r="21">
          <cell r="V21">
            <v>16.354752276697848</v>
          </cell>
        </row>
        <row r="22">
          <cell r="V22">
            <v>16.511999401327</v>
          </cell>
        </row>
        <row r="23">
          <cell r="V23">
            <v>16.124654038293613</v>
          </cell>
        </row>
        <row r="24">
          <cell r="V24">
            <v>15.917535273434343</v>
          </cell>
        </row>
      </sheetData>
      <sheetData sheetId="31"/>
      <sheetData sheetId="32">
        <row r="10">
          <cell r="V10">
            <v>1.9721335281852941</v>
          </cell>
        </row>
        <row r="16">
          <cell r="V16">
            <v>14.009301690614086</v>
          </cell>
        </row>
        <row r="17">
          <cell r="V17">
            <v>14.5228310869523</v>
          </cell>
        </row>
        <row r="18">
          <cell r="V18">
            <v>13.676016763236891</v>
          </cell>
        </row>
        <row r="19">
          <cell r="V19">
            <v>14.59020851875667</v>
          </cell>
        </row>
        <row r="20">
          <cell r="V20">
            <v>14.201597481611614</v>
          </cell>
        </row>
        <row r="21">
          <cell r="V21">
            <v>13.97903698336652</v>
          </cell>
        </row>
        <row r="22">
          <cell r="V22">
            <v>16.75871501368001</v>
          </cell>
        </row>
        <row r="23">
          <cell r="V23">
            <v>16.50761350349396</v>
          </cell>
        </row>
        <row r="24">
          <cell r="V24">
            <v>16.975769847832456</v>
          </cell>
        </row>
      </sheetData>
      <sheetData sheetId="33"/>
      <sheetData sheetId="34">
        <row r="10">
          <cell r="V10">
            <v>2.0000000000000013</v>
          </cell>
        </row>
        <row r="16">
          <cell r="V16">
            <v>15.975653594566102</v>
          </cell>
        </row>
        <row r="17">
          <cell r="V17">
            <v>16.298262235459703</v>
          </cell>
        </row>
        <row r="18">
          <cell r="V18">
            <v>16.669851378931032</v>
          </cell>
        </row>
        <row r="19">
          <cell r="V19">
            <v>17.347188510378054</v>
          </cell>
        </row>
        <row r="20">
          <cell r="V20">
            <v>17.289239432878034</v>
          </cell>
        </row>
        <row r="21">
          <cell r="V21">
            <v>16.335587361078261</v>
          </cell>
        </row>
        <row r="22">
          <cell r="V22">
            <v>17.274029916044555</v>
          </cell>
        </row>
        <row r="23">
          <cell r="V23">
            <v>17.810988993089428</v>
          </cell>
        </row>
        <row r="24">
          <cell r="V24">
            <v>18.924224997344599</v>
          </cell>
        </row>
      </sheetData>
      <sheetData sheetId="35"/>
      <sheetData sheetId="36">
        <row r="10">
          <cell r="V10">
            <v>1.7728297158499424</v>
          </cell>
        </row>
        <row r="16">
          <cell r="V16">
            <v>15.074319314401803</v>
          </cell>
        </row>
        <row r="17">
          <cell r="V17">
            <v>15.164888872591133</v>
          </cell>
        </row>
        <row r="18">
          <cell r="V18">
            <v>13.539804326105916</v>
          </cell>
        </row>
        <row r="19">
          <cell r="V19">
            <v>14.338779879990225</v>
          </cell>
        </row>
        <row r="20">
          <cell r="V20">
            <v>15.785988211869983</v>
          </cell>
        </row>
        <row r="21">
          <cell r="V21">
            <v>15.464128793655966</v>
          </cell>
        </row>
        <row r="22">
          <cell r="V22">
            <v>16.035436249969578</v>
          </cell>
        </row>
        <row r="23">
          <cell r="V23">
            <v>17.011717911554147</v>
          </cell>
        </row>
        <row r="24">
          <cell r="V24">
            <v>17.701255141171124</v>
          </cell>
        </row>
      </sheetData>
      <sheetData sheetId="37"/>
      <sheetData sheetId="38">
        <row r="10">
          <cell r="V10">
            <v>2.1281453410881941</v>
          </cell>
        </row>
        <row r="16">
          <cell r="V16">
            <v>15.169932086912789</v>
          </cell>
        </row>
        <row r="17">
          <cell r="V17">
            <v>15.272762160033263</v>
          </cell>
        </row>
        <row r="18">
          <cell r="V18">
            <v>15.555817041619173</v>
          </cell>
        </row>
        <row r="19">
          <cell r="V19">
            <v>15.880926621876798</v>
          </cell>
        </row>
        <row r="20">
          <cell r="V20">
            <v>17.22535930021111</v>
          </cell>
        </row>
        <row r="21">
          <cell r="V21">
            <v>17.504097061708297</v>
          </cell>
        </row>
        <row r="22">
          <cell r="V22">
            <v>17.505510577963665</v>
          </cell>
        </row>
        <row r="23">
          <cell r="V23">
            <v>17.521592731911888</v>
          </cell>
        </row>
        <row r="24">
          <cell r="V24">
            <v>17.218280804281203</v>
          </cell>
        </row>
      </sheetData>
      <sheetData sheetId="39"/>
      <sheetData sheetId="40">
        <row r="10">
          <cell r="V10">
            <v>2.5999999999999992</v>
          </cell>
        </row>
        <row r="16">
          <cell r="V16">
            <v>15.821348334061673</v>
          </cell>
        </row>
        <row r="17">
          <cell r="V17">
            <v>16.185489887159228</v>
          </cell>
        </row>
        <row r="18">
          <cell r="V18">
            <v>16.647215861260374</v>
          </cell>
        </row>
        <row r="19">
          <cell r="V19">
            <v>16.901233320514052</v>
          </cell>
        </row>
        <row r="20">
          <cell r="V20">
            <v>16.545894541132444</v>
          </cell>
        </row>
        <row r="21">
          <cell r="V21">
            <v>16.087782591425093</v>
          </cell>
        </row>
        <row r="22">
          <cell r="V22">
            <v>15.681024360159428</v>
          </cell>
        </row>
        <row r="23">
          <cell r="V23">
            <v>15.27398346824355</v>
          </cell>
        </row>
        <row r="24">
          <cell r="V24">
            <v>14.821117454756005</v>
          </cell>
        </row>
      </sheetData>
      <sheetData sheetId="41"/>
      <sheetData sheetId="42">
        <row r="10">
          <cell r="V10">
            <v>2.1999999999999984</v>
          </cell>
        </row>
        <row r="16">
          <cell r="V16">
            <v>15.235876068753029</v>
          </cell>
        </row>
        <row r="17">
          <cell r="V17">
            <v>15.484304873563842</v>
          </cell>
        </row>
        <row r="18">
          <cell r="V18">
            <v>15.375185373772176</v>
          </cell>
        </row>
        <row r="19">
          <cell r="V19">
            <v>15.680531375510997</v>
          </cell>
        </row>
        <row r="20">
          <cell r="V20">
            <v>15.879852310450339</v>
          </cell>
        </row>
        <row r="21">
          <cell r="V21">
            <v>16.239195463125615</v>
          </cell>
        </row>
        <row r="22">
          <cell r="V22">
            <v>16.28957946942462</v>
          </cell>
        </row>
        <row r="23">
          <cell r="V23">
            <v>16.699822790565037</v>
          </cell>
        </row>
        <row r="24">
          <cell r="V24">
            <v>16.391497925366647</v>
          </cell>
        </row>
      </sheetData>
      <sheetData sheetId="43"/>
      <sheetData sheetId="44">
        <row r="10">
          <cell r="V10">
            <v>2.2586559138134703</v>
          </cell>
        </row>
        <row r="16">
          <cell r="V16">
            <v>16.492691412682341</v>
          </cell>
        </row>
        <row r="17">
          <cell r="V17">
            <v>16.349178690520976</v>
          </cell>
        </row>
        <row r="18">
          <cell r="V18">
            <v>16.968229984498688</v>
          </cell>
        </row>
        <row r="19">
          <cell r="V19">
            <v>16.560426592239121</v>
          </cell>
        </row>
        <row r="20">
          <cell r="V20">
            <v>18.352692385411707</v>
          </cell>
        </row>
        <row r="21">
          <cell r="V21">
            <v>18.429378115871724</v>
          </cell>
        </row>
        <row r="22">
          <cell r="V22">
            <v>18.584705945637943</v>
          </cell>
        </row>
        <row r="23">
          <cell r="V23">
            <v>18.945533981201667</v>
          </cell>
        </row>
        <row r="24">
          <cell r="V24">
            <v>18.662821703114091</v>
          </cell>
        </row>
      </sheetData>
      <sheetData sheetId="45"/>
      <sheetData sheetId="46">
        <row r="10">
          <cell r="V10">
            <v>2.5583103867967103</v>
          </cell>
        </row>
        <row r="16">
          <cell r="V16">
            <v>19.306300145940838</v>
          </cell>
        </row>
        <row r="17">
          <cell r="V17">
            <v>19.204156867929775</v>
          </cell>
        </row>
        <row r="18">
          <cell r="V18">
            <v>18.927573818188346</v>
          </cell>
        </row>
        <row r="19">
          <cell r="V19">
            <v>18.587227646647239</v>
          </cell>
        </row>
        <row r="20">
          <cell r="V20">
            <v>18.005601796830568</v>
          </cell>
        </row>
        <row r="21">
          <cell r="V21">
            <v>17.699486633010288</v>
          </cell>
        </row>
        <row r="22">
          <cell r="V22">
            <v>17.852714710538155</v>
          </cell>
        </row>
        <row r="23">
          <cell r="V23">
            <v>17.568270879178844</v>
          </cell>
        </row>
        <row r="24">
          <cell r="V24">
            <v>20.710137506814437</v>
          </cell>
        </row>
      </sheetData>
      <sheetData sheetId="47"/>
      <sheetData sheetId="48">
        <row r="10">
          <cell r="V10">
            <v>2.6999999999999997</v>
          </cell>
        </row>
        <row r="16">
          <cell r="V16">
            <v>20.65499325162347</v>
          </cell>
        </row>
        <row r="17">
          <cell r="V17">
            <v>20.155783696901803</v>
          </cell>
        </row>
        <row r="18">
          <cell r="V18">
            <v>20.213081204133712</v>
          </cell>
        </row>
        <row r="19">
          <cell r="V19">
            <v>19.891434393337207</v>
          </cell>
        </row>
        <row r="20">
          <cell r="V20">
            <v>19.874891217334692</v>
          </cell>
        </row>
        <row r="21">
          <cell r="V21">
            <v>20.477370027838333</v>
          </cell>
        </row>
        <row r="22">
          <cell r="V22">
            <v>20.002514494504023</v>
          </cell>
        </row>
        <row r="23">
          <cell r="V23">
            <v>20.799927709683235</v>
          </cell>
        </row>
        <row r="24">
          <cell r="V24">
            <v>20.495458851860171</v>
          </cell>
        </row>
      </sheetData>
      <sheetData sheetId="49"/>
      <sheetData sheetId="50">
        <row r="10">
          <cell r="V10">
            <v>2.9578490283238437</v>
          </cell>
        </row>
        <row r="16">
          <cell r="V16">
            <v>19.768563724840103</v>
          </cell>
        </row>
        <row r="17">
          <cell r="V17">
            <v>18.821451940165439</v>
          </cell>
        </row>
        <row r="18">
          <cell r="V18">
            <v>18.508723897440571</v>
          </cell>
        </row>
        <row r="19">
          <cell r="V19">
            <v>18.827226652220698</v>
          </cell>
        </row>
        <row r="20">
          <cell r="V20">
            <v>18.89577205465951</v>
          </cell>
        </row>
        <row r="21">
          <cell r="V21">
            <v>18.244739496964467</v>
          </cell>
        </row>
        <row r="22">
          <cell r="V22">
            <v>19.466396507270503</v>
          </cell>
        </row>
        <row r="23">
          <cell r="V23">
            <v>20.111171087430371</v>
          </cell>
        </row>
        <row r="24">
          <cell r="V24">
            <v>19.38758656302462</v>
          </cell>
        </row>
      </sheetData>
      <sheetData sheetId="51"/>
      <sheetData sheetId="52">
        <row r="10">
          <cell r="V10">
            <v>2.3155794264703933</v>
          </cell>
        </row>
        <row r="16">
          <cell r="V16">
            <v>18.742611470884238</v>
          </cell>
        </row>
        <row r="17">
          <cell r="V17">
            <v>18.447159760200897</v>
          </cell>
        </row>
        <row r="18">
          <cell r="V18">
            <v>18.867154141785708</v>
          </cell>
        </row>
        <row r="19">
          <cell r="V19">
            <v>19.323718325852258</v>
          </cell>
        </row>
        <row r="20">
          <cell r="V20">
            <v>18.5031171274718</v>
          </cell>
        </row>
        <row r="21">
          <cell r="V21">
            <v>18.79074582503393</v>
          </cell>
        </row>
        <row r="22">
          <cell r="V22">
            <v>18.174926851098743</v>
          </cell>
        </row>
        <row r="23">
          <cell r="V23">
            <v>18.496838891147327</v>
          </cell>
        </row>
        <row r="24">
          <cell r="V24">
            <v>18.634274322371635</v>
          </cell>
        </row>
      </sheetData>
      <sheetData sheetId="53"/>
      <sheetData sheetId="54">
        <row r="10">
          <cell r="V10">
            <v>3.0139575633266813</v>
          </cell>
        </row>
        <row r="16">
          <cell r="V16">
            <v>19.968343123206154</v>
          </cell>
        </row>
        <row r="17">
          <cell r="V17">
            <v>20.284293173767644</v>
          </cell>
        </row>
        <row r="18">
          <cell r="V18">
            <v>20.76143840763222</v>
          </cell>
        </row>
        <row r="19">
          <cell r="V19">
            <v>21.026760939713942</v>
          </cell>
        </row>
        <row r="20">
          <cell r="V20">
            <v>19.400673784171243</v>
          </cell>
        </row>
        <row r="21">
          <cell r="V21">
            <v>19.584467606337892</v>
          </cell>
        </row>
        <row r="22">
          <cell r="V22">
            <v>18.698298140088525</v>
          </cell>
        </row>
        <row r="23">
          <cell r="V23">
            <v>18.391342939600733</v>
          </cell>
        </row>
        <row r="24">
          <cell r="V24">
            <v>16.643791443226196</v>
          </cell>
        </row>
      </sheetData>
      <sheetData sheetId="55"/>
      <sheetData sheetId="56">
        <row r="10">
          <cell r="V10">
            <v>0.96014832599271205</v>
          </cell>
        </row>
        <row r="16">
          <cell r="V16">
            <v>14.2243912600825</v>
          </cell>
        </row>
        <row r="17">
          <cell r="V17">
            <v>15.058445185350488</v>
          </cell>
        </row>
        <row r="18">
          <cell r="V18">
            <v>15.104957792194488</v>
          </cell>
        </row>
        <row r="19">
          <cell r="V19">
            <v>15.247948732550318</v>
          </cell>
        </row>
        <row r="20">
          <cell r="V20">
            <v>14.807206404127491</v>
          </cell>
        </row>
        <row r="21">
          <cell r="V21">
            <v>14.969447813478327</v>
          </cell>
        </row>
        <row r="22">
          <cell r="V22">
            <v>14.872848043468686</v>
          </cell>
        </row>
        <row r="23">
          <cell r="V23">
            <v>15.161317455933311</v>
          </cell>
        </row>
        <row r="24">
          <cell r="V24">
            <v>15.170158305961781</v>
          </cell>
        </row>
      </sheetData>
      <sheetData sheetId="57"/>
      <sheetData sheetId="58">
        <row r="10">
          <cell r="V10">
            <v>2.3585407849829898</v>
          </cell>
        </row>
        <row r="16">
          <cell r="V16">
            <v>15.619527813735326</v>
          </cell>
        </row>
        <row r="17">
          <cell r="V17">
            <v>15.816787465046623</v>
          </cell>
        </row>
        <row r="18">
          <cell r="V18">
            <v>15.649770523467632</v>
          </cell>
        </row>
        <row r="19">
          <cell r="V19">
            <v>15.434168585065065</v>
          </cell>
        </row>
        <row r="20">
          <cell r="V20">
            <v>15.700040590211904</v>
          </cell>
        </row>
        <row r="21">
          <cell r="V21">
            <v>15.813638353943293</v>
          </cell>
        </row>
        <row r="22">
          <cell r="V22">
            <v>16.666245986749608</v>
          </cell>
        </row>
        <row r="23">
          <cell r="V23">
            <v>16.751600764482532</v>
          </cell>
        </row>
        <row r="24">
          <cell r="V24">
            <v>17.106204218424946</v>
          </cell>
        </row>
      </sheetData>
      <sheetData sheetId="59"/>
      <sheetData sheetId="60">
        <row r="10">
          <cell r="V10">
            <v>2.1714367746600041</v>
          </cell>
        </row>
        <row r="16">
          <cell r="V16">
            <v>16.903685606597218</v>
          </cell>
        </row>
        <row r="17">
          <cell r="V17">
            <v>17.009094322408362</v>
          </cell>
        </row>
        <row r="18">
          <cell r="V18">
            <v>17.01619162509898</v>
          </cell>
        </row>
        <row r="19">
          <cell r="V19">
            <v>17.433344675427662</v>
          </cell>
        </row>
        <row r="20">
          <cell r="V20">
            <v>16.937360997968391</v>
          </cell>
        </row>
        <row r="21">
          <cell r="V21">
            <v>17.15191526888033</v>
          </cell>
        </row>
        <row r="22">
          <cell r="V22">
            <v>17.259056211252656</v>
          </cell>
        </row>
        <row r="23">
          <cell r="V23">
            <v>17.039911886804031</v>
          </cell>
        </row>
        <row r="24">
          <cell r="V24">
            <v>16.770230682083056</v>
          </cell>
        </row>
      </sheetData>
      <sheetData sheetId="61"/>
      <sheetData sheetId="62">
        <row r="10">
          <cell r="V10">
            <v>1.9295592183773231</v>
          </cell>
        </row>
        <row r="16">
          <cell r="V16">
            <v>16.234221586096186</v>
          </cell>
        </row>
        <row r="17">
          <cell r="V17">
            <v>16.290233825713756</v>
          </cell>
        </row>
        <row r="18">
          <cell r="V18">
            <v>16.532542111056294</v>
          </cell>
        </row>
        <row r="19">
          <cell r="V19">
            <v>16.707750787499009</v>
          </cell>
        </row>
        <row r="20">
          <cell r="V20">
            <v>16.076518613656855</v>
          </cell>
        </row>
        <row r="21">
          <cell r="V21">
            <v>15.476487560008772</v>
          </cell>
        </row>
        <row r="22">
          <cell r="V22">
            <v>15.477749751690212</v>
          </cell>
        </row>
        <row r="23">
          <cell r="V23">
            <v>16.183691771564977</v>
          </cell>
        </row>
        <row r="24">
          <cell r="V24">
            <v>15.68859090628087</v>
          </cell>
        </row>
      </sheetData>
      <sheetData sheetId="63"/>
      <sheetData sheetId="64">
        <row r="10">
          <cell r="V10">
            <v>2.3245713593798403</v>
          </cell>
        </row>
        <row r="16">
          <cell r="V16">
            <v>13.3052366018676</v>
          </cell>
        </row>
        <row r="17">
          <cell r="V17">
            <v>14.021732752028758</v>
          </cell>
        </row>
        <row r="18">
          <cell r="V18">
            <v>13.596751677650841</v>
          </cell>
        </row>
        <row r="19">
          <cell r="V19">
            <v>13.952766811294586</v>
          </cell>
        </row>
        <row r="20">
          <cell r="V20">
            <v>13.778073758353639</v>
          </cell>
        </row>
        <row r="21">
          <cell r="V21">
            <v>15.938845549713752</v>
          </cell>
        </row>
        <row r="22">
          <cell r="V22">
            <v>16.107188114185256</v>
          </cell>
        </row>
        <row r="23">
          <cell r="V23">
            <v>15.626353684845752</v>
          </cell>
        </row>
        <row r="24">
          <cell r="V24">
            <v>15.230874437435537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0">
          <cell r="V10">
            <v>2.4584256093107202</v>
          </cell>
        </row>
        <row r="16">
          <cell r="V16">
            <v>14.606584504179317</v>
          </cell>
        </row>
        <row r="17">
          <cell r="V17">
            <v>14.821944374705797</v>
          </cell>
        </row>
        <row r="18">
          <cell r="V18">
            <v>14.781350606157714</v>
          </cell>
        </row>
        <row r="19">
          <cell r="V19">
            <v>14.495629803627352</v>
          </cell>
        </row>
        <row r="20">
          <cell r="V20">
            <v>14.056686181935325</v>
          </cell>
        </row>
        <row r="21">
          <cell r="V21">
            <v>15.015817194138299</v>
          </cell>
        </row>
        <row r="22">
          <cell r="V22">
            <v>15.326658671847074</v>
          </cell>
        </row>
        <row r="23">
          <cell r="V23">
            <v>18.067975629107082</v>
          </cell>
        </row>
        <row r="24">
          <cell r="V24">
            <v>18.329772548534319</v>
          </cell>
        </row>
      </sheetData>
      <sheetData sheetId="5"/>
      <sheetData sheetId="6">
        <row r="10">
          <cell r="V10">
            <v>2.3707394552764858</v>
          </cell>
        </row>
        <row r="16">
          <cell r="V16">
            <v>17.563387879223633</v>
          </cell>
        </row>
        <row r="17">
          <cell r="V17">
            <v>17.443469952750988</v>
          </cell>
        </row>
        <row r="18">
          <cell r="V18">
            <v>16.242769482475108</v>
          </cell>
        </row>
        <row r="19">
          <cell r="V19">
            <v>16.357449743463533</v>
          </cell>
        </row>
        <row r="20">
          <cell r="V20">
            <v>17.012996778712331</v>
          </cell>
        </row>
        <row r="21">
          <cell r="V21">
            <v>16.26603941189024</v>
          </cell>
        </row>
        <row r="22">
          <cell r="V22">
            <v>17.31497539313424</v>
          </cell>
        </row>
        <row r="23">
          <cell r="V23">
            <v>-99</v>
          </cell>
        </row>
        <row r="24">
          <cell r="V24">
            <v>19.236631779481563</v>
          </cell>
        </row>
      </sheetData>
      <sheetData sheetId="7"/>
      <sheetData sheetId="8">
        <row r="10">
          <cell r="V10">
            <v>3.0999999999999996</v>
          </cell>
        </row>
        <row r="16">
          <cell r="V16">
            <v>19.211615194307122</v>
          </cell>
        </row>
        <row r="17">
          <cell r="V17">
            <v>19.469346185506822</v>
          </cell>
        </row>
        <row r="18">
          <cell r="V18">
            <v>19.700176709548426</v>
          </cell>
        </row>
        <row r="19">
          <cell r="V19">
            <v>19.380171163280213</v>
          </cell>
        </row>
        <row r="20">
          <cell r="V20">
            <v>20.286278213721687</v>
          </cell>
        </row>
        <row r="21">
          <cell r="V21">
            <v>20.050224907498798</v>
          </cell>
        </row>
        <row r="22">
          <cell r="V22">
            <v>17.773016361539227</v>
          </cell>
        </row>
        <row r="23">
          <cell r="V23">
            <v>18.763939070791082</v>
          </cell>
        </row>
        <row r="24">
          <cell r="V24">
            <v>19.046552445857987</v>
          </cell>
        </row>
      </sheetData>
      <sheetData sheetId="9"/>
      <sheetData sheetId="10">
        <row r="10">
          <cell r="V10">
            <v>2.4584256093107202</v>
          </cell>
        </row>
        <row r="16">
          <cell r="V16">
            <v>18.865268055292717</v>
          </cell>
        </row>
        <row r="17">
          <cell r="V17">
            <v>19.167352732766116</v>
          </cell>
        </row>
        <row r="18">
          <cell r="V18">
            <v>19.482993000311406</v>
          </cell>
        </row>
        <row r="19">
          <cell r="V19">
            <v>19.979626214967446</v>
          </cell>
        </row>
        <row r="20">
          <cell r="V20">
            <v>20.184134324084887</v>
          </cell>
        </row>
        <row r="21">
          <cell r="V21">
            <v>19.40111334298086</v>
          </cell>
        </row>
        <row r="22">
          <cell r="V22">
            <v>19.393365645647091</v>
          </cell>
        </row>
        <row r="23">
          <cell r="V23">
            <v>19.261832709310411</v>
          </cell>
        </row>
        <row r="24">
          <cell r="V24">
            <v>20.84071065342696</v>
          </cell>
        </row>
      </sheetData>
      <sheetData sheetId="11"/>
      <sheetData sheetId="12">
        <row r="10">
          <cell r="V10">
            <v>2.7999999999999972</v>
          </cell>
        </row>
        <row r="16">
          <cell r="V16">
            <v>19.116506936493476</v>
          </cell>
        </row>
        <row r="17">
          <cell r="V17">
            <v>18.725110320820573</v>
          </cell>
        </row>
        <row r="18">
          <cell r="V18">
            <v>18.341230381888721</v>
          </cell>
        </row>
        <row r="19">
          <cell r="V19">
            <v>19.00632573364388</v>
          </cell>
        </row>
        <row r="20">
          <cell r="V20">
            <v>18.275420761927666</v>
          </cell>
        </row>
        <row r="21">
          <cell r="V21">
            <v>18.276627658975951</v>
          </cell>
        </row>
        <row r="22">
          <cell r="V22">
            <v>18.506544905823525</v>
          </cell>
        </row>
        <row r="23">
          <cell r="V23">
            <v>16.989922976453119</v>
          </cell>
        </row>
        <row r="24">
          <cell r="V24">
            <v>16.536824317193169</v>
          </cell>
        </row>
      </sheetData>
      <sheetData sheetId="13"/>
      <sheetData sheetId="14">
        <row r="10">
          <cell r="V10">
            <v>3.057733571601585</v>
          </cell>
        </row>
        <row r="16">
          <cell r="V16">
            <v>20.184703625912118</v>
          </cell>
        </row>
        <row r="17">
          <cell r="V17">
            <v>19.84077576495087</v>
          </cell>
        </row>
        <row r="18">
          <cell r="V18">
            <v>19.923038068883137</v>
          </cell>
        </row>
        <row r="19">
          <cell r="V19">
            <v>20.323648521532419</v>
          </cell>
        </row>
        <row r="20">
          <cell r="V20">
            <v>20.351155239221725</v>
          </cell>
        </row>
        <row r="21">
          <cell r="V21">
            <v>18.829195472466548</v>
          </cell>
        </row>
        <row r="22">
          <cell r="V22">
            <v>19.193501146479836</v>
          </cell>
        </row>
        <row r="23">
          <cell r="V23">
            <v>20.53498173411398</v>
          </cell>
        </row>
        <row r="24">
          <cell r="V24">
            <v>20.501979627795201</v>
          </cell>
        </row>
      </sheetData>
      <sheetData sheetId="15"/>
      <sheetData sheetId="16">
        <row r="10">
          <cell r="V10">
            <v>2.399999999999999</v>
          </cell>
        </row>
        <row r="16">
          <cell r="V16">
            <v>20.73788135774392</v>
          </cell>
        </row>
        <row r="17">
          <cell r="V17">
            <v>20.818382348219167</v>
          </cell>
        </row>
        <row r="18">
          <cell r="V18">
            <v>19.82845267039275</v>
          </cell>
        </row>
        <row r="19">
          <cell r="V19">
            <v>19.956324143233864</v>
          </cell>
        </row>
        <row r="20">
          <cell r="V20">
            <v>20.287975056026482</v>
          </cell>
        </row>
        <row r="21">
          <cell r="V21">
            <v>20.348893213311015</v>
          </cell>
        </row>
        <row r="22">
          <cell r="V22">
            <v>19.933473881185467</v>
          </cell>
        </row>
        <row r="23">
          <cell r="V23">
            <v>20.451823370148855</v>
          </cell>
        </row>
        <row r="24">
          <cell r="V24">
            <v>20.099886621990148</v>
          </cell>
        </row>
      </sheetData>
      <sheetData sheetId="17"/>
      <sheetData sheetId="18">
        <row r="10">
          <cell r="V10">
            <v>2.7000000000000024</v>
          </cell>
        </row>
        <row r="16">
          <cell r="V16">
            <v>19.585639704608184</v>
          </cell>
        </row>
        <row r="17">
          <cell r="V17">
            <v>20.091229333169409</v>
          </cell>
        </row>
        <row r="18">
          <cell r="V18">
            <v>20.394433997371216</v>
          </cell>
        </row>
        <row r="19">
          <cell r="V19">
            <v>20.432239175766874</v>
          </cell>
        </row>
        <row r="20">
          <cell r="V20">
            <v>20.066383088254312</v>
          </cell>
        </row>
        <row r="21">
          <cell r="V21">
            <v>20.371741905604335</v>
          </cell>
        </row>
        <row r="22">
          <cell r="V22">
            <v>20.330416679679168</v>
          </cell>
        </row>
        <row r="23">
          <cell r="V23">
            <v>18.81167913163187</v>
          </cell>
        </row>
        <row r="24">
          <cell r="V24">
            <v>17.722125018479495</v>
          </cell>
        </row>
      </sheetData>
      <sheetData sheetId="19"/>
      <sheetData sheetId="20">
        <row r="10">
          <cell r="V10">
            <v>2.2999999999999989</v>
          </cell>
        </row>
        <row r="16">
          <cell r="V16">
            <v>15.771374228860706</v>
          </cell>
        </row>
        <row r="17">
          <cell r="V17">
            <v>16.801353451481287</v>
          </cell>
        </row>
        <row r="18">
          <cell r="V18">
            <v>16.032935111708795</v>
          </cell>
        </row>
        <row r="19">
          <cell r="V19">
            <v>15.708779427608047</v>
          </cell>
        </row>
        <row r="20">
          <cell r="V20">
            <v>15.826882116202389</v>
          </cell>
        </row>
        <row r="21">
          <cell r="V21">
            <v>16.473896631621603</v>
          </cell>
        </row>
        <row r="22">
          <cell r="V22">
            <v>16.348279456789808</v>
          </cell>
        </row>
        <row r="23">
          <cell r="V23">
            <v>16.143802583827064</v>
          </cell>
        </row>
        <row r="24">
          <cell r="V24">
            <v>16.032847389188742</v>
          </cell>
        </row>
      </sheetData>
      <sheetData sheetId="21"/>
      <sheetData sheetId="22">
        <row r="10">
          <cell r="V10">
            <v>2.3000000000000016</v>
          </cell>
        </row>
        <row r="16">
          <cell r="V16">
            <v>14.496179513884799</v>
          </cell>
        </row>
        <row r="17">
          <cell r="V17">
            <v>13.938462947055758</v>
          </cell>
        </row>
        <row r="18">
          <cell r="V18">
            <v>13.525414837428942</v>
          </cell>
        </row>
        <row r="19">
          <cell r="V19">
            <v>13.850000406551967</v>
          </cell>
        </row>
        <row r="20">
          <cell r="V20">
            <v>13.96618606700998</v>
          </cell>
        </row>
        <row r="21">
          <cell r="V21">
            <v>15.563098912516335</v>
          </cell>
        </row>
        <row r="22">
          <cell r="V22">
            <v>14.886018621707063</v>
          </cell>
        </row>
        <row r="23">
          <cell r="V23">
            <v>14.774803452675945</v>
          </cell>
        </row>
        <row r="24">
          <cell r="V24">
            <v>15.300385327451888</v>
          </cell>
        </row>
      </sheetData>
      <sheetData sheetId="23"/>
      <sheetData sheetId="24">
        <row r="10">
          <cell r="V10">
            <v>1.8999999999999995</v>
          </cell>
        </row>
        <row r="16">
          <cell r="V16">
            <v>14.570851498039755</v>
          </cell>
        </row>
        <row r="17">
          <cell r="V17">
            <v>15.44445122239066</v>
          </cell>
        </row>
        <row r="18">
          <cell r="V18">
            <v>15.196825452805358</v>
          </cell>
        </row>
        <row r="19">
          <cell r="V19">
            <v>16.242804635357235</v>
          </cell>
        </row>
        <row r="20">
          <cell r="V20">
            <v>14.921856183694182</v>
          </cell>
        </row>
        <row r="21">
          <cell r="V21">
            <v>13.797592559490925</v>
          </cell>
        </row>
        <row r="22">
          <cell r="V22">
            <v>11.682089489718276</v>
          </cell>
        </row>
        <row r="23">
          <cell r="V23">
            <v>9.6571180636867382</v>
          </cell>
        </row>
        <row r="24">
          <cell r="V24">
            <v>9.4270795182513503</v>
          </cell>
        </row>
      </sheetData>
      <sheetData sheetId="25"/>
      <sheetData sheetId="26">
        <row r="10">
          <cell r="V10">
            <v>2.669692415222304</v>
          </cell>
        </row>
        <row r="16">
          <cell r="V16">
            <v>16.201019015699337</v>
          </cell>
        </row>
        <row r="17">
          <cell r="V17">
            <v>14.23283149995221</v>
          </cell>
        </row>
        <row r="18">
          <cell r="V18">
            <v>12.935728973329629</v>
          </cell>
        </row>
        <row r="19">
          <cell r="V19">
            <v>13.188118319491956</v>
          </cell>
        </row>
        <row r="20">
          <cell r="V20">
            <v>14.672443544440629</v>
          </cell>
        </row>
        <row r="21">
          <cell r="V21">
            <v>13.416799239968153</v>
          </cell>
        </row>
        <row r="22">
          <cell r="V22">
            <v>18.942708160104335</v>
          </cell>
        </row>
        <row r="23">
          <cell r="V23">
            <v>18.687458367524279</v>
          </cell>
        </row>
        <row r="24">
          <cell r="V24">
            <v>18.17983950333943</v>
          </cell>
        </row>
      </sheetData>
      <sheetData sheetId="27"/>
      <sheetData sheetId="28">
        <row r="10">
          <cell r="V10">
            <v>2.2000000000000006</v>
          </cell>
        </row>
        <row r="16">
          <cell r="V16">
            <v>15.181142775031823</v>
          </cell>
        </row>
        <row r="17">
          <cell r="V17">
            <v>14.241708992796383</v>
          </cell>
        </row>
        <row r="18">
          <cell r="V18">
            <v>13.858975811335725</v>
          </cell>
        </row>
        <row r="19">
          <cell r="V19">
            <v>14.052465577583167</v>
          </cell>
        </row>
        <row r="20">
          <cell r="V20">
            <v>14.074301439729929</v>
          </cell>
        </row>
        <row r="21">
          <cell r="V21">
            <v>14.03982448234858</v>
          </cell>
        </row>
        <row r="22">
          <cell r="V22">
            <v>14.334366029225757</v>
          </cell>
        </row>
        <row r="23">
          <cell r="V23">
            <v>14.122387329243582</v>
          </cell>
        </row>
        <row r="24">
          <cell r="V24">
            <v>13.94701538615984</v>
          </cell>
        </row>
      </sheetData>
      <sheetData sheetId="29"/>
      <sheetData sheetId="30">
        <row r="10">
          <cell r="V10">
            <v>2.000000000000004</v>
          </cell>
        </row>
        <row r="16">
          <cell r="V16">
            <v>14.097042138483346</v>
          </cell>
        </row>
        <row r="17">
          <cell r="V17">
            <v>14.294568443129856</v>
          </cell>
        </row>
        <row r="18">
          <cell r="V18">
            <v>14.592385740869489</v>
          </cell>
        </row>
        <row r="19">
          <cell r="V19">
            <v>14.900492099274217</v>
          </cell>
        </row>
        <row r="20">
          <cell r="V20">
            <v>15.27489749299713</v>
          </cell>
        </row>
        <row r="21">
          <cell r="V21">
            <v>15.383071639514657</v>
          </cell>
        </row>
        <row r="22">
          <cell r="V22">
            <v>15.548701041913137</v>
          </cell>
        </row>
        <row r="23">
          <cell r="V23">
            <v>15.459099427418447</v>
          </cell>
        </row>
        <row r="24">
          <cell r="V24">
            <v>16.087862527346989</v>
          </cell>
        </row>
      </sheetData>
      <sheetData sheetId="31"/>
      <sheetData sheetId="32">
        <row r="10">
          <cell r="V10">
            <v>2.3155794264703902</v>
          </cell>
        </row>
        <row r="16">
          <cell r="V16">
            <v>15.921553266977968</v>
          </cell>
        </row>
        <row r="17">
          <cell r="V17">
            <v>16.182113516590881</v>
          </cell>
        </row>
        <row r="18">
          <cell r="V18">
            <v>16.668869585972359</v>
          </cell>
        </row>
        <row r="19">
          <cell r="V19">
            <v>16.313719369452258</v>
          </cell>
        </row>
        <row r="20">
          <cell r="V20">
            <v>17.030310346034124</v>
          </cell>
        </row>
        <row r="21">
          <cell r="V21">
            <v>16.647500306526158</v>
          </cell>
        </row>
        <row r="22">
          <cell r="V22">
            <v>18.52025093280087</v>
          </cell>
        </row>
        <row r="23">
          <cell r="V23">
            <v>18.389037534993324</v>
          </cell>
        </row>
        <row r="24">
          <cell r="V24">
            <v>18.390853287249104</v>
          </cell>
        </row>
      </sheetData>
      <sheetData sheetId="33"/>
      <sheetData sheetId="34">
        <row r="10">
          <cell r="V10">
            <v>2.415348013719036</v>
          </cell>
        </row>
        <row r="16">
          <cell r="V16">
            <v>18.618030695390512</v>
          </cell>
        </row>
        <row r="17">
          <cell r="V17">
            <v>18.341371112980028</v>
          </cell>
        </row>
        <row r="18">
          <cell r="V18">
            <v>18.247840661035408</v>
          </cell>
        </row>
        <row r="19">
          <cell r="V19">
            <v>18.750883112489984</v>
          </cell>
        </row>
        <row r="20">
          <cell r="V20">
            <v>19.601832362003488</v>
          </cell>
        </row>
        <row r="21">
          <cell r="V21">
            <v>18.906159126639725</v>
          </cell>
        </row>
        <row r="22">
          <cell r="V22">
            <v>19.450011433651007</v>
          </cell>
        </row>
        <row r="23">
          <cell r="V23">
            <v>18.840256102678985</v>
          </cell>
        </row>
        <row r="24">
          <cell r="V24">
            <v>18.558060334256076</v>
          </cell>
        </row>
      </sheetData>
      <sheetData sheetId="35"/>
      <sheetData sheetId="36">
        <row r="10">
          <cell r="V10">
            <v>2.0999999999999992</v>
          </cell>
        </row>
        <row r="16">
          <cell r="V16">
            <v>17.010344350301988</v>
          </cell>
        </row>
        <row r="17">
          <cell r="V17">
            <v>16.613857015390501</v>
          </cell>
        </row>
        <row r="18">
          <cell r="V18">
            <v>16.599762674442477</v>
          </cell>
        </row>
        <row r="19">
          <cell r="V19">
            <v>16.089187496188181</v>
          </cell>
        </row>
        <row r="20">
          <cell r="V20">
            <v>16.298105096193666</v>
          </cell>
        </row>
        <row r="21">
          <cell r="V21">
            <v>16.248446078300677</v>
          </cell>
        </row>
        <row r="22">
          <cell r="V22">
            <v>15.342040406198979</v>
          </cell>
        </row>
        <row r="23">
          <cell r="V23">
            <v>15.509199829801746</v>
          </cell>
        </row>
        <row r="24">
          <cell r="V24">
            <v>18.673898037928598</v>
          </cell>
        </row>
      </sheetData>
      <sheetData sheetId="37"/>
      <sheetData sheetId="38">
        <row r="10">
          <cell r="V10">
            <v>2.2000000000000006</v>
          </cell>
        </row>
        <row r="16">
          <cell r="V16">
            <v>17.645472494126746</v>
          </cell>
        </row>
        <row r="17">
          <cell r="V17">
            <v>17.341125566864019</v>
          </cell>
        </row>
        <row r="18">
          <cell r="V18">
            <v>18.04859566523567</v>
          </cell>
        </row>
        <row r="19">
          <cell r="V19">
            <v>17.179653919847578</v>
          </cell>
        </row>
        <row r="20">
          <cell r="V20">
            <v>16.584695530509848</v>
          </cell>
        </row>
        <row r="21">
          <cell r="V21">
            <v>15.561042556294643</v>
          </cell>
        </row>
        <row r="22">
          <cell r="V22">
            <v>14.431991991744777</v>
          </cell>
        </row>
        <row r="23">
          <cell r="V23">
            <v>17.978033997861782</v>
          </cell>
        </row>
        <row r="24">
          <cell r="V24">
            <v>17.256857898939675</v>
          </cell>
        </row>
      </sheetData>
      <sheetData sheetId="39"/>
      <sheetData sheetId="40">
        <row r="10">
          <cell r="V10">
            <v>1.8999999999999995</v>
          </cell>
        </row>
        <row r="16">
          <cell r="V16">
            <v>16.597224130048257</v>
          </cell>
        </row>
        <row r="17">
          <cell r="V17">
            <v>16.601685777281304</v>
          </cell>
        </row>
        <row r="18">
          <cell r="V18">
            <v>16.712743843971879</v>
          </cell>
        </row>
        <row r="19">
          <cell r="V19">
            <v>15.720357892070354</v>
          </cell>
        </row>
        <row r="20">
          <cell r="V20">
            <v>15.482535317639718</v>
          </cell>
        </row>
        <row r="21">
          <cell r="V21">
            <v>16.147617006202587</v>
          </cell>
        </row>
        <row r="22">
          <cell r="V22">
            <v>17.099722165420545</v>
          </cell>
        </row>
        <row r="23">
          <cell r="V23">
            <v>17.386451221769796</v>
          </cell>
        </row>
        <row r="24">
          <cell r="V24">
            <v>17.64019906563756</v>
          </cell>
        </row>
      </sheetData>
      <sheetData sheetId="41"/>
      <sheetData sheetId="42">
        <row r="10">
          <cell r="V10">
            <v>1.9295592183773231</v>
          </cell>
        </row>
        <row r="16">
          <cell r="V16">
            <v>16.713218571095108</v>
          </cell>
        </row>
        <row r="17">
          <cell r="V17">
            <v>17.399560256169991</v>
          </cell>
        </row>
        <row r="18">
          <cell r="V18">
            <v>17.953051881669026</v>
          </cell>
        </row>
        <row r="19">
          <cell r="V19">
            <v>18.596730021390748</v>
          </cell>
        </row>
        <row r="20">
          <cell r="V20">
            <v>17.778284167822136</v>
          </cell>
        </row>
        <row r="21">
          <cell r="V21">
            <v>17.515906881268794</v>
          </cell>
        </row>
        <row r="22">
          <cell r="V22">
            <v>17.821260931513237</v>
          </cell>
        </row>
        <row r="23">
          <cell r="V23">
            <v>20.45927790348944</v>
          </cell>
        </row>
        <row r="24">
          <cell r="V24">
            <v>20.135307947812336</v>
          </cell>
        </row>
      </sheetData>
      <sheetData sheetId="43"/>
      <sheetData sheetId="44">
        <row r="10">
          <cell r="V10">
            <v>2.5</v>
          </cell>
        </row>
        <row r="16">
          <cell r="V16">
            <v>18.378171862414796</v>
          </cell>
        </row>
        <row r="17">
          <cell r="V17">
            <v>18.659499008377129</v>
          </cell>
        </row>
        <row r="18">
          <cell r="V18">
            <v>18.394964174897709</v>
          </cell>
        </row>
        <row r="19">
          <cell r="V19">
            <v>18.819782374175336</v>
          </cell>
        </row>
        <row r="20">
          <cell r="V20">
            <v>19.000113096383359</v>
          </cell>
        </row>
        <row r="21">
          <cell r="V21">
            <v>19.262248078542932</v>
          </cell>
        </row>
        <row r="22">
          <cell r="V22">
            <v>18.647864966640643</v>
          </cell>
        </row>
        <row r="23">
          <cell r="V23">
            <v>19.203619295729677</v>
          </cell>
        </row>
        <row r="24">
          <cell r="V24">
            <v>18.279859508108679</v>
          </cell>
        </row>
      </sheetData>
      <sheetData sheetId="45"/>
      <sheetData sheetId="46">
        <row r="10">
          <cell r="V10">
            <v>2.3000000000000016</v>
          </cell>
        </row>
        <row r="16">
          <cell r="V16">
            <v>17.568867994031674</v>
          </cell>
        </row>
        <row r="17">
          <cell r="V17">
            <v>17.719254235846396</v>
          </cell>
        </row>
        <row r="18">
          <cell r="V18">
            <v>17.57405257677982</v>
          </cell>
        </row>
        <row r="19">
          <cell r="V19">
            <v>18.002412432063029</v>
          </cell>
        </row>
        <row r="20">
          <cell r="V20">
            <v>17.48278627674101</v>
          </cell>
        </row>
        <row r="21">
          <cell r="V21">
            <v>17.707119069061257</v>
          </cell>
        </row>
        <row r="22">
          <cell r="V22">
            <v>16.86665232486077</v>
          </cell>
        </row>
        <row r="23">
          <cell r="V23">
            <v>17.563270149297413</v>
          </cell>
        </row>
        <row r="24">
          <cell r="V24">
            <v>16.840635426105468</v>
          </cell>
        </row>
      </sheetData>
      <sheetData sheetId="47"/>
      <sheetData sheetId="48">
        <row r="10">
          <cell r="V10">
            <v>2.2000000000000037</v>
          </cell>
        </row>
        <row r="16">
          <cell r="V16">
            <v>17.36446536440258</v>
          </cell>
        </row>
        <row r="17">
          <cell r="V17">
            <v>17.466598924065501</v>
          </cell>
        </row>
        <row r="18">
          <cell r="V18">
            <v>17.226166293796119</v>
          </cell>
        </row>
        <row r="19">
          <cell r="V19">
            <v>17.399883088608686</v>
          </cell>
        </row>
        <row r="20">
          <cell r="V20">
            <v>17.146155368331744</v>
          </cell>
        </row>
        <row r="21">
          <cell r="V21">
            <v>16.407597654688459</v>
          </cell>
        </row>
        <row r="22">
          <cell r="V22">
            <v>16.8896086243384</v>
          </cell>
        </row>
        <row r="23">
          <cell r="V23">
            <v>16.516510742976841</v>
          </cell>
        </row>
        <row r="24">
          <cell r="V24">
            <v>16.498015176416793</v>
          </cell>
        </row>
      </sheetData>
      <sheetData sheetId="49"/>
      <sheetData sheetId="50">
        <row r="10">
          <cell r="V10">
            <v>2.2000000000000006</v>
          </cell>
        </row>
        <row r="16">
          <cell r="V16">
            <v>14.844824923050377</v>
          </cell>
        </row>
        <row r="17">
          <cell r="V17">
            <v>14.859384108096704</v>
          </cell>
        </row>
        <row r="18">
          <cell r="V18">
            <v>13.760193325365835</v>
          </cell>
        </row>
        <row r="19">
          <cell r="V19">
            <v>14.007325787897004</v>
          </cell>
        </row>
        <row r="20">
          <cell r="V20">
            <v>14.991157832470151</v>
          </cell>
        </row>
        <row r="21">
          <cell r="V21">
            <v>14.875610744265055</v>
          </cell>
        </row>
        <row r="22">
          <cell r="V22">
            <v>14.420846911595412</v>
          </cell>
        </row>
        <row r="23">
          <cell r="V23">
            <v>14.707964044947071</v>
          </cell>
        </row>
        <row r="24">
          <cell r="V24">
            <v>15.047173625033214</v>
          </cell>
        </row>
      </sheetData>
      <sheetData sheetId="51"/>
      <sheetData sheetId="52">
        <row r="10">
          <cell r="V10">
            <v>1.8000000000000009</v>
          </cell>
        </row>
        <row r="16">
          <cell r="V16">
            <v>13.386138862486954</v>
          </cell>
        </row>
        <row r="17">
          <cell r="V17">
            <v>13.614000690188496</v>
          </cell>
        </row>
        <row r="18">
          <cell r="V18">
            <v>13.11157232999887</v>
          </cell>
        </row>
        <row r="19">
          <cell r="V19">
            <v>13.158580522661945</v>
          </cell>
        </row>
        <row r="20">
          <cell r="V20">
            <v>13.612652293365937</v>
          </cell>
        </row>
        <row r="21">
          <cell r="V21">
            <v>12.731225385188822</v>
          </cell>
        </row>
        <row r="22">
          <cell r="V22">
            <v>14.945863480347036</v>
          </cell>
        </row>
        <row r="23">
          <cell r="V23">
            <v>16.100176921453741</v>
          </cell>
        </row>
        <row r="24">
          <cell r="V24">
            <v>16.593424421981009</v>
          </cell>
        </row>
      </sheetData>
      <sheetData sheetId="53"/>
      <sheetData sheetId="54">
        <row r="10">
          <cell r="V10">
            <v>2.4153480137190386</v>
          </cell>
        </row>
        <row r="16">
          <cell r="V16">
            <v>16.782792656531388</v>
          </cell>
        </row>
        <row r="17">
          <cell r="V17">
            <v>15.298908143458501</v>
          </cell>
        </row>
        <row r="18">
          <cell r="V18">
            <v>15.312526517235005</v>
          </cell>
        </row>
        <row r="19">
          <cell r="V19">
            <v>14.272292069631206</v>
          </cell>
        </row>
        <row r="20">
          <cell r="V20">
            <v>14.836459300030098</v>
          </cell>
        </row>
        <row r="21">
          <cell r="V21">
            <v>13.807721152064504</v>
          </cell>
        </row>
        <row r="22">
          <cell r="V22">
            <v>13.796528678758333</v>
          </cell>
        </row>
        <row r="23">
          <cell r="V23">
            <v>13.620329637993239</v>
          </cell>
        </row>
        <row r="24">
          <cell r="V24">
            <v>12.567494527837656</v>
          </cell>
        </row>
      </sheetData>
      <sheetData sheetId="55"/>
      <sheetData sheetId="56">
        <row r="10">
          <cell r="V10">
            <v>2.6999999999999997</v>
          </cell>
        </row>
        <row r="16">
          <cell r="V16">
            <v>17.352058689161488</v>
          </cell>
        </row>
        <row r="17">
          <cell r="V17">
            <v>15.779683079609523</v>
          </cell>
        </row>
        <row r="18">
          <cell r="V18">
            <v>14.12304867944601</v>
          </cell>
        </row>
        <row r="19">
          <cell r="V19">
            <v>14.628654115508276</v>
          </cell>
        </row>
        <row r="20">
          <cell r="V20">
            <v>15.336672619005356</v>
          </cell>
        </row>
        <row r="21">
          <cell r="V21">
            <v>14.154543297288182</v>
          </cell>
        </row>
        <row r="22">
          <cell r="V22">
            <v>13.824804863853519</v>
          </cell>
        </row>
        <row r="23">
          <cell r="V23">
            <v>14.007148546357831</v>
          </cell>
        </row>
        <row r="24">
          <cell r="V24">
            <v>13.852281849603749</v>
          </cell>
        </row>
      </sheetData>
      <sheetData sheetId="57"/>
      <sheetData sheetId="58">
        <row r="10">
          <cell r="V10">
            <v>2.1764111456430353</v>
          </cell>
        </row>
        <row r="16">
          <cell r="V16">
            <v>16.038483000289229</v>
          </cell>
        </row>
        <row r="17">
          <cell r="V17">
            <v>14.842133055856472</v>
          </cell>
        </row>
        <row r="18">
          <cell r="V18">
            <v>16.606934080216249</v>
          </cell>
        </row>
        <row r="19">
          <cell r="V19">
            <v>16.905817430781024</v>
          </cell>
        </row>
        <row r="20">
          <cell r="V20">
            <v>16.755486198761293</v>
          </cell>
        </row>
        <row r="21">
          <cell r="V21">
            <v>16.114026279557262</v>
          </cell>
        </row>
        <row r="22">
          <cell r="V22">
            <v>15.702814567537747</v>
          </cell>
        </row>
        <row r="23">
          <cell r="V23">
            <v>15.67241572165508</v>
          </cell>
        </row>
        <row r="24">
          <cell r="V24">
            <v>17.003225159235825</v>
          </cell>
        </row>
      </sheetData>
      <sheetData sheetId="59"/>
      <sheetData sheetId="60">
        <row r="10">
          <cell r="V10">
            <v>2.0999999999999992</v>
          </cell>
        </row>
        <row r="16">
          <cell r="V16">
            <v>19.931930264137222</v>
          </cell>
        </row>
        <row r="17">
          <cell r="V17">
            <v>19.626439109390056</v>
          </cell>
        </row>
        <row r="18">
          <cell r="V18">
            <v>18.297372291752865</v>
          </cell>
        </row>
        <row r="19">
          <cell r="V19">
            <v>19.256323547730993</v>
          </cell>
        </row>
        <row r="20">
          <cell r="V20">
            <v>20.118961005624907</v>
          </cell>
        </row>
        <row r="21">
          <cell r="V21">
            <v>20.409107864218004</v>
          </cell>
        </row>
        <row r="22">
          <cell r="V22">
            <v>19.142530633120479</v>
          </cell>
        </row>
        <row r="23">
          <cell r="V23">
            <v>18.874799916011153</v>
          </cell>
        </row>
        <row r="24">
          <cell r="V24">
            <v>19.336387680769224</v>
          </cell>
        </row>
      </sheetData>
      <sheetData sheetId="61"/>
      <sheetData sheetId="62">
        <row r="10">
          <cell r="V10">
            <v>2.5700415700371524</v>
          </cell>
        </row>
        <row r="16">
          <cell r="V16">
            <v>19.6634513844803</v>
          </cell>
        </row>
        <row r="17">
          <cell r="V17">
            <v>20.177774747890968</v>
          </cell>
        </row>
        <row r="18">
          <cell r="V18">
            <v>20.81026705896841</v>
          </cell>
        </row>
        <row r="19">
          <cell r="V19">
            <v>20.424298625254981</v>
          </cell>
        </row>
        <row r="20">
          <cell r="V20">
            <v>20.211026626509206</v>
          </cell>
        </row>
        <row r="21">
          <cell r="V21">
            <v>20.028013513305641</v>
          </cell>
        </row>
        <row r="22">
          <cell r="V22">
            <v>21.009260979660496</v>
          </cell>
        </row>
        <row r="23">
          <cell r="V23">
            <v>21.248498632350046</v>
          </cell>
        </row>
        <row r="24">
          <cell r="V24">
            <v>20.394353449899157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0">
          <cell r="V10">
            <v>2.6148849062323376</v>
          </cell>
        </row>
        <row r="16">
          <cell r="V16">
            <v>18.639829873061338</v>
          </cell>
        </row>
        <row r="17">
          <cell r="V17">
            <v>18.063534362431223</v>
          </cell>
        </row>
        <row r="18">
          <cell r="V18">
            <v>18.236157441946389</v>
          </cell>
        </row>
        <row r="19">
          <cell r="V19">
            <v>17.906607736806389</v>
          </cell>
        </row>
        <row r="20">
          <cell r="V20">
            <v>17.383846020600849</v>
          </cell>
        </row>
        <row r="21">
          <cell r="V21">
            <v>17.18198731816917</v>
          </cell>
        </row>
        <row r="22">
          <cell r="V22">
            <v>19.777718305825985</v>
          </cell>
        </row>
        <row r="23">
          <cell r="V23">
            <v>20.436620665199083</v>
          </cell>
        </row>
        <row r="24">
          <cell r="V24">
            <v>20.194733290650461</v>
          </cell>
        </row>
      </sheetData>
      <sheetData sheetId="5" refreshError="1"/>
      <sheetData sheetId="6">
        <row r="10">
          <cell r="V10">
            <v>2.9000000000000008</v>
          </cell>
        </row>
        <row r="16">
          <cell r="V16">
            <v>20.874974428494905</v>
          </cell>
        </row>
        <row r="17">
          <cell r="V17">
            <v>20.794816765113982</v>
          </cell>
        </row>
        <row r="18">
          <cell r="V18">
            <v>21.094352367838098</v>
          </cell>
        </row>
        <row r="19">
          <cell r="V19">
            <v>21.15033502577591</v>
          </cell>
        </row>
        <row r="20">
          <cell r="V20">
            <v>20.526499773779282</v>
          </cell>
        </row>
        <row r="21">
          <cell r="V21">
            <v>20.750052917562265</v>
          </cell>
        </row>
        <row r="22">
          <cell r="V22">
            <v>20.218007727038401</v>
          </cell>
        </row>
        <row r="23">
          <cell r="V23">
            <v>19.812605731954886</v>
          </cell>
        </row>
        <row r="24">
          <cell r="V24">
            <v>19.861128168172147</v>
          </cell>
        </row>
      </sheetData>
      <sheetData sheetId="7" refreshError="1"/>
      <sheetData sheetId="8">
        <row r="10">
          <cell r="V10">
            <v>2.5700415700371502</v>
          </cell>
        </row>
        <row r="16">
          <cell r="V16">
            <v>21.281939662826975</v>
          </cell>
        </row>
        <row r="17">
          <cell r="V17">
            <v>21.365585561559179</v>
          </cell>
        </row>
        <row r="18">
          <cell r="V18">
            <v>20.941519821306475</v>
          </cell>
        </row>
        <row r="19">
          <cell r="V19">
            <v>20.697459399556518</v>
          </cell>
        </row>
        <row r="20">
          <cell r="V20">
            <v>20.757978582992898</v>
          </cell>
        </row>
        <row r="21">
          <cell r="V21">
            <v>21.207711785065467</v>
          </cell>
        </row>
        <row r="22">
          <cell r="V22">
            <v>21.562939466090064</v>
          </cell>
        </row>
        <row r="23">
          <cell r="V23">
            <v>20.59577959710737</v>
          </cell>
        </row>
        <row r="24">
          <cell r="V24">
            <v>20.181174254638215</v>
          </cell>
        </row>
      </sheetData>
      <sheetData sheetId="9" refreshError="1"/>
      <sheetData sheetId="10">
        <row r="10">
          <cell r="V10">
            <v>2.3155794264703902</v>
          </cell>
        </row>
        <row r="16">
          <cell r="V16">
            <v>16.289414158400774</v>
          </cell>
        </row>
        <row r="17">
          <cell r="V17">
            <v>16.339623990728164</v>
          </cell>
        </row>
        <row r="18">
          <cell r="V18">
            <v>16.545877436808659</v>
          </cell>
        </row>
        <row r="19">
          <cell r="V19">
            <v>15.390833652853971</v>
          </cell>
        </row>
        <row r="20">
          <cell r="V20">
            <v>15.22614299778772</v>
          </cell>
        </row>
        <row r="21">
          <cell r="V21">
            <v>15.705886896220834</v>
          </cell>
        </row>
        <row r="22">
          <cell r="V22">
            <v>15.759769525282948</v>
          </cell>
        </row>
        <row r="23">
          <cell r="V23">
            <v>15.00059774976943</v>
          </cell>
        </row>
        <row r="24">
          <cell r="V24">
            <v>15.501513804848013</v>
          </cell>
        </row>
      </sheetData>
      <sheetData sheetId="11" refreshError="1"/>
      <sheetData sheetId="12">
        <row r="10">
          <cell r="V10">
            <v>2.2586559138134703</v>
          </cell>
        </row>
        <row r="16">
          <cell r="V16">
            <v>17.46270503166706</v>
          </cell>
        </row>
        <row r="17">
          <cell r="V17">
            <v>17.644920079831191</v>
          </cell>
        </row>
        <row r="18">
          <cell r="V18">
            <v>17.75736802569104</v>
          </cell>
        </row>
        <row r="19">
          <cell r="V19">
            <v>18.130231516365377</v>
          </cell>
        </row>
        <row r="20">
          <cell r="V20">
            <v>18.924049465613621</v>
          </cell>
        </row>
        <row r="21">
          <cell r="V21">
            <v>19.051541031846796</v>
          </cell>
        </row>
        <row r="22">
          <cell r="V22">
            <v>19.075987355789046</v>
          </cell>
        </row>
        <row r="23">
          <cell r="V23">
            <v>20.276545622392074</v>
          </cell>
        </row>
        <row r="24">
          <cell r="V24">
            <v>20.055690218611403</v>
          </cell>
        </row>
      </sheetData>
      <sheetData sheetId="13" refreshError="1"/>
      <sheetData sheetId="14">
        <row r="10">
          <cell r="V10">
            <v>3.057733571601585</v>
          </cell>
        </row>
        <row r="16">
          <cell r="V16">
            <v>20.573755484486586</v>
          </cell>
        </row>
        <row r="17">
          <cell r="V17">
            <v>20.599607165095989</v>
          </cell>
        </row>
        <row r="18">
          <cell r="V18">
            <v>21.305758646435212</v>
          </cell>
        </row>
        <row r="19">
          <cell r="V19">
            <v>20.560151418346173</v>
          </cell>
        </row>
        <row r="20">
          <cell r="V20">
            <v>19.498110115526011</v>
          </cell>
        </row>
        <row r="21">
          <cell r="V21">
            <v>18.865505149749616</v>
          </cell>
        </row>
        <row r="22">
          <cell r="V22">
            <v>17.738857406490954</v>
          </cell>
        </row>
        <row r="23">
          <cell r="V23">
            <v>18.023165500949634</v>
          </cell>
        </row>
        <row r="24">
          <cell r="V24">
            <v>18.597931945290139</v>
          </cell>
        </row>
      </sheetData>
      <sheetData sheetId="15" refreshError="1"/>
      <sheetData sheetId="16">
        <row r="10">
          <cell r="V10">
            <v>2.8000000000000003</v>
          </cell>
        </row>
        <row r="16">
          <cell r="V16">
            <v>21.351833410336916</v>
          </cell>
        </row>
        <row r="17">
          <cell r="V17">
            <v>20.101371207449798</v>
          </cell>
        </row>
        <row r="18">
          <cell r="V18">
            <v>19.193831265181142</v>
          </cell>
        </row>
        <row r="19">
          <cell r="V19">
            <v>19.224039309658011</v>
          </cell>
        </row>
        <row r="20">
          <cell r="V20">
            <v>17.285951030014729</v>
          </cell>
        </row>
        <row r="21">
          <cell r="V21">
            <v>17.51780667848017</v>
          </cell>
        </row>
        <row r="22">
          <cell r="V22">
            <v>16.817825059411376</v>
          </cell>
        </row>
        <row r="23">
          <cell r="V23">
            <v>16.272384614404238</v>
          </cell>
        </row>
        <row r="24">
          <cell r="V24">
            <v>16.246908279511125</v>
          </cell>
        </row>
      </sheetData>
      <sheetData sheetId="17" refreshError="1"/>
      <sheetData sheetId="18">
        <row r="10">
          <cell r="V10">
            <v>2.523636494746416</v>
          </cell>
        </row>
        <row r="16">
          <cell r="V16">
            <v>19.955212372680244</v>
          </cell>
        </row>
        <row r="17">
          <cell r="V17">
            <v>19.949139292981684</v>
          </cell>
        </row>
        <row r="18">
          <cell r="V18">
            <v>19.840142570786366</v>
          </cell>
        </row>
        <row r="19">
          <cell r="V19">
            <v>20.007428695815289</v>
          </cell>
        </row>
        <row r="20">
          <cell r="V20">
            <v>20.113373513122685</v>
          </cell>
        </row>
        <row r="21">
          <cell r="V21">
            <v>20.69939109277361</v>
          </cell>
        </row>
        <row r="22">
          <cell r="V22">
            <v>20.540300491622965</v>
          </cell>
        </row>
        <row r="23">
          <cell r="V23">
            <v>20.411009908039762</v>
          </cell>
        </row>
        <row r="24">
          <cell r="V24">
            <v>21.109611406816704</v>
          </cell>
        </row>
      </sheetData>
      <sheetData sheetId="19" refreshError="1"/>
      <sheetData sheetId="20">
        <row r="10">
          <cell r="V10">
            <v>2.8000000000000003</v>
          </cell>
        </row>
        <row r="16">
          <cell r="V16">
            <v>20.07702726084214</v>
          </cell>
        </row>
        <row r="17">
          <cell r="V17">
            <v>20.093592281871434</v>
          </cell>
        </row>
        <row r="18">
          <cell r="V18">
            <v>19.968063566696003</v>
          </cell>
        </row>
        <row r="19">
          <cell r="V19">
            <v>21.217105050103104</v>
          </cell>
        </row>
        <row r="20">
          <cell r="V20">
            <v>20.737075369576608</v>
          </cell>
        </row>
        <row r="21">
          <cell r="V21">
            <v>20.899852565389665</v>
          </cell>
        </row>
        <row r="22">
          <cell r="V22">
            <v>20.677368626568835</v>
          </cell>
        </row>
        <row r="23">
          <cell r="V23">
            <v>20.011726320893469</v>
          </cell>
        </row>
        <row r="24">
          <cell r="V24">
            <v>20.138834892343034</v>
          </cell>
        </row>
      </sheetData>
      <sheetData sheetId="21" refreshError="1"/>
      <sheetData sheetId="22">
        <row r="10">
          <cell r="V10">
            <v>2.8000000000000003</v>
          </cell>
        </row>
        <row r="16">
          <cell r="V16">
            <v>19.686114338433558</v>
          </cell>
        </row>
        <row r="17">
          <cell r="V17">
            <v>20.023491172858975</v>
          </cell>
        </row>
        <row r="18">
          <cell r="V18">
            <v>20.346675050089718</v>
          </cell>
        </row>
        <row r="19">
          <cell r="V19">
            <v>20.141093046196996</v>
          </cell>
        </row>
        <row r="20">
          <cell r="V20">
            <v>20.822312976634375</v>
          </cell>
        </row>
        <row r="21">
          <cell r="V21">
            <v>19.978055533705671</v>
          </cell>
        </row>
        <row r="22">
          <cell r="V22">
            <v>20.329314542750623</v>
          </cell>
        </row>
        <row r="23">
          <cell r="V23">
            <v>20.24967378944114</v>
          </cell>
        </row>
        <row r="24">
          <cell r="V24">
            <v>21.616368047606347</v>
          </cell>
        </row>
      </sheetData>
      <sheetData sheetId="23" refreshError="1"/>
      <sheetData sheetId="24">
        <row r="10">
          <cell r="V10">
            <v>2.2586559138134703</v>
          </cell>
        </row>
        <row r="16">
          <cell r="V16">
            <v>16.8553516551572</v>
          </cell>
        </row>
        <row r="17">
          <cell r="V17">
            <v>16.857794601116861</v>
          </cell>
        </row>
        <row r="18">
          <cell r="V18">
            <v>17.581957234802562</v>
          </cell>
        </row>
        <row r="19">
          <cell r="V19">
            <v>16.461510125133564</v>
          </cell>
        </row>
        <row r="20">
          <cell r="V20">
            <v>15.292654787989175</v>
          </cell>
        </row>
        <row r="21">
          <cell r="V21">
            <v>16.265989025190763</v>
          </cell>
        </row>
        <row r="22">
          <cell r="V22">
            <v>16.213868195149335</v>
          </cell>
        </row>
        <row r="23">
          <cell r="V23">
            <v>16.004610123834436</v>
          </cell>
        </row>
        <row r="24">
          <cell r="V24">
            <v>15.620854144374233</v>
          </cell>
        </row>
      </sheetData>
      <sheetData sheetId="25" refreshError="1"/>
      <sheetData sheetId="26">
        <row r="10">
          <cell r="V10">
            <v>2.6999999999999997</v>
          </cell>
        </row>
        <row r="16">
          <cell r="V16">
            <v>14.226458145507848</v>
          </cell>
        </row>
        <row r="17">
          <cell r="V17">
            <v>15.107582380365848</v>
          </cell>
        </row>
        <row r="18">
          <cell r="V18">
            <v>15.470777739181234</v>
          </cell>
        </row>
        <row r="19">
          <cell r="V19">
            <v>14.197101821863184</v>
          </cell>
        </row>
        <row r="20">
          <cell r="V20">
            <v>15.854787580901002</v>
          </cell>
        </row>
        <row r="21">
          <cell r="V21">
            <v>15.63116567841371</v>
          </cell>
        </row>
        <row r="22">
          <cell r="V22">
            <v>15.387382381874831</v>
          </cell>
        </row>
        <row r="23">
          <cell r="V23">
            <v>15.848616494140677</v>
          </cell>
        </row>
        <row r="24">
          <cell r="V24">
            <v>15.822085793504373</v>
          </cell>
        </row>
      </sheetData>
      <sheetData sheetId="27" refreshError="1"/>
      <sheetData sheetId="28">
        <row r="10">
          <cell r="V10">
            <v>2.1255054669944582</v>
          </cell>
        </row>
        <row r="16">
          <cell r="V16">
            <v>16.242154057466855</v>
          </cell>
        </row>
        <row r="17">
          <cell r="V17">
            <v>16.513984411874972</v>
          </cell>
        </row>
        <row r="18">
          <cell r="V18">
            <v>16.713727874954497</v>
          </cell>
        </row>
        <row r="19">
          <cell r="V19">
            <v>17.066925821690923</v>
          </cell>
        </row>
        <row r="20">
          <cell r="V20">
            <v>17.699182545214356</v>
          </cell>
        </row>
        <row r="21">
          <cell r="V21">
            <v>17.441930395443904</v>
          </cell>
        </row>
        <row r="22">
          <cell r="V22">
            <v>18.34584593930353</v>
          </cell>
        </row>
        <row r="23">
          <cell r="V23">
            <v>18.489775601718108</v>
          </cell>
        </row>
        <row r="24">
          <cell r="V24">
            <v>18.730074608783742</v>
          </cell>
        </row>
      </sheetData>
      <sheetData sheetId="29" refreshError="1"/>
      <sheetData sheetId="30">
        <row r="10">
          <cell r="V10">
            <v>2.957849028323841</v>
          </cell>
        </row>
        <row r="16">
          <cell r="V16">
            <v>18.89657853329625</v>
          </cell>
        </row>
        <row r="17">
          <cell r="V17">
            <v>18.946550412543289</v>
          </cell>
        </row>
        <row r="18">
          <cell r="V18">
            <v>17.946001000475583</v>
          </cell>
        </row>
        <row r="19">
          <cell r="V19">
            <v>16.315354568513772</v>
          </cell>
        </row>
        <row r="20">
          <cell r="V20">
            <v>18.141718302346458</v>
          </cell>
        </row>
        <row r="21">
          <cell r="V21">
            <v>17.8979945633758</v>
          </cell>
        </row>
        <row r="22">
          <cell r="V22">
            <v>18.115541693569696</v>
          </cell>
        </row>
        <row r="23">
          <cell r="V23">
            <v>17.927842242213526</v>
          </cell>
        </row>
        <row r="24">
          <cell r="V24">
            <v>17.044124265873229</v>
          </cell>
        </row>
      </sheetData>
      <sheetData sheetId="31" refreshError="1"/>
      <sheetData sheetId="32">
        <row r="10">
          <cell r="V10">
            <v>2.8000000000000003</v>
          </cell>
        </row>
        <row r="16">
          <cell r="V16">
            <v>18.416287205436809</v>
          </cell>
        </row>
        <row r="17">
          <cell r="V17">
            <v>18.777149402918699</v>
          </cell>
        </row>
        <row r="18">
          <cell r="V18">
            <v>18.506676727486617</v>
          </cell>
        </row>
        <row r="19">
          <cell r="V19">
            <v>19.115329077939176</v>
          </cell>
        </row>
        <row r="20">
          <cell r="V20">
            <v>18.753564209922185</v>
          </cell>
        </row>
        <row r="21">
          <cell r="V21">
            <v>18.928706228577024</v>
          </cell>
        </row>
        <row r="22">
          <cell r="V22">
            <v>17.298231834987632</v>
          </cell>
        </row>
        <row r="23">
          <cell r="V23">
            <v>16.41479272658859</v>
          </cell>
        </row>
        <row r="24">
          <cell r="V24">
            <v>14.163665934801477</v>
          </cell>
        </row>
      </sheetData>
      <sheetData sheetId="33" refreshError="1"/>
      <sheetData sheetId="34">
        <row r="10">
          <cell r="V10">
            <v>2.6581951174409837</v>
          </cell>
        </row>
        <row r="16">
          <cell r="V16">
            <v>15.698867907807687</v>
          </cell>
        </row>
        <row r="17">
          <cell r="V17">
            <v>14.106990495987112</v>
          </cell>
        </row>
        <row r="18">
          <cell r="V18">
            <v>13.934550955229847</v>
          </cell>
        </row>
        <row r="19">
          <cell r="V19">
            <v>14.785759989351366</v>
          </cell>
        </row>
        <row r="20">
          <cell r="V20">
            <v>14.579340272305735</v>
          </cell>
        </row>
        <row r="21">
          <cell r="V21">
            <v>14.881620515544324</v>
          </cell>
        </row>
        <row r="22">
          <cell r="V22">
            <v>15.350106394802589</v>
          </cell>
        </row>
        <row r="23">
          <cell r="V23">
            <v>14.346196451857688</v>
          </cell>
        </row>
        <row r="24">
          <cell r="V24">
            <v>13.638889475892357</v>
          </cell>
        </row>
      </sheetData>
      <sheetData sheetId="35" refreshError="1"/>
      <sheetData sheetId="36">
        <row r="10">
          <cell r="V10">
            <v>1.7000000000000004</v>
          </cell>
        </row>
        <row r="16">
          <cell r="V16">
            <v>15.817508229188046</v>
          </cell>
        </row>
        <row r="17">
          <cell r="V17">
            <v>15.817114344910214</v>
          </cell>
        </row>
        <row r="18">
          <cell r="V18">
            <v>15.338448734033033</v>
          </cell>
        </row>
        <row r="19">
          <cell r="V19">
            <v>15.187644178700745</v>
          </cell>
        </row>
        <row r="20">
          <cell r="V20">
            <v>16.065369190854067</v>
          </cell>
        </row>
        <row r="21">
          <cell r="V21">
            <v>16.771812558082779</v>
          </cell>
        </row>
        <row r="22">
          <cell r="V22">
            <v>16.949785777430883</v>
          </cell>
        </row>
        <row r="23">
          <cell r="V23">
            <v>17.07507115060471</v>
          </cell>
        </row>
        <row r="24">
          <cell r="V24">
            <v>17.701380879768404</v>
          </cell>
        </row>
      </sheetData>
      <sheetData sheetId="37" refreshError="1"/>
      <sheetData sheetId="38">
        <row r="10">
          <cell r="V10">
            <v>1.8999999999999966</v>
          </cell>
        </row>
        <row r="16">
          <cell r="V16">
            <v>14.9470862731658</v>
          </cell>
        </row>
        <row r="17">
          <cell r="V17">
            <v>14.074958026950593</v>
          </cell>
        </row>
        <row r="18">
          <cell r="V18">
            <v>15.006609648829674</v>
          </cell>
        </row>
        <row r="19">
          <cell r="V19">
            <v>14.911317829729697</v>
          </cell>
        </row>
        <row r="20">
          <cell r="V20">
            <v>15.186194446852067</v>
          </cell>
        </row>
        <row r="21">
          <cell r="V21">
            <v>16.490215423612895</v>
          </cell>
        </row>
        <row r="22">
          <cell r="V22">
            <v>17.531291715411122</v>
          </cell>
        </row>
        <row r="23">
          <cell r="V23">
            <v>16.798391646434297</v>
          </cell>
        </row>
        <row r="24">
          <cell r="V24">
            <v>17.28962954436475</v>
          </cell>
        </row>
      </sheetData>
      <sheetData sheetId="39" refreshError="1"/>
      <sheetData sheetId="40">
        <row r="10">
          <cell r="V10">
            <v>2.6999999999999997</v>
          </cell>
        </row>
        <row r="16">
          <cell r="V16">
            <v>16.817182140155644</v>
          </cell>
        </row>
        <row r="17">
          <cell r="V17">
            <v>16.930930766787224</v>
          </cell>
        </row>
        <row r="18">
          <cell r="V18">
            <v>17.323821624093771</v>
          </cell>
        </row>
        <row r="19">
          <cell r="V19">
            <v>16.585665951121541</v>
          </cell>
        </row>
        <row r="20">
          <cell r="V20">
            <v>13.214315887124654</v>
          </cell>
        </row>
        <row r="21">
          <cell r="V21">
            <v>13.402828855019814</v>
          </cell>
        </row>
        <row r="22">
          <cell r="V22">
            <v>12.861853038390993</v>
          </cell>
        </row>
        <row r="23">
          <cell r="V23">
            <v>19.118118634104466</v>
          </cell>
        </row>
        <row r="24">
          <cell r="V24">
            <v>19.658443208356058</v>
          </cell>
        </row>
      </sheetData>
      <sheetData sheetId="41" refreshError="1"/>
      <sheetData sheetId="42">
        <row r="10">
          <cell r="V10">
            <v>3.2999999999999989</v>
          </cell>
        </row>
        <row r="16">
          <cell r="V16">
            <v>19.360649268918003</v>
          </cell>
        </row>
        <row r="17">
          <cell r="V17">
            <v>18.435359161677333</v>
          </cell>
        </row>
        <row r="18">
          <cell r="V18">
            <v>19.083842677419359</v>
          </cell>
        </row>
        <row r="19">
          <cell r="V19">
            <v>19.417344834126229</v>
          </cell>
        </row>
        <row r="20">
          <cell r="V20">
            <v>19.198510861794393</v>
          </cell>
        </row>
        <row r="21">
          <cell r="V21">
            <v>19.629530361453174</v>
          </cell>
        </row>
        <row r="22">
          <cell r="V22">
            <v>19.142130692645523</v>
          </cell>
        </row>
        <row r="23">
          <cell r="V23">
            <v>17.93645293322286</v>
          </cell>
        </row>
        <row r="24">
          <cell r="V24">
            <v>19.510101785075047</v>
          </cell>
        </row>
      </sheetData>
      <sheetData sheetId="43" refreshError="1"/>
      <sheetData sheetId="44">
        <row r="10">
          <cell r="V10">
            <v>2.3762273772671505</v>
          </cell>
        </row>
        <row r="16">
          <cell r="V16">
            <v>19.265239731415619</v>
          </cell>
        </row>
        <row r="17">
          <cell r="V17">
            <v>19.388810207305614</v>
          </cell>
        </row>
        <row r="18">
          <cell r="V18">
            <v>19.795653276995509</v>
          </cell>
        </row>
        <row r="19">
          <cell r="V19">
            <v>20.241362308620001</v>
          </cell>
        </row>
        <row r="20">
          <cell r="V20">
            <v>19.407694083109636</v>
          </cell>
        </row>
        <row r="21">
          <cell r="V21">
            <v>20.059292645676337</v>
          </cell>
        </row>
        <row r="22">
          <cell r="V22">
            <v>24.231145686014852</v>
          </cell>
        </row>
        <row r="23">
          <cell r="V23">
            <v>21.339845021980793</v>
          </cell>
        </row>
        <row r="24">
          <cell r="V24">
            <v>21.411478883558608</v>
          </cell>
        </row>
      </sheetData>
      <sheetData sheetId="45" refreshError="1"/>
      <sheetData sheetId="46">
        <row r="10">
          <cell r="V10">
            <v>2.8579644382045153</v>
          </cell>
        </row>
        <row r="16">
          <cell r="V16">
            <v>19.963168848195551</v>
          </cell>
        </row>
        <row r="17">
          <cell r="V17">
            <v>19.931046609239402</v>
          </cell>
        </row>
        <row r="18">
          <cell r="V18">
            <v>19.412540525845191</v>
          </cell>
        </row>
        <row r="19">
          <cell r="V19">
            <v>19.29429212441778</v>
          </cell>
        </row>
        <row r="20">
          <cell r="V20">
            <v>18.984820338357778</v>
          </cell>
        </row>
        <row r="21">
          <cell r="V21">
            <v>19.186192695496306</v>
          </cell>
        </row>
        <row r="22">
          <cell r="V22">
            <v>19.343058352711804</v>
          </cell>
        </row>
        <row r="23">
          <cell r="V23">
            <v>19.276360602574243</v>
          </cell>
        </row>
        <row r="24">
          <cell r="V24">
            <v>19.508055473555157</v>
          </cell>
        </row>
      </sheetData>
      <sheetData sheetId="47" refreshError="1"/>
      <sheetData sheetId="48">
        <row r="10">
          <cell r="V10">
            <v>2.658195117440981</v>
          </cell>
        </row>
        <row r="16">
          <cell r="V16">
            <v>19.802089667078675</v>
          </cell>
        </row>
        <row r="17">
          <cell r="V17">
            <v>19.613926478442909</v>
          </cell>
        </row>
        <row r="18">
          <cell r="V18">
            <v>19.672721182516977</v>
          </cell>
        </row>
        <row r="19">
          <cell r="V19">
            <v>19.444442088599743</v>
          </cell>
        </row>
        <row r="20">
          <cell r="V20">
            <v>19.367382130071071</v>
          </cell>
        </row>
        <row r="21">
          <cell r="V21">
            <v>19.820693918417472</v>
          </cell>
        </row>
        <row r="22">
          <cell r="V22">
            <v>18.975180527860704</v>
          </cell>
        </row>
        <row r="23">
          <cell r="V23">
            <v>18.710645691667601</v>
          </cell>
        </row>
        <row r="24">
          <cell r="V24">
            <v>18.817607147596867</v>
          </cell>
        </row>
      </sheetData>
      <sheetData sheetId="49" refreshError="1"/>
      <sheetData sheetId="50">
        <row r="10">
          <cell r="V10">
            <v>2.5999999999999992</v>
          </cell>
        </row>
        <row r="16">
          <cell r="V16">
            <v>16.813008445432203</v>
          </cell>
        </row>
        <row r="17">
          <cell r="V17">
            <v>16.31483852844547</v>
          </cell>
        </row>
        <row r="18">
          <cell r="V18">
            <v>16.718305303431912</v>
          </cell>
        </row>
        <row r="19">
          <cell r="V19">
            <v>17.222572465612533</v>
          </cell>
        </row>
        <row r="20">
          <cell r="V20">
            <v>18.090627176257374</v>
          </cell>
        </row>
        <row r="21">
          <cell r="V21">
            <v>18.107041548327299</v>
          </cell>
        </row>
        <row r="22">
          <cell r="V22">
            <v>18.201795205035367</v>
          </cell>
        </row>
        <row r="23">
          <cell r="V23">
            <v>18.873944318589558</v>
          </cell>
        </row>
        <row r="24">
          <cell r="V24">
            <v>19.054911499675406</v>
          </cell>
        </row>
      </sheetData>
      <sheetData sheetId="51" refreshError="1"/>
      <sheetData sheetId="52">
        <row r="10">
          <cell r="V10">
            <v>2.4241040216902077</v>
          </cell>
        </row>
        <row r="16">
          <cell r="V16">
            <v>18.193311469078456</v>
          </cell>
        </row>
        <row r="17">
          <cell r="V17">
            <v>18.571254914784348</v>
          </cell>
        </row>
        <row r="18">
          <cell r="V18">
            <v>18.400302368490348</v>
          </cell>
        </row>
        <row r="19">
          <cell r="V19">
            <v>18.442398938669282</v>
          </cell>
        </row>
        <row r="20">
          <cell r="V20">
            <v>17.978557104197687</v>
          </cell>
        </row>
        <row r="21">
          <cell r="V21">
            <v>18.085245041465463</v>
          </cell>
        </row>
        <row r="22">
          <cell r="V22">
            <v>16.787669044161543</v>
          </cell>
        </row>
        <row r="23">
          <cell r="V23">
            <v>17.039118557477199</v>
          </cell>
        </row>
        <row r="24">
          <cell r="V24">
            <v>21.343657363058902</v>
          </cell>
        </row>
      </sheetData>
      <sheetData sheetId="53" refreshError="1"/>
      <sheetData sheetId="54">
        <row r="10">
          <cell r="V10">
            <v>2.6999999999999997</v>
          </cell>
        </row>
        <row r="16">
          <cell r="V16">
            <v>19.973382104204205</v>
          </cell>
        </row>
        <row r="17">
          <cell r="V17">
            <v>19.787345621665665</v>
          </cell>
        </row>
        <row r="18">
          <cell r="V18">
            <v>20.292937954012107</v>
          </cell>
        </row>
        <row r="19">
          <cell r="V19">
            <v>20.798834970376674</v>
          </cell>
        </row>
        <row r="20">
          <cell r="V20">
            <v>20.011794551461247</v>
          </cell>
        </row>
        <row r="21">
          <cell r="V21">
            <v>21.055206999551647</v>
          </cell>
        </row>
        <row r="22">
          <cell r="V22">
            <v>20.766364677209246</v>
          </cell>
        </row>
        <row r="23">
          <cell r="V23">
            <v>20.082174176361956</v>
          </cell>
        </row>
        <row r="24">
          <cell r="V24">
            <v>21.56351305867279</v>
          </cell>
        </row>
      </sheetData>
      <sheetData sheetId="55" refreshError="1"/>
      <sheetData sheetId="56">
        <row r="10">
          <cell r="V10">
            <v>2.5999999999999992</v>
          </cell>
        </row>
        <row r="16">
          <cell r="V16">
            <v>20.074006826954907</v>
          </cell>
        </row>
        <row r="17">
          <cell r="V17">
            <v>21.26403391907213</v>
          </cell>
        </row>
        <row r="18">
          <cell r="V18">
            <v>19.714115263213184</v>
          </cell>
        </row>
        <row r="19">
          <cell r="V19">
            <v>19.819748889390645</v>
          </cell>
        </row>
        <row r="20">
          <cell r="V20">
            <v>20.223489630090629</v>
          </cell>
        </row>
        <row r="21">
          <cell r="V21">
            <v>20.074900841384753</v>
          </cell>
        </row>
        <row r="22">
          <cell r="V22">
            <v>19.830233892999413</v>
          </cell>
        </row>
        <row r="23">
          <cell r="V23">
            <v>21.874956068439587</v>
          </cell>
        </row>
        <row r="24">
          <cell r="V24">
            <v>20.846565844158416</v>
          </cell>
        </row>
      </sheetData>
      <sheetData sheetId="57" refreshError="1"/>
      <sheetData sheetId="58">
        <row r="10">
          <cell r="V10">
            <v>2.9578490283238459</v>
          </cell>
        </row>
        <row r="16">
          <cell r="V16">
            <v>20.347668420495523</v>
          </cell>
        </row>
        <row r="17">
          <cell r="V17">
            <v>20.323888600476714</v>
          </cell>
        </row>
        <row r="18">
          <cell r="V18">
            <v>19.794715720491237</v>
          </cell>
        </row>
        <row r="19">
          <cell r="V19">
            <v>19.493087571874472</v>
          </cell>
        </row>
        <row r="20">
          <cell r="V20">
            <v>17.515653655867229</v>
          </cell>
        </row>
        <row r="21">
          <cell r="V21">
            <v>20.239587381712759</v>
          </cell>
        </row>
        <row r="22">
          <cell r="V22">
            <v>20.673382997625517</v>
          </cell>
        </row>
        <row r="23">
          <cell r="V23">
            <v>19.842023147837253</v>
          </cell>
        </row>
        <row r="24">
          <cell r="V24">
            <v>21.870233742200337</v>
          </cell>
        </row>
      </sheetData>
      <sheetData sheetId="59" refreshError="1"/>
      <sheetData sheetId="60">
        <row r="10">
          <cell r="V10">
            <v>2.4999999999999982</v>
          </cell>
        </row>
        <row r="16">
          <cell r="V16">
            <v>18.615903158050148</v>
          </cell>
        </row>
        <row r="17">
          <cell r="V17">
            <v>18.83245310793319</v>
          </cell>
        </row>
        <row r="18">
          <cell r="V18">
            <v>18.126930443452501</v>
          </cell>
        </row>
        <row r="19">
          <cell r="V19">
            <v>17.638656913490802</v>
          </cell>
        </row>
        <row r="20">
          <cell r="V20">
            <v>17.474637717601919</v>
          </cell>
        </row>
        <row r="21">
          <cell r="V21">
            <v>18.804663377448584</v>
          </cell>
        </row>
        <row r="22">
          <cell r="V22">
            <v>19.281861359097142</v>
          </cell>
        </row>
        <row r="23">
          <cell r="V23">
            <v>19.050119624637279</v>
          </cell>
        </row>
        <row r="24">
          <cell r="V24">
            <v>19.201383790286567</v>
          </cell>
        </row>
      </sheetData>
      <sheetData sheetId="61" refreshError="1"/>
      <sheetData sheetId="62">
        <row r="10">
          <cell r="V10">
            <v>2.8999999999999986</v>
          </cell>
        </row>
        <row r="16">
          <cell r="V16">
            <v>18.07303144995327</v>
          </cell>
        </row>
        <row r="17">
          <cell r="V17">
            <v>17.859471647213482</v>
          </cell>
        </row>
        <row r="18">
          <cell r="V18">
            <v>17.524943456771304</v>
          </cell>
        </row>
        <row r="19">
          <cell r="V19">
            <v>16.761531424247583</v>
          </cell>
        </row>
        <row r="20">
          <cell r="V20">
            <v>16.660334515868854</v>
          </cell>
        </row>
        <row r="21">
          <cell r="V21">
            <v>18.536438197173936</v>
          </cell>
        </row>
        <row r="22">
          <cell r="V22">
            <v>20.158677341667538</v>
          </cell>
        </row>
        <row r="23">
          <cell r="V23">
            <v>18.514331295580273</v>
          </cell>
        </row>
        <row r="24">
          <cell r="V24">
            <v>18.85205348027343</v>
          </cell>
        </row>
      </sheetData>
      <sheetData sheetId="63" refreshError="1"/>
      <sheetData sheetId="64">
        <row r="10">
          <cell r="V10">
            <v>2.6999999999999997</v>
          </cell>
        </row>
        <row r="16">
          <cell r="V16">
            <v>16.893072828756107</v>
          </cell>
        </row>
        <row r="17">
          <cell r="V17">
            <v>16.994076760291623</v>
          </cell>
        </row>
        <row r="18">
          <cell r="V18">
            <v>17.518494153703852</v>
          </cell>
        </row>
        <row r="19">
          <cell r="V19">
            <v>16.443382376469543</v>
          </cell>
        </row>
        <row r="20">
          <cell r="V20">
            <v>17.283910221738431</v>
          </cell>
        </row>
        <row r="21">
          <cell r="V21">
            <v>19.541826922690333</v>
          </cell>
        </row>
        <row r="22">
          <cell r="V22">
            <v>19.515506303017492</v>
          </cell>
        </row>
        <row r="23">
          <cell r="V23">
            <v>19.497401590011869</v>
          </cell>
        </row>
        <row r="24">
          <cell r="V24">
            <v>20.082459543968429</v>
          </cell>
        </row>
      </sheetData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0"/>
  <sheetViews>
    <sheetView tabSelected="1" zoomScale="75" zoomScaleNormal="75" workbookViewId="0">
      <selection activeCell="E23" sqref="E23"/>
    </sheetView>
  </sheetViews>
  <sheetFormatPr defaultRowHeight="12.75"/>
  <cols>
    <col min="33" max="33" width="9.140625" style="10"/>
    <col min="34" max="34" width="12.7109375" customWidth="1"/>
  </cols>
  <sheetData>
    <row r="1" spans="1:35" ht="18">
      <c r="A1" s="1"/>
      <c r="B1" s="2" t="s">
        <v>0</v>
      </c>
      <c r="C1" s="3"/>
      <c r="D1" s="4"/>
      <c r="E1" s="5"/>
      <c r="F1" s="1"/>
      <c r="G1" s="1"/>
      <c r="H1" s="1"/>
      <c r="I1" s="1"/>
      <c r="J1" s="6"/>
      <c r="K1" s="6"/>
      <c r="L1" s="7" t="s">
        <v>1</v>
      </c>
      <c r="M1" s="8" t="s">
        <v>2</v>
      </c>
      <c r="N1" s="9" t="s">
        <v>3</v>
      </c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5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5" ht="16.5" thickBot="1">
      <c r="A3" s="11" t="s">
        <v>4</v>
      </c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2">
        <v>8</v>
      </c>
      <c r="J3" s="12">
        <v>9</v>
      </c>
      <c r="K3" s="12">
        <v>10</v>
      </c>
      <c r="L3" s="12">
        <v>11</v>
      </c>
      <c r="M3" s="12">
        <v>12</v>
      </c>
      <c r="N3" s="12">
        <v>13</v>
      </c>
      <c r="O3" s="12">
        <v>14</v>
      </c>
      <c r="P3" s="12">
        <v>15</v>
      </c>
      <c r="Q3" s="12">
        <v>16</v>
      </c>
      <c r="R3" s="12">
        <v>17</v>
      </c>
      <c r="S3" s="12">
        <v>18</v>
      </c>
      <c r="T3" s="12">
        <v>19</v>
      </c>
      <c r="U3" s="12">
        <v>20</v>
      </c>
      <c r="V3" s="12">
        <v>21</v>
      </c>
      <c r="W3" s="12">
        <v>22</v>
      </c>
      <c r="X3" s="12">
        <v>23</v>
      </c>
      <c r="Y3" s="12">
        <v>24</v>
      </c>
      <c r="Z3" s="13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5">
        <v>31</v>
      </c>
    </row>
    <row r="4" spans="1:35" ht="15.75">
      <c r="A4" s="16">
        <v>1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8"/>
      <c r="AG4" s="19"/>
      <c r="AH4" s="20"/>
      <c r="AI4" s="21"/>
    </row>
    <row r="5" spans="1:35" ht="15.75">
      <c r="A5" s="16">
        <v>2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8"/>
      <c r="AG5" s="19"/>
      <c r="AH5" s="20"/>
      <c r="AI5" s="21"/>
    </row>
    <row r="6" spans="1:35" ht="15.75">
      <c r="A6" s="16">
        <v>3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8"/>
      <c r="AG6" s="19"/>
      <c r="AH6" s="20"/>
      <c r="AI6" s="21"/>
    </row>
    <row r="7" spans="1:35" ht="15.75">
      <c r="A7" s="16">
        <v>4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8"/>
      <c r="AG7" s="19"/>
      <c r="AH7" s="20"/>
      <c r="AI7" s="21"/>
    </row>
    <row r="8" spans="1:35" ht="15.75">
      <c r="A8" s="16">
        <v>5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8"/>
      <c r="AG8" s="19"/>
      <c r="AH8" s="20"/>
      <c r="AI8" s="21"/>
    </row>
    <row r="9" spans="1:35" ht="15.75">
      <c r="A9" s="16">
        <v>6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8"/>
      <c r="AG9" s="19"/>
      <c r="AH9" s="20"/>
      <c r="AI9" s="21"/>
    </row>
    <row r="10" spans="1:35" ht="15.75">
      <c r="A10" s="16">
        <v>7</v>
      </c>
      <c r="B10" s="22">
        <f>'[1]Dia 1 (b)'!$V16</f>
        <v>15.601076049200131</v>
      </c>
      <c r="C10" s="22">
        <f>'[1]Dia 2 (b)'!$V16</f>
        <v>16.663224905103995</v>
      </c>
      <c r="D10" s="22">
        <f>'[1]Dia 3 (b)'!$V16</f>
        <v>19.343450204098314</v>
      </c>
      <c r="E10" s="22">
        <f>'[1]Dia 4 (b)'!$V16</f>
        <v>19.193132027930194</v>
      </c>
      <c r="F10" s="22">
        <f>'[1]Dia 5 (b)'!$V16</f>
        <v>18.887897741989953</v>
      </c>
      <c r="G10" s="22">
        <f>'[1]Dia 6 (b)'!$V16</f>
        <v>18.202539248375562</v>
      </c>
      <c r="H10" s="22">
        <f>'[1]Dia 7 (b)'!$V16</f>
        <v>18.176497286485439</v>
      </c>
      <c r="I10" s="22">
        <f>'[1]Dia 8 (b)'!$V16</f>
        <v>20.284190392031331</v>
      </c>
      <c r="J10" s="22">
        <f>'[1]Dia 9 (b)'!$V16</f>
        <v>20.674738007303525</v>
      </c>
      <c r="K10" s="22">
        <f>'[1]Dia 10 (b)'!$V16</f>
        <v>20.5722813556599</v>
      </c>
      <c r="L10" s="22">
        <f>'[1]Dia 11 (b)'!$V16</f>
        <v>20.798017467307986</v>
      </c>
      <c r="M10" s="22">
        <f>'[1]Dia 12 (b)'!$V16</f>
        <v>20.963176614849932</v>
      </c>
      <c r="N10" s="22">
        <f>'[1]Dia 13 (b)'!$V16</f>
        <v>19.584132053561383</v>
      </c>
      <c r="O10" s="22">
        <f>'[1]Dia 14 (b)'!$V16</f>
        <v>17.009462129649645</v>
      </c>
      <c r="P10" s="22">
        <f>'[1]Dia 15 (b)'!$V16</f>
        <v>21.85676801685943</v>
      </c>
      <c r="Q10" s="22">
        <f>'[1]Dia 16 (b)'!$V16</f>
        <v>20.562690173992685</v>
      </c>
      <c r="R10" s="22">
        <f>'[1]Dia 17 (b)'!$V16</f>
        <v>21.812593882439124</v>
      </c>
      <c r="S10" s="22">
        <f>'[1]Dia 18 (b)'!$V16</f>
        <v>21.331066096880875</v>
      </c>
      <c r="T10" s="22">
        <f>'[1]Dia 19 (b)'!$V16</f>
        <v>18.83263177623753</v>
      </c>
      <c r="U10" s="22">
        <f>'[1]Dia 20 (b)'!$V16</f>
        <v>19.134251406275986</v>
      </c>
      <c r="V10" s="22">
        <f>'[1]Dia 21 (b)'!$V16</f>
        <v>19.861799351134295</v>
      </c>
      <c r="W10" s="22">
        <f>'[1]Dia 22 (b)'!$V16</f>
        <v>18.819761813031636</v>
      </c>
      <c r="X10" s="22">
        <f>'[1]Dia 23 (b)'!$V16</f>
        <v>17.110431309592556</v>
      </c>
      <c r="Y10" s="22">
        <f>'[1]Dia 24 (b)'!$V16</f>
        <v>15.82507233513144</v>
      </c>
      <c r="Z10" s="22">
        <f>'[1]Dia 25 (b)'!$V16</f>
        <v>16.749461364361764</v>
      </c>
      <c r="AA10" s="22">
        <f>'[1]Dia 26 (b)'!$V16</f>
        <v>15.410608753640966</v>
      </c>
      <c r="AB10" s="22">
        <f>'[1]Dia 27 (b)'!$V16</f>
        <v>17.810100765926464</v>
      </c>
      <c r="AC10" s="22">
        <f>'[1]Dia 28 (b)'!$V16</f>
        <v>18.167306597912404</v>
      </c>
      <c r="AD10" s="22">
        <f>'[1]Dia 29 (b)'!$V16</f>
        <v>17.356875286506636</v>
      </c>
      <c r="AE10" s="22">
        <f>'[1]Dia 30 (b)'!$V16</f>
        <v>19.439691213955779</v>
      </c>
      <c r="AF10" s="23">
        <f>'[1]Dia 31 (b)'!$V16</f>
        <v>19.189538932944796</v>
      </c>
      <c r="AG10" s="19"/>
      <c r="AH10" s="20"/>
      <c r="AI10" s="21"/>
    </row>
    <row r="11" spans="1:35" ht="15.75">
      <c r="A11" s="16">
        <v>8</v>
      </c>
      <c r="B11" s="22">
        <f>'[1]Dia 1 (b)'!$V17</f>
        <v>16.190127103439398</v>
      </c>
      <c r="C11" s="22">
        <f>'[1]Dia 2 (b)'!$V17</f>
        <v>16.639889283611531</v>
      </c>
      <c r="D11" s="22">
        <f>'[1]Dia 3 (b)'!$V17</f>
        <v>19.669263041071982</v>
      </c>
      <c r="E11" s="22">
        <f>'[1]Dia 4 (b)'!$V17</f>
        <v>19.701239059338597</v>
      </c>
      <c r="F11" s="22">
        <f>'[1]Dia 5 (b)'!$V17</f>
        <v>18.776959582044082</v>
      </c>
      <c r="G11" s="22">
        <f>'[1]Dia 6 (b)'!$V17</f>
        <v>17.574427213438224</v>
      </c>
      <c r="H11" s="22">
        <f>'[1]Dia 7 (b)'!$V17</f>
        <v>18.485878327216845</v>
      </c>
      <c r="I11" s="22">
        <f>'[1]Dia 8 (b)'!$V17</f>
        <v>19.475788368211177</v>
      </c>
      <c r="J11" s="22">
        <f>'[1]Dia 9 (b)'!$V17</f>
        <v>19.555434621529905</v>
      </c>
      <c r="K11" s="22">
        <f>'[1]Dia 10 (b)'!$V17</f>
        <v>20.020309924542076</v>
      </c>
      <c r="L11" s="22">
        <f>'[1]Dia 11 (b)'!$V17</f>
        <v>21.350566760173439</v>
      </c>
      <c r="M11" s="22">
        <f>'[1]Dia 12 (b)'!$V17</f>
        <v>21.007657793858236</v>
      </c>
      <c r="N11" s="22">
        <f>'[1]Dia 13 (b)'!$V17</f>
        <v>20.089831907121035</v>
      </c>
      <c r="O11" s="22">
        <f>'[1]Dia 14 (b)'!$V17</f>
        <v>17.053043742701121</v>
      </c>
      <c r="P11" s="22">
        <f>'[1]Dia 15 (b)'!$V17</f>
        <v>20.645217785274262</v>
      </c>
      <c r="Q11" s="22">
        <f>'[1]Dia 16 (b)'!$V17</f>
        <v>20.195364421469126</v>
      </c>
      <c r="R11" s="22">
        <f>'[1]Dia 17 (b)'!$V17</f>
        <v>20.861443307286805</v>
      </c>
      <c r="S11" s="22">
        <f>'[1]Dia 18 (b)'!$V17</f>
        <v>21.443467129187571</v>
      </c>
      <c r="T11" s="22">
        <f>'[1]Dia 19 (b)'!$V17</f>
        <v>18.250280758751309</v>
      </c>
      <c r="U11" s="22">
        <f>'[1]Dia 20 (b)'!$V17</f>
        <v>19.440435736899708</v>
      </c>
      <c r="V11" s="22">
        <f>'[1]Dia 21 (b)'!$V17</f>
        <v>19.446900650516657</v>
      </c>
      <c r="W11" s="22">
        <f>'[1]Dia 22 (b)'!$V17</f>
        <v>18.774350496272632</v>
      </c>
      <c r="X11" s="22">
        <f>'[1]Dia 23 (b)'!$V17</f>
        <v>17.413696550010691</v>
      </c>
      <c r="Y11" s="22">
        <f>'[1]Dia 24 (b)'!$V17</f>
        <v>16.342382304973782</v>
      </c>
      <c r="Z11" s="22">
        <f>'[1]Dia 25 (b)'!$V17</f>
        <v>16.956153665799505</v>
      </c>
      <c r="AA11" s="22">
        <f>'[1]Dia 26 (b)'!$V17</f>
        <v>15.929586423108876</v>
      </c>
      <c r="AB11" s="22">
        <f>'[1]Dia 27 (b)'!$V17</f>
        <v>17.876739911566951</v>
      </c>
      <c r="AC11" s="22">
        <f>'[1]Dia 28 (b)'!$V17</f>
        <v>17.891769388126804</v>
      </c>
      <c r="AD11" s="22">
        <f>'[1]Dia 29 (b)'!$V17</f>
        <v>16.95578308183833</v>
      </c>
      <c r="AE11" s="22">
        <f>'[1]Dia 30 (b)'!$V17</f>
        <v>18.476262589212663</v>
      </c>
      <c r="AF11" s="23">
        <f>'[1]Dia 31 (b)'!$V17</f>
        <v>19.038218238346612</v>
      </c>
      <c r="AG11" s="19"/>
      <c r="AH11" s="20"/>
      <c r="AI11" s="21"/>
    </row>
    <row r="12" spans="1:35" ht="15.75">
      <c r="A12" s="16">
        <v>9</v>
      </c>
      <c r="B12" s="22">
        <f>'[1]Dia 1 (b)'!$V18</f>
        <v>15.766296495432282</v>
      </c>
      <c r="C12" s="22">
        <f>'[1]Dia 2 (b)'!$V18</f>
        <v>16.944915426414365</v>
      </c>
      <c r="D12" s="22">
        <f>'[1]Dia 3 (b)'!$V18</f>
        <v>19.625853622773874</v>
      </c>
      <c r="E12" s="22">
        <f>'[1]Dia 4 (b)'!$V18</f>
        <v>20.023076243506559</v>
      </c>
      <c r="F12" s="22">
        <f>'[1]Dia 5 (b)'!$V18</f>
        <v>19.176296674164213</v>
      </c>
      <c r="G12" s="22">
        <f>'[1]Dia 6 (b)'!$V18</f>
        <v>18.604086341359519</v>
      </c>
      <c r="H12" s="22">
        <f>'[1]Dia 7 (b)'!$V18</f>
        <v>18.328897409016378</v>
      </c>
      <c r="I12" s="22">
        <f>'[1]Dia 8 (b)'!$V18</f>
        <v>18.886855034431907</v>
      </c>
      <c r="J12" s="22">
        <f>'[1]Dia 9 (b)'!$V18</f>
        <v>19.828460742483632</v>
      </c>
      <c r="K12" s="22">
        <f>'[1]Dia 10 (b)'!$V18</f>
        <v>19.815034195844209</v>
      </c>
      <c r="L12" s="22">
        <f>'[1]Dia 11 (b)'!$V18</f>
        <v>20.712744851410132</v>
      </c>
      <c r="M12" s="22">
        <f>'[1]Dia 12 (b)'!$V18</f>
        <v>20.697284758870232</v>
      </c>
      <c r="N12" s="22">
        <f>'[1]Dia 13 (b)'!$V18</f>
        <v>20.309592603477366</v>
      </c>
      <c r="O12" s="22">
        <f>'[1]Dia 14 (b)'!$V18</f>
        <v>17.614530955274446</v>
      </c>
      <c r="P12" s="22">
        <f>'[1]Dia 15 (b)'!$V18</f>
        <v>21.234150095348042</v>
      </c>
      <c r="Q12" s="22">
        <f>'[1]Dia 16 (b)'!$V18</f>
        <v>20.021361999450829</v>
      </c>
      <c r="R12" s="22">
        <f>'[1]Dia 17 (b)'!$V18</f>
        <v>21.316749499280455</v>
      </c>
      <c r="S12" s="22">
        <f>'[1]Dia 18 (b)'!$V18</f>
        <v>21.392960581979164</v>
      </c>
      <c r="T12" s="22">
        <f>'[1]Dia 19 (b)'!$V18</f>
        <v>18.196655492394431</v>
      </c>
      <c r="U12" s="22">
        <f>'[1]Dia 20 (b)'!$V18</f>
        <v>19.478581687200819</v>
      </c>
      <c r="V12" s="22">
        <f>'[1]Dia 21 (b)'!$V18</f>
        <v>19.733152515065274</v>
      </c>
      <c r="W12" s="22">
        <f>'[1]Dia 22 (b)'!$V18</f>
        <v>19.454253181178512</v>
      </c>
      <c r="X12" s="22">
        <f>'[1]Dia 23 (b)'!$V18</f>
        <v>17.815547865923936</v>
      </c>
      <c r="Y12" s="22">
        <f>'[1]Dia 24 (b)'!$V18</f>
        <v>16.25323463659462</v>
      </c>
      <c r="Z12" s="22">
        <f>'[1]Dia 25 (b)'!$V18</f>
        <v>17.673019900722256</v>
      </c>
      <c r="AA12" s="22">
        <f>'[1]Dia 26 (b)'!$V18</f>
        <v>16.39061998967793</v>
      </c>
      <c r="AB12" s="22">
        <f>'[1]Dia 27 (b)'!$V18</f>
        <v>17.852654240443858</v>
      </c>
      <c r="AC12" s="22">
        <f>'[1]Dia 28 (b)'!$V18</f>
        <v>17.678996324911832</v>
      </c>
      <c r="AD12" s="22">
        <f>'[1]Dia 29 (b)'!$V18</f>
        <v>16.750470342214474</v>
      </c>
      <c r="AE12" s="22">
        <f>'[1]Dia 30 (b)'!$V18</f>
        <v>16.520348957067178</v>
      </c>
      <c r="AF12" s="23">
        <f>'[1]Dia 31 (b)'!$V18</f>
        <v>18.740576328998952</v>
      </c>
      <c r="AG12" s="19"/>
      <c r="AH12" s="20"/>
      <c r="AI12" s="21"/>
    </row>
    <row r="13" spans="1:35" ht="15.75">
      <c r="A13" s="16">
        <v>10</v>
      </c>
      <c r="B13" s="22">
        <f>'[1]Dia 1 (b)'!$V19</f>
        <v>16.16438596880052</v>
      </c>
      <c r="C13" s="22">
        <f>'[1]Dia 2 (b)'!$V19</f>
        <v>16.969397353024188</v>
      </c>
      <c r="D13" s="22">
        <f>'[1]Dia 3 (b)'!$V19</f>
        <v>19.50269262748095</v>
      </c>
      <c r="E13" s="22">
        <f>'[1]Dia 4 (b)'!$V19</f>
        <v>20.347989153902692</v>
      </c>
      <c r="F13" s="22">
        <f>'[1]Dia 5 (b)'!$V19</f>
        <v>18.986431930663553</v>
      </c>
      <c r="G13" s="22">
        <f>'[1]Dia 6 (b)'!$V19</f>
        <v>17.936507902174014</v>
      </c>
      <c r="H13" s="22">
        <f>'[1]Dia 7 (b)'!$V19</f>
        <v>18.115632705704169</v>
      </c>
      <c r="I13" s="22">
        <f>'[1]Dia 8 (b)'!$V19</f>
        <v>17.812013934913384</v>
      </c>
      <c r="J13" s="22">
        <f>'[1]Dia 9 (b)'!$V19</f>
        <v>19.007360588849348</v>
      </c>
      <c r="K13" s="22">
        <f>'[1]Dia 10 (b)'!$V19</f>
        <v>18.980817659141767</v>
      </c>
      <c r="L13" s="22">
        <f>'[1]Dia 11 (b)'!$V19</f>
        <v>20.199791542532996</v>
      </c>
      <c r="M13" s="22">
        <f>'[1]Dia 12 (b)'!$V19</f>
        <v>20.513323930865106</v>
      </c>
      <c r="N13" s="22">
        <f>'[1]Dia 13 (b)'!$V19</f>
        <v>19.39490398721405</v>
      </c>
      <c r="O13" s="22">
        <f>'[1]Dia 14 (b)'!$V19</f>
        <v>18.416543223443732</v>
      </c>
      <c r="P13" s="22">
        <f>'[1]Dia 15 (b)'!$V19</f>
        <v>20.668648387366048</v>
      </c>
      <c r="Q13" s="22">
        <f>'[1]Dia 16 (b)'!$V19</f>
        <v>19.47607854645549</v>
      </c>
      <c r="R13" s="22">
        <f>'[1]Dia 17 (b)'!$V19</f>
        <v>20.259899953654845</v>
      </c>
      <c r="S13" s="22">
        <f>'[1]Dia 18 (b)'!$V19</f>
        <v>20.890098373196103</v>
      </c>
      <c r="T13" s="22">
        <f>'[1]Dia 19 (b)'!$V19</f>
        <v>19.140167160047955</v>
      </c>
      <c r="U13" s="22">
        <f>'[1]Dia 20 (b)'!$V19</f>
        <v>20.510960488280322</v>
      </c>
      <c r="V13" s="22">
        <f>'[1]Dia 21 (b)'!$V19</f>
        <v>19.256938768708174</v>
      </c>
      <c r="W13" s="22">
        <f>'[1]Dia 22 (b)'!$V19</f>
        <v>18.355434143975636</v>
      </c>
      <c r="X13" s="22">
        <f>'[1]Dia 23 (b)'!$V19</f>
        <v>18.120053945362223</v>
      </c>
      <c r="Y13" s="22">
        <f>'[1]Dia 24 (b)'!$V19</f>
        <v>16.413091094430193</v>
      </c>
      <c r="Z13" s="22">
        <f>'[1]Dia 25 (b)'!$V19</f>
        <v>19.002166752565213</v>
      </c>
      <c r="AA13" s="22">
        <f>'[1]Dia 26 (b)'!$V19</f>
        <v>16.759135303320729</v>
      </c>
      <c r="AB13" s="22">
        <f>'[1]Dia 27 (b)'!$V19</f>
        <v>17.823477864842104</v>
      </c>
      <c r="AC13" s="22">
        <f>'[1]Dia 28 (b)'!$V19</f>
        <v>18.009313690271803</v>
      </c>
      <c r="AD13" s="22">
        <f>'[1]Dia 29 (b)'!$V19</f>
        <v>16.721667273720769</v>
      </c>
      <c r="AE13" s="22">
        <f>'[1]Dia 30 (b)'!$V19</f>
        <v>15.51728582721103</v>
      </c>
      <c r="AF13" s="23">
        <f>'[1]Dia 31 (b)'!$V19</f>
        <v>18.459285580187306</v>
      </c>
      <c r="AG13" s="19"/>
      <c r="AH13" s="20"/>
      <c r="AI13" s="21"/>
    </row>
    <row r="14" spans="1:35" ht="15.75">
      <c r="A14" s="16">
        <v>11</v>
      </c>
      <c r="B14" s="22">
        <f>'[1]Dia 1 (b)'!$V20</f>
        <v>16.921225440574023</v>
      </c>
      <c r="C14" s="22">
        <f>'[1]Dia 2 (b)'!$V20</f>
        <v>16.919985921793714</v>
      </c>
      <c r="D14" s="22">
        <f>'[1]Dia 3 (b)'!$V20</f>
        <v>19.247425361953784</v>
      </c>
      <c r="E14" s="22">
        <f>'[1]Dia 4 (b)'!$V20</f>
        <v>20.179349132535023</v>
      </c>
      <c r="F14" s="22">
        <f>'[1]Dia 5 (b)'!$V20</f>
        <v>19.098785757045786</v>
      </c>
      <c r="G14" s="22">
        <f>'[1]Dia 6 (b)'!$V20</f>
        <v>18.009263045783044</v>
      </c>
      <c r="H14" s="22">
        <f>'[1]Dia 7 (b)'!$V20</f>
        <v>18.848367802220505</v>
      </c>
      <c r="I14" s="22">
        <f>'[1]Dia 8 (b)'!$V20</f>
        <v>18.680844807738985</v>
      </c>
      <c r="J14" s="22">
        <f>'[1]Dia 9 (b)'!$V20</f>
        <v>20.595526688940893</v>
      </c>
      <c r="K14" s="22">
        <f>'[1]Dia 10 (b)'!$V20</f>
        <v>18.768657979574201</v>
      </c>
      <c r="L14" s="22">
        <f>'[1]Dia 11 (b)'!$V20</f>
        <v>20.241574221957826</v>
      </c>
      <c r="M14" s="22">
        <f>'[1]Dia 12 (b)'!$V20</f>
        <v>20.656994901433404</v>
      </c>
      <c r="N14" s="22">
        <f>'[1]Dia 13 (b)'!$V20</f>
        <v>18.683738290890265</v>
      </c>
      <c r="O14" s="22">
        <f>'[1]Dia 14 (b)'!$V20</f>
        <v>18.660525475868475</v>
      </c>
      <c r="P14" s="22">
        <f>'[1]Dia 15 (b)'!$V20</f>
        <v>19.666801585129409</v>
      </c>
      <c r="Q14" s="22">
        <f>'[1]Dia 16 (b)'!$V20</f>
        <v>19.051587031990561</v>
      </c>
      <c r="R14" s="22">
        <f>'[1]Dia 17 (b)'!$V20</f>
        <v>20.469538721983461</v>
      </c>
      <c r="S14" s="22">
        <f>'[1]Dia 18 (b)'!$V20</f>
        <v>20.797426215547624</v>
      </c>
      <c r="T14" s="22">
        <f>'[1]Dia 19 (b)'!$V20</f>
        <v>19.25572740951181</v>
      </c>
      <c r="U14" s="22">
        <f>'[1]Dia 20 (b)'!$V20</f>
        <v>21.042524160176246</v>
      </c>
      <c r="V14" s="22">
        <f>'[1]Dia 21 (b)'!$V20</f>
        <v>20.325603721126292</v>
      </c>
      <c r="W14" s="22">
        <f>'[1]Dia 22 (b)'!$V20</f>
        <v>18.201412163020215</v>
      </c>
      <c r="X14" s="22">
        <f>'[1]Dia 23 (b)'!$V20</f>
        <v>17.713831714195607</v>
      </c>
      <c r="Y14" s="22">
        <f>'[1]Dia 24 (b)'!$V20</f>
        <v>16.801261708261531</v>
      </c>
      <c r="Z14" s="22">
        <f>'[1]Dia 25 (b)'!$V20</f>
        <v>17.061776740022641</v>
      </c>
      <c r="AA14" s="22">
        <f>'[1]Dia 26 (b)'!$V20</f>
        <v>16.340235460581003</v>
      </c>
      <c r="AB14" s="22">
        <f>'[1]Dia 27 (b)'!$V20</f>
        <v>18.163727526111078</v>
      </c>
      <c r="AC14" s="22">
        <f>'[1]Dia 28 (b)'!$V20</f>
        <v>16.646291725134102</v>
      </c>
      <c r="AD14" s="22">
        <f>'[1]Dia 29 (b)'!$V20</f>
        <v>16.276387550810437</v>
      </c>
      <c r="AE14" s="22">
        <f>'[1]Dia 30 (b)'!$V20</f>
        <v>13.46878928378927</v>
      </c>
      <c r="AF14" s="23">
        <f>'[1]Dia 31 (b)'!$V20</f>
        <v>17.447874291961256</v>
      </c>
      <c r="AG14" s="19"/>
      <c r="AH14" s="20"/>
      <c r="AI14" s="21"/>
    </row>
    <row r="15" spans="1:35" ht="15.75">
      <c r="A15" s="16">
        <v>12</v>
      </c>
      <c r="B15" s="22">
        <f>'[1]Dia 1 (b)'!$V21</f>
        <v>17.748493664792274</v>
      </c>
      <c r="C15" s="22">
        <f>'[1]Dia 2 (b)'!$V21</f>
        <v>18.467008206884476</v>
      </c>
      <c r="D15" s="22">
        <f>'[1]Dia 3 (b)'!$V21</f>
        <v>18.198874906057863</v>
      </c>
      <c r="E15" s="22">
        <f>'[1]Dia 4 (b)'!$V21</f>
        <v>21.206899369279832</v>
      </c>
      <c r="F15" s="22">
        <f>'[1]Dia 5 (b)'!$V21</f>
        <v>19.320641683893285</v>
      </c>
      <c r="G15" s="22">
        <f>'[1]Dia 6 (b)'!$V21</f>
        <v>19.629104784627014</v>
      </c>
      <c r="H15" s="22">
        <f>'[1]Dia 7 (b)'!$V21</f>
        <v>16.973553411345883</v>
      </c>
      <c r="I15" s="22">
        <f>'[1]Dia 8 (b)'!$V21</f>
        <v>18.097135250703914</v>
      </c>
      <c r="J15" s="22">
        <f>'[1]Dia 9 (b)'!$V21</f>
        <v>19.452421526544025</v>
      </c>
      <c r="K15" s="22">
        <f>'[1]Dia 10 (b)'!$V21</f>
        <v>17.797662569839236</v>
      </c>
      <c r="L15" s="22">
        <f>'[1]Dia 11 (b)'!$V21</f>
        <v>19.976190960809475</v>
      </c>
      <c r="M15" s="22">
        <f>'[1]Dia 12 (b)'!$V21</f>
        <v>20.324905076728541</v>
      </c>
      <c r="N15" s="22">
        <f>'[1]Dia 13 (b)'!$V21</f>
        <v>18.475852430042519</v>
      </c>
      <c r="O15" s="22">
        <f>'[1]Dia 14 (b)'!$V21</f>
        <v>18.968538400849688</v>
      </c>
      <c r="P15" s="22">
        <f>'[1]Dia 15 (b)'!$V21</f>
        <v>19.565019196795159</v>
      </c>
      <c r="Q15" s="22">
        <f>'[1]Dia 16 (b)'!$V21</f>
        <v>18.890784674695048</v>
      </c>
      <c r="R15" s="22">
        <f>'[1]Dia 17 (b)'!$V21</f>
        <v>20.388508654564568</v>
      </c>
      <c r="S15" s="22">
        <f>'[1]Dia 18 (b)'!$V21</f>
        <v>19.550200251435093</v>
      </c>
      <c r="T15" s="22">
        <f>'[1]Dia 19 (b)'!$V21</f>
        <v>18.737711005391269</v>
      </c>
      <c r="U15" s="22">
        <f>'[1]Dia 20 (b)'!$V21</f>
        <v>21.023422589068669</v>
      </c>
      <c r="V15" s="22">
        <f>'[1]Dia 21 (b)'!$V21</f>
        <v>19.756050564430975</v>
      </c>
      <c r="W15" s="22">
        <f>'[1]Dia 22 (b)'!$V21</f>
        <v>18.592302633579209</v>
      </c>
      <c r="X15" s="22">
        <f>'[1]Dia 23 (b)'!$V21</f>
        <v>18.120457552129494</v>
      </c>
      <c r="Y15" s="22">
        <f>'[1]Dia 24 (b)'!$V21</f>
        <v>17.413975076655053</v>
      </c>
      <c r="Z15" s="22">
        <f>'[1]Dia 25 (b)'!$V21</f>
        <v>16.83091088126368</v>
      </c>
      <c r="AA15" s="22">
        <f>'[1]Dia 26 (b)'!$V21</f>
        <v>16.580640462101908</v>
      </c>
      <c r="AB15" s="22">
        <f>'[1]Dia 27 (b)'!$V21</f>
        <v>17.793291313843476</v>
      </c>
      <c r="AC15" s="22">
        <f>'[1]Dia 28 (b)'!$V21</f>
        <v>17.356497595827996</v>
      </c>
      <c r="AD15" s="22">
        <f>'[1]Dia 29 (b)'!$V21</f>
        <v>16.209366291858121</v>
      </c>
      <c r="AE15" s="22">
        <f>'[1]Dia 30 (b)'!$V21</f>
        <v>13.919056440412403</v>
      </c>
      <c r="AF15" s="23">
        <f>'[1]Dia 31 (b)'!$V21</f>
        <v>18.456700978400015</v>
      </c>
      <c r="AG15" s="19"/>
      <c r="AH15" s="20"/>
      <c r="AI15" s="21"/>
    </row>
    <row r="16" spans="1:35" ht="15.75">
      <c r="A16" s="16">
        <v>13</v>
      </c>
      <c r="B16" s="22">
        <f>'[1]Dia 1 (b)'!$V22</f>
        <v>17.592094153472463</v>
      </c>
      <c r="C16" s="22">
        <f>'[1]Dia 2 (b)'!$V22</f>
        <v>18.854135260027459</v>
      </c>
      <c r="D16" s="22">
        <f>'[1]Dia 3 (b)'!$V22</f>
        <v>17.974202309872933</v>
      </c>
      <c r="E16" s="22">
        <f>'[1]Dia 4 (b)'!$V22</f>
        <v>20.514562678535885</v>
      </c>
      <c r="F16" s="22">
        <f>'[1]Dia 5 (b)'!$V22</f>
        <v>19.186678873175769</v>
      </c>
      <c r="G16" s="22">
        <f>'[1]Dia 6 (b)'!$V22</f>
        <v>19.58144735496581</v>
      </c>
      <c r="H16" s="22">
        <f>'[1]Dia 7 (b)'!$V22</f>
        <v>15.92717648148318</v>
      </c>
      <c r="I16" s="22">
        <f>'[1]Dia 8 (b)'!$V22</f>
        <v>17.910431663267214</v>
      </c>
      <c r="J16" s="22">
        <f>'[1]Dia 9 (b)'!$V22</f>
        <v>18.280584329747992</v>
      </c>
      <c r="K16" s="22">
        <f>'[1]Dia 10 (b)'!$V22</f>
        <v>17.128936093523411</v>
      </c>
      <c r="L16" s="22">
        <f>'[1]Dia 11 (b)'!$V22</f>
        <v>19.413053933787612</v>
      </c>
      <c r="M16" s="22">
        <f>'[1]Dia 12 (b)'!$V22</f>
        <v>20.381610379171374</v>
      </c>
      <c r="N16" s="22">
        <f>'[1]Dia 13 (b)'!$V22</f>
        <v>18.33703625243178</v>
      </c>
      <c r="O16" s="22">
        <f>'[1]Dia 14 (b)'!$V22</f>
        <v>18.251209470380431</v>
      </c>
      <c r="P16" s="22">
        <f>'[1]Dia 15 (b)'!$V22</f>
        <v>18.811612286259695</v>
      </c>
      <c r="Q16" s="22">
        <f>'[1]Dia 16 (b)'!$V22</f>
        <v>18.402326000958322</v>
      </c>
      <c r="R16" s="22">
        <f>'[1]Dia 17 (b)'!$V22</f>
        <v>19.174677999488175</v>
      </c>
      <c r="S16" s="22">
        <f>'[1]Dia 18 (b)'!$V22</f>
        <v>19.377782533170663</v>
      </c>
      <c r="T16" s="22">
        <f>'[1]Dia 19 (b)'!$V22</f>
        <v>20.231916886377736</v>
      </c>
      <c r="U16" s="22">
        <f>'[1]Dia 20 (b)'!$V22</f>
        <v>21.263033011816049</v>
      </c>
      <c r="V16" s="22">
        <f>'[1]Dia 21 (b)'!$V22</f>
        <v>20.384778164998323</v>
      </c>
      <c r="W16" s="22">
        <f>'[1]Dia 22 (b)'!$V22</f>
        <v>18.565150805363192</v>
      </c>
      <c r="X16" s="22">
        <f>'[1]Dia 23 (b)'!$V22</f>
        <v>18.136760223286299</v>
      </c>
      <c r="Y16" s="22">
        <f>'[1]Dia 24 (b)'!$V22</f>
        <v>17.414185911550579</v>
      </c>
      <c r="Z16" s="22">
        <f>'[1]Dia 25 (b)'!$V22</f>
        <v>16.148523352125896</v>
      </c>
      <c r="AA16" s="22">
        <f>'[1]Dia 26 (b)'!$V22</f>
        <v>17.773217758833162</v>
      </c>
      <c r="AB16" s="22">
        <f>'[1]Dia 27 (b)'!$V22</f>
        <v>18.393870051261882</v>
      </c>
      <c r="AC16" s="22">
        <f>'[1]Dia 28 (b)'!$V22</f>
        <v>17.891040590787995</v>
      </c>
      <c r="AD16" s="22">
        <f>'[1]Dia 29 (b)'!$V22</f>
        <v>16.605070071747605</v>
      </c>
      <c r="AE16" s="22">
        <f>'[1]Dia 30 (b)'!$V22</f>
        <v>11.654043342609862</v>
      </c>
      <c r="AF16" s="23">
        <f>'[1]Dia 31 (b)'!$V22</f>
        <v>20.541987650094473</v>
      </c>
      <c r="AG16" s="19"/>
      <c r="AH16" s="20"/>
      <c r="AI16" s="21"/>
    </row>
    <row r="17" spans="1:35" ht="15.75">
      <c r="A17" s="16">
        <v>14</v>
      </c>
      <c r="B17" s="22">
        <f>'[1]Dia 1 (b)'!$V23</f>
        <v>17.532261413457359</v>
      </c>
      <c r="C17" s="22">
        <f>'[1]Dia 2 (b)'!$V23</f>
        <v>19.189432755403853</v>
      </c>
      <c r="D17" s="22">
        <f>'[1]Dia 3 (b)'!$V23</f>
        <v>21.366900476143584</v>
      </c>
      <c r="E17" s="22">
        <f>'[1]Dia 4 (b)'!$V23</f>
        <v>20.922337363388294</v>
      </c>
      <c r="F17" s="22">
        <f>'[1]Dia 5 (b)'!$V23</f>
        <v>19.905592995602408</v>
      </c>
      <c r="G17" s="22">
        <f>'[1]Dia 6 (b)'!$V23</f>
        <v>18.851063893117423</v>
      </c>
      <c r="H17" s="22">
        <f>'[1]Dia 7 (b)'!$V23</f>
        <v>21.320991465925957</v>
      </c>
      <c r="I17" s="22">
        <f>'[1]Dia 8 (b)'!$V23</f>
        <v>18.431445537892934</v>
      </c>
      <c r="J17" s="22">
        <f>'[1]Dia 9 (b)'!$V23</f>
        <v>18.188198557396436</v>
      </c>
      <c r="K17" s="22">
        <f>'[1]Dia 10 (b)'!$V23</f>
        <v>16.730880970322367</v>
      </c>
      <c r="L17" s="22">
        <f>'[1]Dia 11 (b)'!$V23</f>
        <v>19.124547602151203</v>
      </c>
      <c r="M17" s="22">
        <f>'[1]Dia 12 (b)'!$V23</f>
        <v>22.69280098891489</v>
      </c>
      <c r="N17" s="22">
        <f>'[1]Dia 13 (b)'!$V23</f>
        <v>17.739956156699805</v>
      </c>
      <c r="O17" s="22">
        <f>'[1]Dia 14 (b)'!$V23</f>
        <v>18.522091708205217</v>
      </c>
      <c r="P17" s="22">
        <f>'[1]Dia 15 (b)'!$V23</f>
        <v>18.354859749269593</v>
      </c>
      <c r="Q17" s="22">
        <f>'[1]Dia 16 (b)'!$V23</f>
        <v>17.529762973308436</v>
      </c>
      <c r="R17" s="22">
        <f>'[1]Dia 17 (b)'!$V23</f>
        <v>18.851829680773797</v>
      </c>
      <c r="S17" s="22">
        <f>'[1]Dia 18 (b)'!$V23</f>
        <v>20.296055177655081</v>
      </c>
      <c r="T17" s="22">
        <f>'[1]Dia 19 (b)'!$V23</f>
        <v>20.181151258543302</v>
      </c>
      <c r="U17" s="22">
        <f>'[1]Dia 20 (b)'!$V23</f>
        <v>20.994955162876643</v>
      </c>
      <c r="V17" s="22">
        <f>'[1]Dia 21 (b)'!$V23</f>
        <v>21.316471687962569</v>
      </c>
      <c r="W17" s="22">
        <f>'[1]Dia 22 (b)'!$V23</f>
        <v>18.185614759922267</v>
      </c>
      <c r="X17" s="22">
        <f>'[1]Dia 23 (b)'!$V23</f>
        <v>17.206298015916225</v>
      </c>
      <c r="Y17" s="22">
        <f>'[1]Dia 24 (b)'!$V23</f>
        <v>17.680874472529631</v>
      </c>
      <c r="Z17" s="22">
        <f>'[1]Dia 25 (b)'!$V23</f>
        <v>17.11961405356362</v>
      </c>
      <c r="AA17" s="22">
        <f>'[1]Dia 26 (b)'!$V23</f>
        <v>16.319091246186911</v>
      </c>
      <c r="AB17" s="22">
        <f>'[1]Dia 27 (b)'!$V23</f>
        <v>18.127949978738656</v>
      </c>
      <c r="AC17" s="22">
        <f>'[1]Dia 28 (b)'!$V23</f>
        <v>17.271344599955363</v>
      </c>
      <c r="AD17" s="22">
        <f>'[1]Dia 29 (b)'!$V23</f>
        <v>14.773021544157833</v>
      </c>
      <c r="AE17" s="22">
        <f>'[1]Dia 30 (b)'!$V23</f>
        <v>11.832050819238329</v>
      </c>
      <c r="AF17" s="23">
        <f>'[1]Dia 31 (b)'!$V23</f>
        <v>21.099006038174643</v>
      </c>
      <c r="AG17" s="19"/>
      <c r="AH17" s="20"/>
      <c r="AI17" s="21"/>
    </row>
    <row r="18" spans="1:35" ht="15.75">
      <c r="A18" s="16">
        <v>15</v>
      </c>
      <c r="B18" s="22">
        <f>'[1]Dia 1 (b)'!$V24</f>
        <v>17.559628606668539</v>
      </c>
      <c r="C18" s="22">
        <f>'[1]Dia 2 (b)'!$V24</f>
        <v>18.593904148976716</v>
      </c>
      <c r="D18" s="22">
        <f>'[1]Dia 3 (b)'!$V24</f>
        <v>20.717919588633283</v>
      </c>
      <c r="E18" s="22">
        <f>'[1]Dia 4 (b)'!$V24</f>
        <v>19.928164671121536</v>
      </c>
      <c r="F18" s="22">
        <f>'[1]Dia 5 (b)'!$V24</f>
        <v>19.234549232952766</v>
      </c>
      <c r="G18" s="22">
        <f>'[1]Dia 6 (b)'!$V24</f>
        <v>18.874252728987869</v>
      </c>
      <c r="H18" s="22">
        <f>'[1]Dia 7 (b)'!$V24</f>
        <v>21.0920149777861</v>
      </c>
      <c r="I18" s="22">
        <f>'[1]Dia 8 (b)'!$V24</f>
        <v>17.72088149206752</v>
      </c>
      <c r="J18" s="22">
        <f>'[1]Dia 9 (b)'!$V24</f>
        <v>17.672304241581418</v>
      </c>
      <c r="K18" s="22">
        <f>'[1]Dia 10 (b)'!$V24</f>
        <v>15.89576436210932</v>
      </c>
      <c r="L18" s="22">
        <f>'[1]Dia 11 (b)'!$V24</f>
        <v>18.462581691587264</v>
      </c>
      <c r="M18" s="22">
        <f>'[1]Dia 12 (b)'!$V24</f>
        <v>22.055844487798677</v>
      </c>
      <c r="N18" s="22">
        <f>'[1]Dia 13 (b)'!$V24</f>
        <v>17.484401284872217</v>
      </c>
      <c r="O18" s="22">
        <f>'[1]Dia 14 (b)'!$V24</f>
        <v>20.558699972168174</v>
      </c>
      <c r="P18" s="22">
        <f>'[1]Dia 15 (b)'!$V24</f>
        <v>18.450855555585477</v>
      </c>
      <c r="Q18" s="22">
        <f>'[1]Dia 16 (b)'!$V24</f>
        <v>18.204561517552218</v>
      </c>
      <c r="R18" s="22">
        <f>'[1]Dia 17 (b)'!$V24</f>
        <v>22.861237891631024</v>
      </c>
      <c r="S18" s="22">
        <f>'[1]Dia 18 (b)'!$V24</f>
        <v>22.897744271909147</v>
      </c>
      <c r="T18" s="22">
        <f>'[1]Dia 19 (b)'!$V24</f>
        <v>20.666843524520143</v>
      </c>
      <c r="U18" s="22">
        <f>'[1]Dia 20 (b)'!$V24</f>
        <v>21.056008639974468</v>
      </c>
      <c r="V18" s="22">
        <f>'[1]Dia 21 (b)'!$V24</f>
        <v>20.984390587210235</v>
      </c>
      <c r="W18" s="22">
        <f>'[1]Dia 22 (b)'!$V24</f>
        <v>18.218747737850055</v>
      </c>
      <c r="X18" s="22">
        <f>'[1]Dia 23 (b)'!$V24</f>
        <v>16.442732936345568</v>
      </c>
      <c r="Y18" s="22">
        <f>'[1]Dia 24 (b)'!$V24</f>
        <v>17.668839459611256</v>
      </c>
      <c r="Z18" s="22">
        <f>'[1]Dia 25 (b)'!$V24</f>
        <v>16.707073399600237</v>
      </c>
      <c r="AA18" s="22">
        <f>'[1]Dia 26 (b)'!$V24</f>
        <v>16.152832059508203</v>
      </c>
      <c r="AB18" s="22">
        <f>'[1]Dia 27 (b)'!$V24</f>
        <v>19.032735814013463</v>
      </c>
      <c r="AC18" s="22">
        <f>'[1]Dia 28 (b)'!$V24</f>
        <v>16.365259459659523</v>
      </c>
      <c r="AD18" s="22">
        <f>'[1]Dia 29 (b)'!$V24</f>
        <v>13.123050501156618</v>
      </c>
      <c r="AE18" s="22">
        <f>'[1]Dia 30 (b)'!$V24</f>
        <v>11.951436725440239</v>
      </c>
      <c r="AF18" s="23">
        <f>'[1]Dia 31 (b)'!$V24</f>
        <v>15.603959644314637</v>
      </c>
      <c r="AG18" s="19"/>
      <c r="AH18" s="20"/>
      <c r="AI18" s="21"/>
    </row>
    <row r="19" spans="1:35" ht="15.75">
      <c r="A19" s="16">
        <v>16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8"/>
      <c r="AG19" s="19"/>
      <c r="AH19" s="20"/>
      <c r="AI19" s="21"/>
    </row>
    <row r="20" spans="1:35" ht="15.75">
      <c r="A20" s="16">
        <v>17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8"/>
      <c r="AG20" s="19"/>
      <c r="AH20" s="20"/>
      <c r="AI20" s="21"/>
    </row>
    <row r="21" spans="1:35" ht="15.75">
      <c r="A21" s="16">
        <v>18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8"/>
      <c r="AG21" s="19"/>
      <c r="AH21" s="20"/>
      <c r="AI21" s="21"/>
    </row>
    <row r="22" spans="1:35" ht="15.75">
      <c r="A22" s="16">
        <v>19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8"/>
      <c r="AG22" s="19"/>
      <c r="AH22" s="20"/>
      <c r="AI22" s="21"/>
    </row>
    <row r="23" spans="1:35" ht="15.75">
      <c r="A23" s="16">
        <v>20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8"/>
      <c r="AG23" s="19"/>
      <c r="AH23" s="20"/>
      <c r="AI23" s="21"/>
    </row>
    <row r="24" spans="1:35" ht="15.75">
      <c r="A24" s="16">
        <v>21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8"/>
      <c r="AG24" s="19"/>
      <c r="AH24" s="20"/>
      <c r="AI24" s="21"/>
    </row>
    <row r="25" spans="1:35" ht="15.75">
      <c r="A25" s="16">
        <v>22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8"/>
      <c r="AG25" s="19"/>
      <c r="AH25" s="20"/>
      <c r="AI25" s="21"/>
    </row>
    <row r="26" spans="1:35" ht="15.75">
      <c r="A26" s="16">
        <v>23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8"/>
      <c r="AG26" s="19"/>
      <c r="AH26" s="20"/>
      <c r="AI26" s="21"/>
    </row>
    <row r="27" spans="1:35" ht="16.5" thickBot="1">
      <c r="A27" s="16">
        <v>24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8"/>
      <c r="AG27" s="19"/>
      <c r="AH27" s="20"/>
      <c r="AI27" s="21"/>
    </row>
    <row r="28" spans="1:35" ht="16.5" thickTop="1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6"/>
      <c r="AG28" s="19"/>
      <c r="AH28" s="20"/>
      <c r="AI28" s="21"/>
    </row>
    <row r="29" spans="1:35" ht="15.75">
      <c r="A29" s="27"/>
      <c r="B29" s="28" t="s">
        <v>5</v>
      </c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30"/>
      <c r="AG29" s="19"/>
      <c r="AH29" s="20"/>
      <c r="AI29" s="21"/>
    </row>
    <row r="30" spans="1:35" ht="15.75">
      <c r="A30" s="31" t="s">
        <v>6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0"/>
    </row>
    <row r="31" spans="1:35" ht="15.75">
      <c r="A31" s="31" t="s">
        <v>7</v>
      </c>
      <c r="B31" s="33">
        <f>AVERAGE(B4:B27)</f>
        <v>16.786176543981885</v>
      </c>
      <c r="C31" s="33">
        <f t="shared" ref="C31:AF31" si="0">AVERAGE(C4:C27)</f>
        <v>17.693543695693368</v>
      </c>
      <c r="D31" s="33">
        <f t="shared" si="0"/>
        <v>19.516286904231844</v>
      </c>
      <c r="E31" s="33">
        <f t="shared" si="0"/>
        <v>20.224083299948738</v>
      </c>
      <c r="F31" s="33">
        <f t="shared" si="0"/>
        <v>19.174870496836867</v>
      </c>
      <c r="G31" s="33">
        <f t="shared" si="0"/>
        <v>18.584743612536496</v>
      </c>
      <c r="H31" s="33">
        <f t="shared" si="0"/>
        <v>18.585445540798275</v>
      </c>
      <c r="I31" s="33">
        <f t="shared" si="0"/>
        <v>18.588842942362035</v>
      </c>
      <c r="J31" s="33">
        <f t="shared" si="0"/>
        <v>19.250558811597465</v>
      </c>
      <c r="K31" s="33">
        <f t="shared" si="0"/>
        <v>18.41226056783961</v>
      </c>
      <c r="L31" s="33">
        <f t="shared" si="0"/>
        <v>20.031007670190881</v>
      </c>
      <c r="M31" s="33">
        <f t="shared" si="0"/>
        <v>21.032622103610045</v>
      </c>
      <c r="N31" s="33">
        <f t="shared" si="0"/>
        <v>18.899938329590046</v>
      </c>
      <c r="O31" s="33">
        <f t="shared" si="0"/>
        <v>18.339405008726771</v>
      </c>
      <c r="P31" s="33">
        <f>AVERAGE(P4:P27)</f>
        <v>19.917103628654122</v>
      </c>
      <c r="Q31" s="33">
        <f t="shared" si="0"/>
        <v>19.148279704430298</v>
      </c>
      <c r="R31" s="33">
        <f t="shared" si="0"/>
        <v>20.666275510122475</v>
      </c>
      <c r="S31" s="33">
        <f t="shared" si="0"/>
        <v>20.886311181217923</v>
      </c>
      <c r="T31" s="33">
        <f t="shared" si="0"/>
        <v>19.277009474641723</v>
      </c>
      <c r="U31" s="33">
        <f t="shared" si="0"/>
        <v>20.438241431396545</v>
      </c>
      <c r="V31" s="33">
        <f t="shared" si="0"/>
        <v>20.118454001239201</v>
      </c>
      <c r="W31" s="33">
        <f t="shared" si="0"/>
        <v>18.574114192688153</v>
      </c>
      <c r="X31" s="33">
        <f t="shared" si="0"/>
        <v>17.564423345862512</v>
      </c>
      <c r="Y31" s="33">
        <f t="shared" si="0"/>
        <v>16.868101888859787</v>
      </c>
      <c r="Z31" s="33">
        <f t="shared" si="0"/>
        <v>17.138744456669421</v>
      </c>
      <c r="AA31" s="33">
        <f t="shared" si="0"/>
        <v>16.406218606328853</v>
      </c>
      <c r="AB31" s="33">
        <f t="shared" si="0"/>
        <v>18.097171940749767</v>
      </c>
      <c r="AC31" s="33">
        <f t="shared" si="0"/>
        <v>17.475313330287534</v>
      </c>
      <c r="AD31" s="33">
        <f t="shared" si="0"/>
        <v>16.085743549334538</v>
      </c>
      <c r="AE31" s="33">
        <f t="shared" si="0"/>
        <v>14.753218355437419</v>
      </c>
      <c r="AF31" s="34">
        <f t="shared" si="0"/>
        <v>18.730794187046968</v>
      </c>
    </row>
    <row r="32" spans="1:35" ht="15">
      <c r="A32" s="35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7"/>
    </row>
    <row r="33" spans="1:32" ht="15">
      <c r="A33" s="35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7"/>
    </row>
    <row r="34" spans="1:32" ht="15.75">
      <c r="A34" s="31" t="s">
        <v>8</v>
      </c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7"/>
    </row>
    <row r="35" spans="1:32" ht="15.75">
      <c r="A35" s="31" t="s">
        <v>7</v>
      </c>
      <c r="B35" s="33">
        <f>MAX(B4:B27)</f>
        <v>17.748493664792274</v>
      </c>
      <c r="C35" s="33">
        <f t="shared" ref="C35:AF35" si="1">MAX(C4:C27)</f>
        <v>19.189432755403853</v>
      </c>
      <c r="D35" s="33">
        <f t="shared" si="1"/>
        <v>21.366900476143584</v>
      </c>
      <c r="E35" s="33">
        <f t="shared" si="1"/>
        <v>21.206899369279832</v>
      </c>
      <c r="F35" s="33">
        <f t="shared" si="1"/>
        <v>19.905592995602408</v>
      </c>
      <c r="G35" s="33">
        <f t="shared" si="1"/>
        <v>19.629104784627014</v>
      </c>
      <c r="H35" s="33">
        <f t="shared" si="1"/>
        <v>21.320991465925957</v>
      </c>
      <c r="I35" s="33">
        <f t="shared" si="1"/>
        <v>20.284190392031331</v>
      </c>
      <c r="J35" s="33">
        <f t="shared" si="1"/>
        <v>20.674738007303525</v>
      </c>
      <c r="K35" s="33">
        <f t="shared" si="1"/>
        <v>20.5722813556599</v>
      </c>
      <c r="L35" s="33">
        <f t="shared" si="1"/>
        <v>21.350566760173439</v>
      </c>
      <c r="M35" s="33">
        <f t="shared" si="1"/>
        <v>22.69280098891489</v>
      </c>
      <c r="N35" s="33">
        <f t="shared" si="1"/>
        <v>20.309592603477366</v>
      </c>
      <c r="O35" s="33">
        <f t="shared" si="1"/>
        <v>20.558699972168174</v>
      </c>
      <c r="P35" s="33">
        <f t="shared" si="1"/>
        <v>21.85676801685943</v>
      </c>
      <c r="Q35" s="33">
        <f t="shared" si="1"/>
        <v>20.562690173992685</v>
      </c>
      <c r="R35" s="33">
        <f t="shared" si="1"/>
        <v>22.861237891631024</v>
      </c>
      <c r="S35" s="33">
        <f t="shared" si="1"/>
        <v>22.897744271909147</v>
      </c>
      <c r="T35" s="33">
        <f t="shared" si="1"/>
        <v>20.666843524520143</v>
      </c>
      <c r="U35" s="33">
        <f t="shared" si="1"/>
        <v>21.263033011816049</v>
      </c>
      <c r="V35" s="33">
        <f t="shared" si="1"/>
        <v>21.316471687962569</v>
      </c>
      <c r="W35" s="33">
        <f t="shared" si="1"/>
        <v>19.454253181178512</v>
      </c>
      <c r="X35" s="33">
        <f t="shared" si="1"/>
        <v>18.136760223286299</v>
      </c>
      <c r="Y35" s="33">
        <f t="shared" si="1"/>
        <v>17.680874472529631</v>
      </c>
      <c r="Z35" s="33">
        <f t="shared" si="1"/>
        <v>19.002166752565213</v>
      </c>
      <c r="AA35" s="33">
        <f t="shared" si="1"/>
        <v>17.773217758833162</v>
      </c>
      <c r="AB35" s="33">
        <f t="shared" si="1"/>
        <v>19.032735814013463</v>
      </c>
      <c r="AC35" s="33">
        <f t="shared" si="1"/>
        <v>18.167306597912404</v>
      </c>
      <c r="AD35" s="33">
        <f t="shared" si="1"/>
        <v>17.356875286506636</v>
      </c>
      <c r="AE35" s="33">
        <f t="shared" si="1"/>
        <v>19.439691213955779</v>
      </c>
      <c r="AF35" s="34">
        <f t="shared" si="1"/>
        <v>21.099006038174643</v>
      </c>
    </row>
    <row r="36" spans="1:32" ht="15">
      <c r="A36" s="35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7"/>
    </row>
    <row r="37" spans="1:32" ht="15">
      <c r="A37" s="35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7"/>
    </row>
    <row r="38" spans="1:32" ht="15.75">
      <c r="A38" s="31" t="s">
        <v>9</v>
      </c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7"/>
    </row>
    <row r="39" spans="1:32" ht="15.75">
      <c r="A39" s="31" t="s">
        <v>7</v>
      </c>
      <c r="B39" s="33">
        <f>MIN(B4:B27)</f>
        <v>15.601076049200131</v>
      </c>
      <c r="C39" s="33">
        <f t="shared" ref="C39:AF39" si="2">MIN(C4:C27)</f>
        <v>16.639889283611531</v>
      </c>
      <c r="D39" s="33">
        <f t="shared" si="2"/>
        <v>17.974202309872933</v>
      </c>
      <c r="E39" s="33">
        <f t="shared" si="2"/>
        <v>19.193132027930194</v>
      </c>
      <c r="F39" s="33">
        <f t="shared" si="2"/>
        <v>18.776959582044082</v>
      </c>
      <c r="G39" s="33">
        <f t="shared" si="2"/>
        <v>17.574427213438224</v>
      </c>
      <c r="H39" s="33">
        <f t="shared" si="2"/>
        <v>15.92717648148318</v>
      </c>
      <c r="I39" s="33">
        <f t="shared" si="2"/>
        <v>17.72088149206752</v>
      </c>
      <c r="J39" s="33">
        <f t="shared" si="2"/>
        <v>17.672304241581418</v>
      </c>
      <c r="K39" s="33">
        <f t="shared" si="2"/>
        <v>15.89576436210932</v>
      </c>
      <c r="L39" s="33">
        <f t="shared" si="2"/>
        <v>18.462581691587264</v>
      </c>
      <c r="M39" s="33">
        <f t="shared" si="2"/>
        <v>20.324905076728541</v>
      </c>
      <c r="N39" s="33">
        <f t="shared" si="2"/>
        <v>17.484401284872217</v>
      </c>
      <c r="O39" s="33">
        <f t="shared" si="2"/>
        <v>17.009462129649645</v>
      </c>
      <c r="P39" s="33">
        <f>MIN(P4:P27)</f>
        <v>18.354859749269593</v>
      </c>
      <c r="Q39" s="33">
        <f t="shared" si="2"/>
        <v>17.529762973308436</v>
      </c>
      <c r="R39" s="33">
        <f t="shared" si="2"/>
        <v>18.851829680773797</v>
      </c>
      <c r="S39" s="33">
        <f t="shared" si="2"/>
        <v>19.377782533170663</v>
      </c>
      <c r="T39" s="33">
        <f t="shared" si="2"/>
        <v>18.196655492394431</v>
      </c>
      <c r="U39" s="33">
        <f t="shared" si="2"/>
        <v>19.134251406275986</v>
      </c>
      <c r="V39" s="33">
        <f t="shared" si="2"/>
        <v>19.256938768708174</v>
      </c>
      <c r="W39" s="33">
        <f t="shared" si="2"/>
        <v>18.185614759922267</v>
      </c>
      <c r="X39" s="33">
        <f t="shared" si="2"/>
        <v>16.442732936345568</v>
      </c>
      <c r="Y39" s="33">
        <f t="shared" si="2"/>
        <v>15.82507233513144</v>
      </c>
      <c r="Z39" s="33">
        <f t="shared" si="2"/>
        <v>16.148523352125896</v>
      </c>
      <c r="AA39" s="33">
        <f t="shared" si="2"/>
        <v>15.410608753640966</v>
      </c>
      <c r="AB39" s="33">
        <f t="shared" si="2"/>
        <v>17.793291313843476</v>
      </c>
      <c r="AC39" s="33">
        <f t="shared" si="2"/>
        <v>16.365259459659523</v>
      </c>
      <c r="AD39" s="33">
        <f t="shared" si="2"/>
        <v>13.123050501156618</v>
      </c>
      <c r="AE39" s="33">
        <f t="shared" si="2"/>
        <v>11.654043342609862</v>
      </c>
      <c r="AF39" s="34">
        <f t="shared" si="2"/>
        <v>15.603959644314637</v>
      </c>
    </row>
    <row r="40" spans="1:32" ht="15">
      <c r="A40" s="35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38"/>
    </row>
    <row r="41" spans="1:32" ht="15">
      <c r="A41" s="35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38"/>
    </row>
    <row r="42" spans="1:32" ht="15.75">
      <c r="A42" s="31" t="s">
        <v>10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38"/>
    </row>
    <row r="43" spans="1:32" ht="15.75">
      <c r="A43" s="31" t="s">
        <v>7</v>
      </c>
      <c r="B43" s="39">
        <f>B35-B39</f>
        <v>2.1474176155921434</v>
      </c>
      <c r="C43" s="39">
        <f t="shared" ref="C43:AF43" si="3">C35-C39</f>
        <v>2.5495434717923224</v>
      </c>
      <c r="D43" s="39">
        <f t="shared" si="3"/>
        <v>3.3926981662706517</v>
      </c>
      <c r="E43" s="39">
        <f t="shared" si="3"/>
        <v>2.013767341349638</v>
      </c>
      <c r="F43" s="39">
        <f t="shared" si="3"/>
        <v>1.128633413558326</v>
      </c>
      <c r="G43" s="39">
        <f t="shared" si="3"/>
        <v>2.0546775711887904</v>
      </c>
      <c r="H43" s="39">
        <f t="shared" si="3"/>
        <v>5.393814984442777</v>
      </c>
      <c r="I43" s="39">
        <f t="shared" si="3"/>
        <v>2.5633088999638112</v>
      </c>
      <c r="J43" s="39">
        <f t="shared" si="3"/>
        <v>3.0024337657221061</v>
      </c>
      <c r="K43" s="39">
        <f t="shared" si="3"/>
        <v>4.6765169935505799</v>
      </c>
      <c r="L43" s="39">
        <f t="shared" si="3"/>
        <v>2.8879850685861754</v>
      </c>
      <c r="M43" s="39">
        <f t="shared" si="3"/>
        <v>2.3678959121863485</v>
      </c>
      <c r="N43" s="39">
        <f t="shared" si="3"/>
        <v>2.8251913186051496</v>
      </c>
      <c r="O43" s="39">
        <f t="shared" si="3"/>
        <v>3.5492378425185294</v>
      </c>
      <c r="P43" s="39">
        <f>P35-P39</f>
        <v>3.5019082675898368</v>
      </c>
      <c r="Q43" s="39">
        <f t="shared" si="3"/>
        <v>3.0329272006842487</v>
      </c>
      <c r="R43" s="39">
        <f t="shared" si="3"/>
        <v>4.0094082108572273</v>
      </c>
      <c r="S43" s="39">
        <f t="shared" si="3"/>
        <v>3.5199617387384841</v>
      </c>
      <c r="T43" s="39">
        <f t="shared" si="3"/>
        <v>2.4701880321257121</v>
      </c>
      <c r="U43" s="39">
        <f t="shared" si="3"/>
        <v>2.1287816055400626</v>
      </c>
      <c r="V43" s="39">
        <f t="shared" si="3"/>
        <v>2.0595329192543943</v>
      </c>
      <c r="W43" s="39">
        <f t="shared" si="3"/>
        <v>1.2686384212562452</v>
      </c>
      <c r="X43" s="39">
        <f t="shared" si="3"/>
        <v>1.6940272869407309</v>
      </c>
      <c r="Y43" s="39">
        <f t="shared" si="3"/>
        <v>1.8558021373981912</v>
      </c>
      <c r="Z43" s="39">
        <f t="shared" si="3"/>
        <v>2.8536434004393172</v>
      </c>
      <c r="AA43" s="39">
        <f t="shared" si="3"/>
        <v>2.362609005192196</v>
      </c>
      <c r="AB43" s="39">
        <f t="shared" si="3"/>
        <v>1.2394445001699879</v>
      </c>
      <c r="AC43" s="39">
        <f t="shared" si="3"/>
        <v>1.8020471382528811</v>
      </c>
      <c r="AD43" s="39">
        <f t="shared" si="3"/>
        <v>4.2338247853500182</v>
      </c>
      <c r="AE43" s="39">
        <f t="shared" si="3"/>
        <v>7.7856478713459172</v>
      </c>
      <c r="AF43" s="34">
        <f t="shared" si="3"/>
        <v>5.4950463938600063</v>
      </c>
    </row>
    <row r="44" spans="1:32">
      <c r="A44" s="27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38"/>
    </row>
    <row r="45" spans="1:32">
      <c r="A45" s="27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38"/>
    </row>
    <row r="46" spans="1:32" ht="15.75">
      <c r="A46" s="27"/>
      <c r="B46" s="1"/>
      <c r="C46" s="1"/>
      <c r="D46" s="1"/>
      <c r="E46" s="1"/>
      <c r="F46" s="1"/>
      <c r="G46" s="1"/>
      <c r="H46" s="1"/>
      <c r="I46" s="40" t="s">
        <v>6</v>
      </c>
      <c r="J46" s="41"/>
      <c r="K46" s="41"/>
      <c r="L46" s="42" t="s">
        <v>8</v>
      </c>
      <c r="M46" s="43"/>
      <c r="N46" s="43"/>
      <c r="O46" s="42" t="s">
        <v>9</v>
      </c>
      <c r="P46" s="43"/>
      <c r="Q46" s="43"/>
      <c r="R46" s="42" t="s">
        <v>10</v>
      </c>
      <c r="S46" s="44"/>
      <c r="T46" s="41"/>
      <c r="U46" s="43" t="s">
        <v>6</v>
      </c>
      <c r="V46" s="43"/>
      <c r="W46" s="43" t="s">
        <v>6</v>
      </c>
      <c r="X46" s="43"/>
      <c r="Y46" s="43" t="s">
        <v>11</v>
      </c>
      <c r="Z46" s="43"/>
      <c r="AA46" s="1"/>
      <c r="AB46" s="1"/>
      <c r="AC46" s="1"/>
      <c r="AD46" s="1"/>
      <c r="AE46" s="1"/>
      <c r="AF46" s="38"/>
    </row>
    <row r="47" spans="1:32" ht="15.75">
      <c r="A47" s="27"/>
      <c r="B47" s="1"/>
      <c r="C47" s="1"/>
      <c r="D47" s="1"/>
      <c r="E47" s="1"/>
      <c r="F47" s="1"/>
      <c r="G47" s="1"/>
      <c r="H47" s="1"/>
      <c r="I47" s="45" t="s">
        <v>12</v>
      </c>
      <c r="J47" s="41"/>
      <c r="K47" s="41"/>
      <c r="L47" s="43" t="s">
        <v>12</v>
      </c>
      <c r="M47" s="43"/>
      <c r="N47" s="43"/>
      <c r="O47" s="43" t="s">
        <v>12</v>
      </c>
      <c r="P47" s="43"/>
      <c r="Q47" s="43"/>
      <c r="R47" s="43" t="s">
        <v>12</v>
      </c>
      <c r="S47" s="44"/>
      <c r="T47" s="41"/>
      <c r="U47" s="43" t="s">
        <v>13</v>
      </c>
      <c r="V47" s="43"/>
      <c r="W47" s="43" t="s">
        <v>14</v>
      </c>
      <c r="X47" s="43"/>
      <c r="Y47" s="43" t="s">
        <v>15</v>
      </c>
      <c r="Z47" s="43"/>
      <c r="AA47" s="1"/>
      <c r="AB47" s="1"/>
      <c r="AC47" s="1"/>
      <c r="AD47" s="1"/>
      <c r="AE47" s="1"/>
      <c r="AF47" s="38"/>
    </row>
    <row r="48" spans="1:32" ht="15">
      <c r="A48" s="27"/>
      <c r="B48" s="1"/>
      <c r="C48" s="1"/>
      <c r="D48" s="1"/>
      <c r="E48" s="1"/>
      <c r="F48" s="1"/>
      <c r="G48" s="1"/>
      <c r="H48" s="1"/>
      <c r="I48" s="29"/>
      <c r="J48" s="1"/>
      <c r="K48" s="1"/>
      <c r="L48" s="36"/>
      <c r="M48" s="36"/>
      <c r="N48" s="36"/>
      <c r="O48" s="36"/>
      <c r="P48" s="36"/>
      <c r="Q48" s="36"/>
      <c r="R48" s="36"/>
      <c r="S48" s="36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38"/>
    </row>
    <row r="49" spans="1:35" s="52" customFormat="1" ht="15.75" thickBot="1">
      <c r="A49" s="46"/>
      <c r="B49" s="47"/>
      <c r="C49" s="47"/>
      <c r="D49" s="47"/>
      <c r="E49" s="47"/>
      <c r="F49" s="47"/>
      <c r="G49" s="47"/>
      <c r="H49" s="47"/>
      <c r="I49" s="48">
        <f>AVERAGE(B31:AF31)</f>
        <v>18.621461429448765</v>
      </c>
      <c r="J49" s="47"/>
      <c r="K49" s="47"/>
      <c r="L49" s="48">
        <f>MAX(B35:AF35)</f>
        <v>22.897744271909147</v>
      </c>
      <c r="M49" s="49"/>
      <c r="N49" s="49"/>
      <c r="O49" s="48">
        <f>MIN(B39:AF39)</f>
        <v>11.654043342609862</v>
      </c>
      <c r="P49" s="49"/>
      <c r="Q49" s="49"/>
      <c r="R49" s="48">
        <f>L49-O49</f>
        <v>11.243700929299285</v>
      </c>
      <c r="S49" s="49"/>
      <c r="T49" s="47"/>
      <c r="U49" s="48">
        <f>AVERAGE(B35:AF35)</f>
        <v>20.173482629327431</v>
      </c>
      <c r="V49" s="50"/>
      <c r="W49" s="48">
        <f>AVERAGE(B39:AF39)</f>
        <v>17.210045168671858</v>
      </c>
      <c r="X49" s="50"/>
      <c r="Y49" s="48">
        <f>U49-W49</f>
        <v>2.9634374606555731</v>
      </c>
      <c r="Z49" s="47"/>
      <c r="AA49" s="47"/>
      <c r="AB49" s="47"/>
      <c r="AC49" s="47"/>
      <c r="AD49" s="47"/>
      <c r="AE49" s="47"/>
      <c r="AF49" s="51"/>
    </row>
    <row r="50" spans="1:35" ht="13.5" thickTop="1">
      <c r="AI50" s="53"/>
    </row>
  </sheetData>
  <pageMargins left="0.78740157499999996" right="0.78740157499999996" top="0.984251969" bottom="0.984251969" header="0.49212598499999999" footer="0.49212598499999999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I50"/>
  <sheetViews>
    <sheetView zoomScale="75" zoomScaleNormal="75" workbookViewId="0">
      <selection activeCell="E23" sqref="E23"/>
    </sheetView>
  </sheetViews>
  <sheetFormatPr defaultRowHeight="12.75"/>
  <cols>
    <col min="33" max="33" width="9.140625" style="10"/>
    <col min="34" max="34" width="12.7109375" customWidth="1"/>
  </cols>
  <sheetData>
    <row r="1" spans="1:35" ht="18">
      <c r="A1" s="1"/>
      <c r="B1" s="2" t="s">
        <v>16</v>
      </c>
      <c r="C1" s="3"/>
      <c r="D1" s="4"/>
      <c r="E1" s="5"/>
      <c r="F1" s="1"/>
      <c r="G1" s="1"/>
      <c r="H1" s="1"/>
      <c r="I1" s="1"/>
      <c r="J1" s="6"/>
      <c r="K1" s="6"/>
      <c r="L1" s="7" t="s">
        <v>1</v>
      </c>
      <c r="M1" s="8" t="s">
        <v>2</v>
      </c>
      <c r="N1" s="9" t="s">
        <v>3</v>
      </c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5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5" ht="16.5" thickBot="1">
      <c r="A3" s="11" t="s">
        <v>4</v>
      </c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2">
        <v>8</v>
      </c>
      <c r="J3" s="12">
        <v>9</v>
      </c>
      <c r="K3" s="12">
        <v>10</v>
      </c>
      <c r="L3" s="12">
        <v>11</v>
      </c>
      <c r="M3" s="12">
        <v>12</v>
      </c>
      <c r="N3" s="12">
        <v>13</v>
      </c>
      <c r="O3" s="12">
        <v>14</v>
      </c>
      <c r="P3" s="12">
        <v>15</v>
      </c>
      <c r="Q3" s="12">
        <v>16</v>
      </c>
      <c r="R3" s="12">
        <v>17</v>
      </c>
      <c r="S3" s="12">
        <v>18</v>
      </c>
      <c r="T3" s="12">
        <v>19</v>
      </c>
      <c r="U3" s="12">
        <v>20</v>
      </c>
      <c r="V3" s="12">
        <v>21</v>
      </c>
      <c r="W3" s="12">
        <v>22</v>
      </c>
      <c r="X3" s="12">
        <v>23</v>
      </c>
      <c r="Y3" s="12">
        <v>24</v>
      </c>
      <c r="Z3" s="13">
        <v>25</v>
      </c>
      <c r="AA3" s="14">
        <v>26</v>
      </c>
      <c r="AB3" s="14">
        <v>27</v>
      </c>
      <c r="AC3" s="14">
        <v>28</v>
      </c>
      <c r="AD3" s="14">
        <v>29</v>
      </c>
      <c r="AE3" s="14"/>
      <c r="AF3" s="15"/>
    </row>
    <row r="4" spans="1:35" ht="15.75">
      <c r="A4" s="16">
        <v>1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8"/>
      <c r="AG4" s="19"/>
      <c r="AH4" s="20"/>
      <c r="AI4" s="21"/>
    </row>
    <row r="5" spans="1:35" ht="15.75">
      <c r="A5" s="16">
        <v>2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8"/>
      <c r="AG5" s="19"/>
      <c r="AH5" s="20"/>
      <c r="AI5" s="21"/>
    </row>
    <row r="6" spans="1:35" ht="15.75">
      <c r="A6" s="16">
        <v>3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8"/>
      <c r="AG6" s="19"/>
      <c r="AH6" s="20"/>
      <c r="AI6" s="21"/>
    </row>
    <row r="7" spans="1:35" ht="15.75">
      <c r="A7" s="16">
        <v>4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8"/>
      <c r="AG7" s="19"/>
      <c r="AH7" s="20"/>
      <c r="AI7" s="21"/>
    </row>
    <row r="8" spans="1:35" ht="15.75">
      <c r="A8" s="16">
        <v>5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8"/>
      <c r="AG8" s="19"/>
      <c r="AH8" s="20"/>
      <c r="AI8" s="21"/>
    </row>
    <row r="9" spans="1:35" ht="15.75">
      <c r="A9" s="16">
        <v>6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8"/>
      <c r="AG9" s="19"/>
      <c r="AH9" s="20"/>
      <c r="AI9" s="21"/>
    </row>
    <row r="10" spans="1:35" ht="15.75">
      <c r="A10" s="16">
        <v>7</v>
      </c>
      <c r="B10" s="22">
        <f>'[2]Dia 1 (b)'!$V16</f>
        <v>17.821262702522287</v>
      </c>
      <c r="C10" s="22">
        <f>'[2]Dia 2 (b)'!$V16</f>
        <v>18.819238643201992</v>
      </c>
      <c r="D10" s="22">
        <f>'[2]Dia 3 (b)'!$V16</f>
        <v>18.5449598552946</v>
      </c>
      <c r="E10" s="22">
        <f>'[2]Dia 4 (b)'!$V16</f>
        <v>19.627179473316815</v>
      </c>
      <c r="F10" s="22">
        <f>'[2]Dia 5 (b)'!$V16</f>
        <v>18.361111023385508</v>
      </c>
      <c r="G10" s="22">
        <f>'[2]Dia 6 (b)'!$V16</f>
        <v>18.750324016309509</v>
      </c>
      <c r="H10" s="22">
        <f>'[2]Dia 7 (b)'!$V16</f>
        <v>19.249287406778809</v>
      </c>
      <c r="I10" s="22">
        <f>'[2]Dia 8 (b)'!$V16</f>
        <v>19.338049893260699</v>
      </c>
      <c r="J10" s="22">
        <f>'[2]Dia 9 (b)'!$V16</f>
        <v>19.233082718812447</v>
      </c>
      <c r="K10" s="22">
        <f>'[2]Dia 10 (b)'!$V16</f>
        <v>19.903679608079031</v>
      </c>
      <c r="L10" s="22">
        <f>'[2]Dia 11 (b)'!$V16</f>
        <v>19.773800635110042</v>
      </c>
      <c r="M10" s="22">
        <f>'[2]Dia 12 (b)'!$V16</f>
        <v>19.556838910504926</v>
      </c>
      <c r="N10" s="22">
        <f>'[2]Dia 13 (b)'!$V16</f>
        <v>18.808070737390196</v>
      </c>
      <c r="O10" s="22">
        <f>'[2]Dia 14 (b)'!$V16</f>
        <v>19.833975353948805</v>
      </c>
      <c r="P10" s="22">
        <f>'[2]Dia 15 (b)'!$V16</f>
        <v>19.223611368240348</v>
      </c>
      <c r="Q10" s="22">
        <f>'[2]Dia 16 (b)'!$V16</f>
        <v>18.213745524488225</v>
      </c>
      <c r="R10" s="22">
        <f>'[2]Dia 17 (b)'!$V16</f>
        <v>17.575805772878525</v>
      </c>
      <c r="S10" s="22">
        <f>'[2]Dia 18 (b)'!$V16</f>
        <v>18.804357212121072</v>
      </c>
      <c r="T10" s="22">
        <f>'[2]Dia 19 (b)'!$V16</f>
        <v>18.764977708033719</v>
      </c>
      <c r="U10" s="22">
        <f>'[2]Dia 20 (b)'!$V16</f>
        <v>19.862950294173739</v>
      </c>
      <c r="V10" s="22">
        <f>'[2]Dia 21 (b)'!$V16</f>
        <v>19.02282654430693</v>
      </c>
      <c r="W10" s="22">
        <f>'[2]Dia 22 (b)'!$V16</f>
        <v>19.483951034769923</v>
      </c>
      <c r="X10" s="22">
        <f>'[2]Dia 23 (b)'!$V16</f>
        <v>20.716347420451122</v>
      </c>
      <c r="Y10" s="22">
        <f>'[2]Dia 24 (b)'!$V16</f>
        <v>21.381654727910806</v>
      </c>
      <c r="Z10" s="22">
        <f>'[2]Dia 25 (b)'!$V16</f>
        <v>21.644130922333989</v>
      </c>
      <c r="AA10" s="22">
        <f>'[2]Dia 26 (b)'!$V16</f>
        <v>20.447670967020194</v>
      </c>
      <c r="AB10" s="22">
        <f>'[2]Dia 27 (b)'!$V16</f>
        <v>20.737178189258682</v>
      </c>
      <c r="AC10" s="22">
        <f>'[2]Dia 28 (b)'!$V16</f>
        <v>21.224075379655229</v>
      </c>
      <c r="AD10" s="22">
        <f>'[2]Dia 29 (b)'!$V16</f>
        <v>21.784452913764792</v>
      </c>
      <c r="AE10" s="22"/>
      <c r="AF10" s="23"/>
      <c r="AG10" s="19"/>
      <c r="AH10" s="20"/>
      <c r="AI10" s="21"/>
    </row>
    <row r="11" spans="1:35" ht="15.75">
      <c r="A11" s="16">
        <v>8</v>
      </c>
      <c r="B11" s="22">
        <f>'[2]Dia 1 (b)'!$V17</f>
        <v>17.088077112389442</v>
      </c>
      <c r="C11" s="22">
        <f>'[2]Dia 2 (b)'!$V17</f>
        <v>18.531637831827442</v>
      </c>
      <c r="D11" s="22">
        <f>'[2]Dia 3 (b)'!$V17</f>
        <v>18.681896934882204</v>
      </c>
      <c r="E11" s="22">
        <f>'[2]Dia 4 (b)'!$V17</f>
        <v>18.195006713652578</v>
      </c>
      <c r="F11" s="22">
        <f>'[2]Dia 5 (b)'!$V17</f>
        <v>18.078871864538378</v>
      </c>
      <c r="G11" s="22">
        <f>'[2]Dia 6 (b)'!$V17</f>
        <v>19.105140143220751</v>
      </c>
      <c r="H11" s="22">
        <f>'[2]Dia 7 (b)'!$V17</f>
        <v>19.627853509015814</v>
      </c>
      <c r="I11" s="22">
        <f>'[2]Dia 8 (b)'!$V17</f>
        <v>19.64272672092337</v>
      </c>
      <c r="J11" s="22">
        <f>'[2]Dia 9 (b)'!$V17</f>
        <v>18.97327161559004</v>
      </c>
      <c r="K11" s="22">
        <f>'[2]Dia 10 (b)'!$V17</f>
        <v>19.74691207945332</v>
      </c>
      <c r="L11" s="22">
        <f>'[2]Dia 11 (b)'!$V17</f>
        <v>19.462853816770082</v>
      </c>
      <c r="M11" s="22">
        <f>'[2]Dia 12 (b)'!$V17</f>
        <v>19.395090710842528</v>
      </c>
      <c r="N11" s="22">
        <f>'[2]Dia 13 (b)'!$V17</f>
        <v>18.598183423338128</v>
      </c>
      <c r="O11" s="22">
        <f>'[2]Dia 14 (b)'!$V17</f>
        <v>19.574633956926906</v>
      </c>
      <c r="P11" s="22">
        <f>'[2]Dia 15 (b)'!$V17</f>
        <v>19.425328044550902</v>
      </c>
      <c r="Q11" s="22">
        <f>'[2]Dia 16 (b)'!$V17</f>
        <v>18.728800171538637</v>
      </c>
      <c r="R11" s="22">
        <f>'[2]Dia 17 (b)'!$V17</f>
        <v>15.978648513854942</v>
      </c>
      <c r="S11" s="22">
        <f>'[2]Dia 18 (b)'!$V17</f>
        <v>18.719264893281689</v>
      </c>
      <c r="T11" s="22">
        <f>'[2]Dia 19 (b)'!$V17</f>
        <v>20.04864034621502</v>
      </c>
      <c r="U11" s="22">
        <f>'[2]Dia 20 (b)'!$V17</f>
        <v>21.365820662017619</v>
      </c>
      <c r="V11" s="22">
        <f>'[2]Dia 21 (b)'!$V17</f>
        <v>18.778816940829692</v>
      </c>
      <c r="W11" s="22">
        <f>'[2]Dia 22 (b)'!$V17</f>
        <v>19.647923568430823</v>
      </c>
      <c r="X11" s="22">
        <f>'[2]Dia 23 (b)'!$V17</f>
        <v>20.26301083302879</v>
      </c>
      <c r="Y11" s="22">
        <f>'[2]Dia 24 (b)'!$V17</f>
        <v>22.224841521322453</v>
      </c>
      <c r="Z11" s="22">
        <f>'[2]Dia 25 (b)'!$V17</f>
        <v>21.565534162639711</v>
      </c>
      <c r="AA11" s="22">
        <f>'[2]Dia 26 (b)'!$V17</f>
        <v>19.983211329819337</v>
      </c>
      <c r="AB11" s="22">
        <f>'[2]Dia 27 (b)'!$V17</f>
        <v>20.410399640344131</v>
      </c>
      <c r="AC11" s="22">
        <f>'[2]Dia 28 (b)'!$V17</f>
        <v>21.218262991787782</v>
      </c>
      <c r="AD11" s="22">
        <f>'[2]Dia 29 (b)'!$V17</f>
        <v>20.780228156232127</v>
      </c>
      <c r="AE11" s="22"/>
      <c r="AF11" s="23"/>
      <c r="AG11" s="19"/>
      <c r="AH11" s="20"/>
      <c r="AI11" s="21"/>
    </row>
    <row r="12" spans="1:35" ht="15.75">
      <c r="A12" s="16">
        <v>9</v>
      </c>
      <c r="B12" s="22">
        <f>'[2]Dia 1 (b)'!$V18</f>
        <v>16.868894029606441</v>
      </c>
      <c r="C12" s="22">
        <f>'[2]Dia 2 (b)'!$V18</f>
        <v>18.183154158220788</v>
      </c>
      <c r="D12" s="22">
        <f>'[2]Dia 3 (b)'!$V18</f>
        <v>18.735694631645185</v>
      </c>
      <c r="E12" s="22">
        <f>'[2]Dia 4 (b)'!$V18</f>
        <v>18.910540778034825</v>
      </c>
      <c r="F12" s="22">
        <f>'[2]Dia 5 (b)'!$V18</f>
        <v>18.916892048306</v>
      </c>
      <c r="G12" s="22">
        <f>'[2]Dia 6 (b)'!$V18</f>
        <v>18.091931493424546</v>
      </c>
      <c r="H12" s="22">
        <f>'[2]Dia 7 (b)'!$V18</f>
        <v>19.312357709348511</v>
      </c>
      <c r="I12" s="22">
        <f>'[2]Dia 8 (b)'!$V18</f>
        <v>19.762049805572985</v>
      </c>
      <c r="J12" s="22">
        <f>'[2]Dia 9 (b)'!$V18</f>
        <v>18.933241369944763</v>
      </c>
      <c r="K12" s="22">
        <f>'[2]Dia 10 (b)'!$V18</f>
        <v>19.70606945976732</v>
      </c>
      <c r="L12" s="22">
        <f>'[2]Dia 11 (b)'!$V18</f>
        <v>18.225385046722849</v>
      </c>
      <c r="M12" s="22">
        <f>'[2]Dia 12 (b)'!$V18</f>
        <v>19.28561040912729</v>
      </c>
      <c r="N12" s="22">
        <f>'[2]Dia 13 (b)'!$V18</f>
        <v>18.655766794009768</v>
      </c>
      <c r="O12" s="22">
        <f>'[2]Dia 14 (b)'!$V18</f>
        <v>19.267126257169092</v>
      </c>
      <c r="P12" s="22">
        <f>'[2]Dia 15 (b)'!$V18</f>
        <v>19.337288762596337</v>
      </c>
      <c r="Q12" s="22">
        <f>'[2]Dia 16 (b)'!$V18</f>
        <v>18.659310697965584</v>
      </c>
      <c r="R12" s="22">
        <f>'[2]Dia 17 (b)'!$V18</f>
        <v>17.073793699200237</v>
      </c>
      <c r="S12" s="22">
        <f>'[2]Dia 18 (b)'!$V18</f>
        <v>18.952873743493249</v>
      </c>
      <c r="T12" s="22">
        <f>'[2]Dia 19 (b)'!$V18</f>
        <v>18.73097136425481</v>
      </c>
      <c r="U12" s="22">
        <f>'[2]Dia 20 (b)'!$V18</f>
        <v>21.008908723957504</v>
      </c>
      <c r="V12" s="22">
        <f>'[2]Dia 21 (b)'!$V18</f>
        <v>18.608543394674392</v>
      </c>
      <c r="W12" s="22">
        <f>'[2]Dia 22 (b)'!$V18</f>
        <v>19.459123383257509</v>
      </c>
      <c r="X12" s="22">
        <f>'[2]Dia 23 (b)'!$V18</f>
        <v>20.038598336504133</v>
      </c>
      <c r="Y12" s="22">
        <f>'[2]Dia 24 (b)'!$V18</f>
        <v>21.117992642526655</v>
      </c>
      <c r="Z12" s="22">
        <f>'[2]Dia 25 (b)'!$V18</f>
        <v>21.358822786696336</v>
      </c>
      <c r="AA12" s="22">
        <f>'[2]Dia 26 (b)'!$V18</f>
        <v>19.894534095743651</v>
      </c>
      <c r="AB12" s="22">
        <f>'[2]Dia 27 (b)'!$V18</f>
        <v>20.556171232230341</v>
      </c>
      <c r="AC12" s="22">
        <f>'[2]Dia 28 (b)'!$V18</f>
        <v>21.571564486582517</v>
      </c>
      <c r="AD12" s="22">
        <f>'[2]Dia 29 (b)'!$V18</f>
        <v>20.092638056636467</v>
      </c>
      <c r="AE12" s="22"/>
      <c r="AF12" s="23"/>
      <c r="AG12" s="19"/>
      <c r="AH12" s="20"/>
      <c r="AI12" s="21"/>
    </row>
    <row r="13" spans="1:35" ht="15.75">
      <c r="A13" s="16">
        <v>10</v>
      </c>
      <c r="B13" s="22">
        <f>'[2]Dia 1 (b)'!$V19</f>
        <v>18.433009177996478</v>
      </c>
      <c r="C13" s="22">
        <f>'[2]Dia 2 (b)'!$V19</f>
        <v>19.767672505043162</v>
      </c>
      <c r="D13" s="22">
        <f>'[2]Dia 3 (b)'!$V19</f>
        <v>18.935485040193974</v>
      </c>
      <c r="E13" s="22">
        <f>'[2]Dia 4 (b)'!$V19</f>
        <v>15.912874572334488</v>
      </c>
      <c r="F13" s="22">
        <f>'[2]Dia 5 (b)'!$V19</f>
        <v>16.342478898660008</v>
      </c>
      <c r="G13" s="22">
        <f>'[2]Dia 6 (b)'!$V19</f>
        <v>18.071098949356429</v>
      </c>
      <c r="H13" s="22">
        <f>'[2]Dia 7 (b)'!$V19</f>
        <v>17.967331063482678</v>
      </c>
      <c r="I13" s="22">
        <f>'[2]Dia 8 (b)'!$V19</f>
        <v>19.18757929700087</v>
      </c>
      <c r="J13" s="22">
        <f>'[2]Dia 9 (b)'!$V19</f>
        <v>19.764304330096145</v>
      </c>
      <c r="K13" s="22">
        <f>'[2]Dia 10 (b)'!$V19</f>
        <v>18.858589507082176</v>
      </c>
      <c r="L13" s="22">
        <f>'[2]Dia 11 (b)'!$V19</f>
        <v>17.715339701885071</v>
      </c>
      <c r="M13" s="22">
        <f>'[2]Dia 12 (b)'!$V19</f>
        <v>18.629690209904652</v>
      </c>
      <c r="N13" s="22">
        <f>'[2]Dia 13 (b)'!$V19</f>
        <v>18.748944909833053</v>
      </c>
      <c r="O13" s="22">
        <f>'[2]Dia 14 (b)'!$V19</f>
        <v>19.187647364233847</v>
      </c>
      <c r="P13" s="22">
        <f>'[2]Dia 15 (b)'!$V19</f>
        <v>19.742782801686328</v>
      </c>
      <c r="Q13" s="22">
        <f>'[2]Dia 16 (b)'!$V19</f>
        <v>18.783539937372101</v>
      </c>
      <c r="R13" s="22">
        <f>'[2]Dia 17 (b)'!$V19</f>
        <v>16.589021164964272</v>
      </c>
      <c r="S13" s="22">
        <f>'[2]Dia 18 (b)'!$V19</f>
        <v>18.49833343892449</v>
      </c>
      <c r="T13" s="22">
        <f>'[2]Dia 19 (b)'!$V19</f>
        <v>19.21235812664057</v>
      </c>
      <c r="U13" s="22">
        <f>'[2]Dia 20 (b)'!$V19</f>
        <v>19.928713704800199</v>
      </c>
      <c r="V13" s="22">
        <f>'[2]Dia 21 (b)'!$V19</f>
        <v>18.503283286315277</v>
      </c>
      <c r="W13" s="22">
        <f>'[2]Dia 22 (b)'!$V19</f>
        <v>20.151368199194046</v>
      </c>
      <c r="X13" s="22">
        <f>'[2]Dia 23 (b)'!$V19</f>
        <v>19.696245712851976</v>
      </c>
      <c r="Y13" s="22">
        <f>'[2]Dia 24 (b)'!$V19</f>
        <v>20.43600986695359</v>
      </c>
      <c r="Z13" s="22">
        <f>'[2]Dia 25 (b)'!$V19</f>
        <v>21.118342467490983</v>
      </c>
      <c r="AA13" s="22">
        <f>'[2]Dia 26 (b)'!$V19</f>
        <v>20.795623959963365</v>
      </c>
      <c r="AB13" s="22">
        <f>'[2]Dia 27 (b)'!$V19</f>
        <v>20.165040000589194</v>
      </c>
      <c r="AC13" s="22">
        <f>'[2]Dia 28 (b)'!$V19</f>
        <v>21.868490426027147</v>
      </c>
      <c r="AD13" s="22">
        <f>'[2]Dia 29 (b)'!$V19</f>
        <v>21.003335684184673</v>
      </c>
      <c r="AE13" s="22"/>
      <c r="AF13" s="23"/>
      <c r="AG13" s="19"/>
      <c r="AH13" s="20"/>
      <c r="AI13" s="21"/>
    </row>
    <row r="14" spans="1:35" ht="15.75">
      <c r="A14" s="16">
        <v>11</v>
      </c>
      <c r="B14" s="22">
        <f>'[2]Dia 1 (b)'!$V20</f>
        <v>16.985821533206153</v>
      </c>
      <c r="C14" s="22">
        <f>'[2]Dia 2 (b)'!$V20</f>
        <v>19.580386503849361</v>
      </c>
      <c r="D14" s="22">
        <f>'[2]Dia 3 (b)'!$V20</f>
        <v>18.923396609876693</v>
      </c>
      <c r="E14" s="22">
        <f>'[2]Dia 4 (b)'!$V20</f>
        <v>16.758113888662901</v>
      </c>
      <c r="F14" s="22">
        <f>'[2]Dia 5 (b)'!$V20</f>
        <v>14.668736626376356</v>
      </c>
      <c r="G14" s="22">
        <f>'[2]Dia 6 (b)'!$V20</f>
        <v>19.290915888934659</v>
      </c>
      <c r="H14" s="22">
        <f>'[2]Dia 7 (b)'!$V20</f>
        <v>16.835863204863884</v>
      </c>
      <c r="I14" s="22">
        <f>'[2]Dia 8 (b)'!$V20</f>
        <v>17.316242407862408</v>
      </c>
      <c r="J14" s="22">
        <f>'[2]Dia 9 (b)'!$V20</f>
        <v>18.840402939044399</v>
      </c>
      <c r="K14" s="22">
        <f>'[2]Dia 10 (b)'!$V20</f>
        <v>18.046989304510266</v>
      </c>
      <c r="L14" s="22">
        <f>'[2]Dia 11 (b)'!$V20</f>
        <v>17.133873349670097</v>
      </c>
      <c r="M14" s="22">
        <f>'[2]Dia 12 (b)'!$V20</f>
        <v>19.068226522488544</v>
      </c>
      <c r="N14" s="22">
        <f>'[2]Dia 13 (b)'!$V20</f>
        <v>19.277429802952554</v>
      </c>
      <c r="O14" s="22">
        <f>'[2]Dia 14 (b)'!$V20</f>
        <v>20.923395236486147</v>
      </c>
      <c r="P14" s="22">
        <f>'[2]Dia 15 (b)'!$V20</f>
        <v>19.773974389245712</v>
      </c>
      <c r="Q14" s="22">
        <f>'[2]Dia 16 (b)'!$V20</f>
        <v>18.1544041920944</v>
      </c>
      <c r="R14" s="22">
        <f>'[2]Dia 17 (b)'!$V20</f>
        <v>17.196263486043087</v>
      </c>
      <c r="S14" s="22">
        <f>'[2]Dia 18 (b)'!$V20</f>
        <v>18.700037592419765</v>
      </c>
      <c r="T14" s="22">
        <f>'[2]Dia 19 (b)'!$V20</f>
        <v>18.991993184135996</v>
      </c>
      <c r="U14" s="22">
        <f>'[2]Dia 20 (b)'!$V20</f>
        <v>21.275686180651256</v>
      </c>
      <c r="V14" s="22">
        <f>'[2]Dia 21 (b)'!$V20</f>
        <v>18.224986279138012</v>
      </c>
      <c r="W14" s="22">
        <f>'[2]Dia 22 (b)'!$V20</f>
        <v>19.441329190371913</v>
      </c>
      <c r="X14" s="22">
        <f>'[2]Dia 23 (b)'!$V20</f>
        <v>20.834112088181097</v>
      </c>
      <c r="Y14" s="22">
        <f>'[2]Dia 24 (b)'!$V20</f>
        <v>20.607324162685831</v>
      </c>
      <c r="Z14" s="22">
        <f>'[2]Dia 25 (b)'!$V20</f>
        <v>21.02218961017514</v>
      </c>
      <c r="AA14" s="22">
        <f>'[2]Dia 26 (b)'!$V20</f>
        <v>20.995835840064654</v>
      </c>
      <c r="AB14" s="22">
        <f>'[2]Dia 27 (b)'!$V20</f>
        <v>20.648532420019698</v>
      </c>
      <c r="AC14" s="22">
        <f>'[2]Dia 28 (b)'!$V20</f>
        <v>21.681260391758723</v>
      </c>
      <c r="AD14" s="22">
        <f>'[2]Dia 29 (b)'!$V20</f>
        <v>21.532729469008519</v>
      </c>
      <c r="AE14" s="22"/>
      <c r="AF14" s="23"/>
      <c r="AG14" s="19"/>
      <c r="AH14" s="20"/>
      <c r="AI14" s="21"/>
    </row>
    <row r="15" spans="1:35" ht="15.75">
      <c r="A15" s="16">
        <v>12</v>
      </c>
      <c r="B15" s="22">
        <f>'[2]Dia 1 (b)'!$V21</f>
        <v>16.029610736615915</v>
      </c>
      <c r="C15" s="22">
        <f>'[2]Dia 2 (b)'!$V21</f>
        <v>18.842641805984179</v>
      </c>
      <c r="D15" s="22">
        <f>'[2]Dia 3 (b)'!$V21</f>
        <v>19.805184284663817</v>
      </c>
      <c r="E15" s="22">
        <f>'[2]Dia 4 (b)'!$V21</f>
        <v>15.913208920779111</v>
      </c>
      <c r="F15" s="22">
        <f>'[2]Dia 5 (b)'!$V21</f>
        <v>14.541590684915761</v>
      </c>
      <c r="G15" s="22">
        <f>'[2]Dia 6 (b)'!$V21</f>
        <v>18.306427873803727</v>
      </c>
      <c r="H15" s="22">
        <f>'[2]Dia 7 (b)'!$V21</f>
        <v>16.41160135871592</v>
      </c>
      <c r="I15" s="22">
        <f>'[2]Dia 8 (b)'!$V21</f>
        <v>16.765405668506475</v>
      </c>
      <c r="J15" s="22">
        <f>'[2]Dia 9 (b)'!$V21</f>
        <v>20.229826284174191</v>
      </c>
      <c r="K15" s="22">
        <f>'[2]Dia 10 (b)'!$V21</f>
        <v>17.979218586212522</v>
      </c>
      <c r="L15" s="22">
        <f>'[2]Dia 11 (b)'!$V21</f>
        <v>16.876205085849655</v>
      </c>
      <c r="M15" s="22">
        <f>'[2]Dia 12 (b)'!$V21</f>
        <v>18.265215662955384</v>
      </c>
      <c r="N15" s="22">
        <f>'[2]Dia 13 (b)'!$V21</f>
        <v>19.95934702078366</v>
      </c>
      <c r="O15" s="22">
        <f>'[2]Dia 14 (b)'!$V21</f>
        <v>20.28258683774283</v>
      </c>
      <c r="P15" s="22">
        <f>'[2]Dia 15 (b)'!$V21</f>
        <v>19.85997156926468</v>
      </c>
      <c r="Q15" s="22">
        <f>'[2]Dia 16 (b)'!$V21</f>
        <v>18.58723951643233</v>
      </c>
      <c r="R15" s="22">
        <f>'[2]Dia 17 (b)'!$V21</f>
        <v>17.820323528727066</v>
      </c>
      <c r="S15" s="22">
        <f>'[2]Dia 18 (b)'!$V21</f>
        <v>18.556987156588672</v>
      </c>
      <c r="T15" s="22">
        <f>'[2]Dia 19 (b)'!$V21</f>
        <v>17.375108688996153</v>
      </c>
      <c r="U15" s="22">
        <f>'[2]Dia 20 (b)'!$V21</f>
        <v>22.133091875716616</v>
      </c>
      <c r="V15" s="22">
        <f>'[2]Dia 21 (b)'!$V21</f>
        <v>18.926086821870189</v>
      </c>
      <c r="W15" s="22">
        <f>'[2]Dia 22 (b)'!$V21</f>
        <v>19.777142044481199</v>
      </c>
      <c r="X15" s="22">
        <f>'[2]Dia 23 (b)'!$V21</f>
        <v>20.192219676879674</v>
      </c>
      <c r="Y15" s="22">
        <f>'[2]Dia 24 (b)'!$V21</f>
        <v>20.762298744931282</v>
      </c>
      <c r="Z15" s="22">
        <f>'[2]Dia 25 (b)'!$V21</f>
        <v>21.063718165594114</v>
      </c>
      <c r="AA15" s="22">
        <f>'[2]Dia 26 (b)'!$V21</f>
        <v>21.319356170861496</v>
      </c>
      <c r="AB15" s="22">
        <f>'[2]Dia 27 (b)'!$V21</f>
        <v>20.309287428941815</v>
      </c>
      <c r="AC15" s="22">
        <f>'[2]Dia 28 (b)'!$V21</f>
        <v>22.07814845698195</v>
      </c>
      <c r="AD15" s="22">
        <f>'[2]Dia 29 (b)'!$V21</f>
        <v>20.924558703362916</v>
      </c>
      <c r="AE15" s="22"/>
      <c r="AF15" s="23"/>
      <c r="AG15" s="19"/>
      <c r="AH15" s="20"/>
      <c r="AI15" s="21"/>
    </row>
    <row r="16" spans="1:35" ht="15.75">
      <c r="A16" s="16">
        <v>13</v>
      </c>
      <c r="B16" s="22">
        <f>'[2]Dia 1 (b)'!$V22</f>
        <v>17.151384244983877</v>
      </c>
      <c r="C16" s="22">
        <f>'[2]Dia 2 (b)'!$V22</f>
        <v>20.693335315677874</v>
      </c>
      <c r="D16" s="22">
        <f>'[2]Dia 3 (b)'!$V22</f>
        <v>18.119170558329522</v>
      </c>
      <c r="E16" s="22">
        <f>'[2]Dia 4 (b)'!$V22</f>
        <v>16.672914165276016</v>
      </c>
      <c r="F16" s="22">
        <f>'[2]Dia 5 (b)'!$V22</f>
        <v>17.550452136912266</v>
      </c>
      <c r="G16" s="22">
        <f>'[2]Dia 6 (b)'!$V22</f>
        <v>18.026601509353473</v>
      </c>
      <c r="H16" s="22">
        <f>'[2]Dia 7 (b)'!$V22</f>
        <v>16.275218215864477</v>
      </c>
      <c r="I16" s="22">
        <f>'[2]Dia 8 (b)'!$V22</f>
        <v>19.408444230732645</v>
      </c>
      <c r="J16" s="22">
        <f>'[2]Dia 9 (b)'!$V22</f>
        <v>21.065343259407946</v>
      </c>
      <c r="K16" s="22">
        <f>'[2]Dia 10 (b)'!$V22</f>
        <v>15.422950625373376</v>
      </c>
      <c r="L16" s="22">
        <f>'[2]Dia 11 (b)'!$V22</f>
        <v>17.231853129759116</v>
      </c>
      <c r="M16" s="22">
        <f>'[2]Dia 12 (b)'!$V22</f>
        <v>17.744152071666278</v>
      </c>
      <c r="N16" s="22">
        <f>'[2]Dia 13 (b)'!$V22</f>
        <v>19.562497963971563</v>
      </c>
      <c r="O16" s="22">
        <f>'[2]Dia 14 (b)'!$V22</f>
        <v>21.662281315712523</v>
      </c>
      <c r="P16" s="22">
        <f>'[2]Dia 15 (b)'!$V22</f>
        <v>19.721163623341443</v>
      </c>
      <c r="Q16" s="22">
        <f>'[2]Dia 16 (b)'!$V22</f>
        <v>19.425819093716754</v>
      </c>
      <c r="R16" s="22">
        <f>'[2]Dia 17 (b)'!$V22</f>
        <v>18.554084289737521</v>
      </c>
      <c r="S16" s="22">
        <f>'[2]Dia 18 (b)'!$V22</f>
        <v>19.554548454350861</v>
      </c>
      <c r="T16" s="22">
        <f>'[2]Dia 19 (b)'!$V22</f>
        <v>17.610040126935505</v>
      </c>
      <c r="U16" s="22">
        <f>'[2]Dia 20 (b)'!$V22</f>
        <v>21.412710569319572</v>
      </c>
      <c r="V16" s="22">
        <f>'[2]Dia 21 (b)'!$V22</f>
        <v>20.455147299668671</v>
      </c>
      <c r="W16" s="22">
        <f>'[2]Dia 22 (b)'!$V22</f>
        <v>19.08301940525774</v>
      </c>
      <c r="X16" s="22">
        <f>'[2]Dia 23 (b)'!$V22</f>
        <v>20.034893882892181</v>
      </c>
      <c r="Y16" s="22">
        <f>'[2]Dia 24 (b)'!$V22</f>
        <v>21.061183281893779</v>
      </c>
      <c r="Z16" s="22">
        <f>'[2]Dia 25 (b)'!$V22</f>
        <v>20.821692489904223</v>
      </c>
      <c r="AA16" s="22">
        <f>'[2]Dia 26 (b)'!$V22</f>
        <v>21.318259449422126</v>
      </c>
      <c r="AB16" s="22">
        <f>'[2]Dia 27 (b)'!$V22</f>
        <v>21.462163742201835</v>
      </c>
      <c r="AC16" s="22">
        <f>'[2]Dia 28 (b)'!$V22</f>
        <v>21.735764858183781</v>
      </c>
      <c r="AD16" s="22">
        <f>'[2]Dia 29 (b)'!$V22</f>
        <v>19.144212693187139</v>
      </c>
      <c r="AE16" s="22"/>
      <c r="AF16" s="23"/>
      <c r="AG16" s="19"/>
      <c r="AH16" s="20"/>
      <c r="AI16" s="21"/>
    </row>
    <row r="17" spans="1:35" ht="15.75">
      <c r="A17" s="16">
        <v>14</v>
      </c>
      <c r="B17" s="22">
        <f>'[2]Dia 1 (b)'!$V23</f>
        <v>17.316428160836065</v>
      </c>
      <c r="C17" s="22">
        <f>'[2]Dia 2 (b)'!$V23</f>
        <v>17.62726137968863</v>
      </c>
      <c r="D17" s="22">
        <f>'[2]Dia 3 (b)'!$V23</f>
        <v>19.241702331048209</v>
      </c>
      <c r="E17" s="22">
        <f>'[2]Dia 4 (b)'!$V23</f>
        <v>19.971852414233755</v>
      </c>
      <c r="F17" s="22">
        <f>'[2]Dia 5 (b)'!$V23</f>
        <v>14.997516877814236</v>
      </c>
      <c r="G17" s="22">
        <f>'[2]Dia 6 (b)'!$V23</f>
        <v>19.792357762759476</v>
      </c>
      <c r="H17" s="22">
        <f>'[2]Dia 7 (b)'!$V23</f>
        <v>20.495534395899888</v>
      </c>
      <c r="I17" s="22">
        <f>'[2]Dia 8 (b)'!$V23</f>
        <v>19.411234624907603</v>
      </c>
      <c r="J17" s="22">
        <f>'[2]Dia 9 (b)'!$V23</f>
        <v>21.384798707719636</v>
      </c>
      <c r="K17" s="22">
        <f>'[2]Dia 10 (b)'!$V23</f>
        <v>19.163398715786492</v>
      </c>
      <c r="L17" s="22">
        <f>'[2]Dia 11 (b)'!$V23</f>
        <v>16.423558262996828</v>
      </c>
      <c r="M17" s="22">
        <f>'[2]Dia 12 (b)'!$V23</f>
        <v>18.415822390779542</v>
      </c>
      <c r="N17" s="22">
        <f>'[2]Dia 13 (b)'!$V23</f>
        <v>19.09187780008163</v>
      </c>
      <c r="O17" s="22">
        <f>'[2]Dia 14 (b)'!$V23</f>
        <v>21.353994054292468</v>
      </c>
      <c r="P17" s="22">
        <f>'[2]Dia 15 (b)'!$V23</f>
        <v>19.540185713241833</v>
      </c>
      <c r="Q17" s="22">
        <f>'[2]Dia 16 (b)'!$V23</f>
        <v>19.620994246815197</v>
      </c>
      <c r="R17" s="22">
        <f>'[2]Dia 17 (b)'!$V23</f>
        <v>18.875970345839068</v>
      </c>
      <c r="S17" s="22">
        <f>'[2]Dia 18 (b)'!$V23</f>
        <v>20.555279267142222</v>
      </c>
      <c r="T17" s="22">
        <f>'[2]Dia 19 (b)'!$V23</f>
        <v>20.431458218269601</v>
      </c>
      <c r="U17" s="22">
        <f>'[2]Dia 20 (b)'!$V23</f>
        <v>19.745400457974981</v>
      </c>
      <c r="V17" s="22">
        <f>'[2]Dia 21 (b)'!$V23</f>
        <v>20.203532146392931</v>
      </c>
      <c r="W17" s="22">
        <f>'[2]Dia 22 (b)'!$V23</f>
        <v>18.423082104573091</v>
      </c>
      <c r="X17" s="22">
        <f>'[2]Dia 23 (b)'!$V23</f>
        <v>19.607003776029053</v>
      </c>
      <c r="Y17" s="22">
        <f>'[2]Dia 24 (b)'!$V23</f>
        <v>20.673507830130561</v>
      </c>
      <c r="Z17" s="22">
        <f>'[2]Dia 25 (b)'!$V23</f>
        <v>20.963853068602287</v>
      </c>
      <c r="AA17" s="22">
        <f>'[2]Dia 26 (b)'!$V23</f>
        <v>21.479608323877496</v>
      </c>
      <c r="AB17" s="22">
        <f>'[2]Dia 27 (b)'!$V23</f>
        <v>20.213052862318516</v>
      </c>
      <c r="AC17" s="22">
        <f>'[2]Dia 28 (b)'!$V23</f>
        <v>24.416995084684036</v>
      </c>
      <c r="AD17" s="22">
        <f>'[2]Dia 29 (b)'!$V23</f>
        <v>18.769984853545711</v>
      </c>
      <c r="AE17" s="22"/>
      <c r="AF17" s="23"/>
      <c r="AG17" s="19"/>
      <c r="AH17" s="20"/>
      <c r="AI17" s="21"/>
    </row>
    <row r="18" spans="1:35" ht="15.75">
      <c r="A18" s="16">
        <v>15</v>
      </c>
      <c r="B18" s="22">
        <f>'[2]Dia 1 (b)'!$V24</f>
        <v>19.965633416916006</v>
      </c>
      <c r="C18" s="22">
        <f>'[2]Dia 2 (b)'!$V24</f>
        <v>18.43258825371398</v>
      </c>
      <c r="D18" s="22">
        <f>'[2]Dia 3 (b)'!$V24</f>
        <v>19.310989201559178</v>
      </c>
      <c r="E18" s="22">
        <f>'[2]Dia 4 (b)'!$V24</f>
        <v>19.218082026688457</v>
      </c>
      <c r="F18" s="22">
        <f>'[2]Dia 5 (b)'!$V24</f>
        <v>15.495942615834235</v>
      </c>
      <c r="G18" s="22">
        <f>'[2]Dia 6 (b)'!$V24</f>
        <v>19.741618860758937</v>
      </c>
      <c r="H18" s="22">
        <f>'[2]Dia 7 (b)'!$V24</f>
        <v>21.41458257269613</v>
      </c>
      <c r="I18" s="22">
        <f>'[2]Dia 8 (b)'!$V24</f>
        <v>20.157903377190898</v>
      </c>
      <c r="J18" s="22">
        <f>'[2]Dia 9 (b)'!$V24</f>
        <v>20.942509886280952</v>
      </c>
      <c r="K18" s="22">
        <f>'[2]Dia 10 (b)'!$V24</f>
        <v>20.604344096544249</v>
      </c>
      <c r="L18" s="22">
        <f>'[2]Dia 11 (b)'!$V24</f>
        <v>20.535635205763654</v>
      </c>
      <c r="M18" s="22">
        <f>'[2]Dia 12 (b)'!$V24</f>
        <v>17.832065054773306</v>
      </c>
      <c r="N18" s="22">
        <f>'[2]Dia 13 (b)'!$V24</f>
        <v>18.394276486696619</v>
      </c>
      <c r="O18" s="22">
        <f>'[2]Dia 14 (b)'!$V24</f>
        <v>21.299599750697983</v>
      </c>
      <c r="P18" s="22">
        <f>'[2]Dia 15 (b)'!$V24</f>
        <v>19.627196497975678</v>
      </c>
      <c r="Q18" s="22">
        <f>'[2]Dia 16 (b)'!$V24</f>
        <v>19.535134904190965</v>
      </c>
      <c r="R18" s="22">
        <f>'[2]Dia 17 (b)'!$V24</f>
        <v>19.922999138947745</v>
      </c>
      <c r="S18" s="22">
        <f>'[2]Dia 18 (b)'!$V24</f>
        <v>19.714164909472089</v>
      </c>
      <c r="T18" s="22">
        <f>'[2]Dia 19 (b)'!$V24</f>
        <v>21.668191880100181</v>
      </c>
      <c r="U18" s="22">
        <f>'[2]Dia 20 (b)'!$V24</f>
        <v>20.353458455673628</v>
      </c>
      <c r="V18" s="22">
        <f>'[2]Dia 21 (b)'!$V24</f>
        <v>21.247999866022315</v>
      </c>
      <c r="W18" s="22">
        <f>'[2]Dia 22 (b)'!$V24</f>
        <v>20.965152647819846</v>
      </c>
      <c r="X18" s="22">
        <f>'[2]Dia 23 (b)'!$V24</f>
        <v>19.836392252765567</v>
      </c>
      <c r="Y18" s="22">
        <f>'[2]Dia 24 (b)'!$V24</f>
        <v>20.958501852161429</v>
      </c>
      <c r="Z18" s="22">
        <f>'[2]Dia 25 (b)'!$V24</f>
        <v>21.825941075609506</v>
      </c>
      <c r="AA18" s="22">
        <f>'[2]Dia 26 (b)'!$V24</f>
        <v>21.322190258285517</v>
      </c>
      <c r="AB18" s="22">
        <f>'[2]Dia 27 (b)'!$V24</f>
        <v>20.560536317378176</v>
      </c>
      <c r="AC18" s="22">
        <f>'[2]Dia 28 (b)'!$V24</f>
        <v>22.839823713920669</v>
      </c>
      <c r="AD18" s="22">
        <f>'[2]Dia 29 (b)'!$V24</f>
        <v>19.056809700745809</v>
      </c>
      <c r="AE18" s="22"/>
      <c r="AF18" s="23"/>
      <c r="AG18" s="19"/>
      <c r="AH18" s="20"/>
      <c r="AI18" s="21"/>
    </row>
    <row r="19" spans="1:35" ht="15.75">
      <c r="A19" s="16">
        <v>16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8"/>
      <c r="AG19" s="19"/>
      <c r="AH19" s="20"/>
      <c r="AI19" s="21"/>
    </row>
    <row r="20" spans="1:35" ht="15.75">
      <c r="A20" s="16">
        <v>17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8"/>
      <c r="AG20" s="19"/>
      <c r="AH20" s="20"/>
      <c r="AI20" s="21"/>
    </row>
    <row r="21" spans="1:35" ht="15.75">
      <c r="A21" s="16">
        <v>18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8"/>
      <c r="AG21" s="19"/>
      <c r="AH21" s="20"/>
      <c r="AI21" s="21"/>
    </row>
    <row r="22" spans="1:35" ht="15.75">
      <c r="A22" s="16">
        <v>19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8"/>
      <c r="AG22" s="19"/>
      <c r="AH22" s="20"/>
      <c r="AI22" s="21"/>
    </row>
    <row r="23" spans="1:35" ht="15.75">
      <c r="A23" s="16">
        <v>20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8"/>
      <c r="AG23" s="19"/>
      <c r="AH23" s="20"/>
      <c r="AI23" s="21"/>
    </row>
    <row r="24" spans="1:35" ht="15.75">
      <c r="A24" s="16">
        <v>21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8"/>
      <c r="AG24" s="19"/>
      <c r="AH24" s="20"/>
      <c r="AI24" s="21"/>
    </row>
    <row r="25" spans="1:35" ht="15.75">
      <c r="A25" s="16">
        <v>22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8"/>
      <c r="AG25" s="19"/>
      <c r="AH25" s="20"/>
      <c r="AI25" s="21"/>
    </row>
    <row r="26" spans="1:35" ht="15.75">
      <c r="A26" s="16">
        <v>23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8"/>
      <c r="AG26" s="19"/>
      <c r="AH26" s="20"/>
      <c r="AI26" s="21"/>
    </row>
    <row r="27" spans="1:35" ht="16.5" thickBot="1">
      <c r="A27" s="16">
        <v>24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8"/>
      <c r="AG27" s="19"/>
      <c r="AH27" s="20"/>
      <c r="AI27" s="21"/>
    </row>
    <row r="28" spans="1:35" ht="16.5" thickTop="1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6"/>
      <c r="AG28" s="19"/>
      <c r="AH28" s="20"/>
      <c r="AI28" s="21"/>
    </row>
    <row r="29" spans="1:35" ht="15.75">
      <c r="A29" s="27"/>
      <c r="B29" s="28" t="s">
        <v>5</v>
      </c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30"/>
      <c r="AG29" s="19"/>
      <c r="AH29" s="20"/>
      <c r="AI29" s="21"/>
    </row>
    <row r="30" spans="1:35" ht="15.75">
      <c r="A30" s="31" t="s">
        <v>6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0"/>
    </row>
    <row r="31" spans="1:35" ht="15.75">
      <c r="A31" s="31" t="s">
        <v>7</v>
      </c>
      <c r="B31" s="33">
        <f>AVERAGE(B4:B27)</f>
        <v>17.517791235008072</v>
      </c>
      <c r="C31" s="33">
        <f t="shared" ref="C31:AC31" si="0">AVERAGE(C4:C27)</f>
        <v>18.941990710800823</v>
      </c>
      <c r="D31" s="33">
        <f t="shared" si="0"/>
        <v>18.92205327194371</v>
      </c>
      <c r="E31" s="33">
        <f t="shared" si="0"/>
        <v>17.908863661442105</v>
      </c>
      <c r="F31" s="33">
        <f t="shared" si="0"/>
        <v>16.55039919741586</v>
      </c>
      <c r="G31" s="33">
        <f t="shared" si="0"/>
        <v>18.797379610880167</v>
      </c>
      <c r="H31" s="33">
        <f t="shared" si="0"/>
        <v>18.621069937407345</v>
      </c>
      <c r="I31" s="33">
        <f t="shared" si="0"/>
        <v>18.998848447328658</v>
      </c>
      <c r="J31" s="33">
        <f t="shared" si="0"/>
        <v>19.929642345674505</v>
      </c>
      <c r="K31" s="33">
        <f t="shared" si="0"/>
        <v>18.825794664756529</v>
      </c>
      <c r="L31" s="33">
        <f t="shared" si="0"/>
        <v>18.15316713716971</v>
      </c>
      <c r="M31" s="33">
        <f t="shared" si="0"/>
        <v>18.688079104782492</v>
      </c>
      <c r="N31" s="33">
        <f t="shared" si="0"/>
        <v>19.010710548784129</v>
      </c>
      <c r="O31" s="33">
        <f t="shared" si="0"/>
        <v>20.376137791912285</v>
      </c>
      <c r="P31" s="33">
        <f>AVERAGE(P4:P27)</f>
        <v>19.583500307793699</v>
      </c>
      <c r="Q31" s="33">
        <f t="shared" si="0"/>
        <v>18.856554253846021</v>
      </c>
      <c r="R31" s="33">
        <f t="shared" si="0"/>
        <v>17.731878882243606</v>
      </c>
      <c r="S31" s="33">
        <f t="shared" si="0"/>
        <v>19.117316296421571</v>
      </c>
      <c r="T31" s="33">
        <f t="shared" si="0"/>
        <v>19.203748849286839</v>
      </c>
      <c r="U31" s="33">
        <f t="shared" si="0"/>
        <v>20.787415658253902</v>
      </c>
      <c r="V31" s="33">
        <f t="shared" si="0"/>
        <v>19.33013584213538</v>
      </c>
      <c r="W31" s="33">
        <f t="shared" si="0"/>
        <v>19.603565730906229</v>
      </c>
      <c r="X31" s="33">
        <f t="shared" si="0"/>
        <v>20.135424886620399</v>
      </c>
      <c r="Y31" s="33">
        <f t="shared" si="0"/>
        <v>21.024812736724041</v>
      </c>
      <c r="Z31" s="33">
        <f t="shared" si="0"/>
        <v>21.264913861005141</v>
      </c>
      <c r="AA31" s="33">
        <f t="shared" si="0"/>
        <v>20.839587821673092</v>
      </c>
      <c r="AB31" s="33">
        <f t="shared" si="0"/>
        <v>20.562484648142483</v>
      </c>
      <c r="AC31" s="33">
        <f t="shared" si="0"/>
        <v>22.070487309953542</v>
      </c>
      <c r="AD31" s="33">
        <f>AVERAGE(AD4:AD27)</f>
        <v>20.343216692296462</v>
      </c>
      <c r="AE31" s="33"/>
      <c r="AF31" s="34"/>
    </row>
    <row r="32" spans="1:35" ht="15">
      <c r="A32" s="35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7"/>
    </row>
    <row r="33" spans="1:32" ht="15">
      <c r="A33" s="35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7"/>
    </row>
    <row r="34" spans="1:32" ht="15.75">
      <c r="A34" s="31" t="s">
        <v>8</v>
      </c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7"/>
    </row>
    <row r="35" spans="1:32" ht="15.75">
      <c r="A35" s="31" t="s">
        <v>7</v>
      </c>
      <c r="B35" s="33">
        <f>MAX(B4:B27)</f>
        <v>19.965633416916006</v>
      </c>
      <c r="C35" s="33">
        <f t="shared" ref="C35:AC35" si="1">MAX(C4:C27)</f>
        <v>20.693335315677874</v>
      </c>
      <c r="D35" s="33">
        <f t="shared" si="1"/>
        <v>19.805184284663817</v>
      </c>
      <c r="E35" s="33">
        <f t="shared" si="1"/>
        <v>19.971852414233755</v>
      </c>
      <c r="F35" s="33">
        <f t="shared" si="1"/>
        <v>18.916892048306</v>
      </c>
      <c r="G35" s="33">
        <f t="shared" si="1"/>
        <v>19.792357762759476</v>
      </c>
      <c r="H35" s="33">
        <f t="shared" si="1"/>
        <v>21.41458257269613</v>
      </c>
      <c r="I35" s="33">
        <f t="shared" si="1"/>
        <v>20.157903377190898</v>
      </c>
      <c r="J35" s="33">
        <f t="shared" si="1"/>
        <v>21.384798707719636</v>
      </c>
      <c r="K35" s="33">
        <f t="shared" si="1"/>
        <v>20.604344096544249</v>
      </c>
      <c r="L35" s="33">
        <f t="shared" si="1"/>
        <v>20.535635205763654</v>
      </c>
      <c r="M35" s="33">
        <f t="shared" si="1"/>
        <v>19.556838910504926</v>
      </c>
      <c r="N35" s="33">
        <f t="shared" si="1"/>
        <v>19.95934702078366</v>
      </c>
      <c r="O35" s="33">
        <f t="shared" si="1"/>
        <v>21.662281315712523</v>
      </c>
      <c r="P35" s="33">
        <f>MAX(P4:P27)</f>
        <v>19.85997156926468</v>
      </c>
      <c r="Q35" s="33">
        <f t="shared" si="1"/>
        <v>19.620994246815197</v>
      </c>
      <c r="R35" s="33">
        <f t="shared" si="1"/>
        <v>19.922999138947745</v>
      </c>
      <c r="S35" s="33">
        <f t="shared" si="1"/>
        <v>20.555279267142222</v>
      </c>
      <c r="T35" s="33">
        <f t="shared" si="1"/>
        <v>21.668191880100181</v>
      </c>
      <c r="U35" s="33">
        <f t="shared" si="1"/>
        <v>22.133091875716616</v>
      </c>
      <c r="V35" s="33">
        <f t="shared" si="1"/>
        <v>21.247999866022315</v>
      </c>
      <c r="W35" s="33">
        <f t="shared" si="1"/>
        <v>20.965152647819846</v>
      </c>
      <c r="X35" s="33">
        <f t="shared" si="1"/>
        <v>20.834112088181097</v>
      </c>
      <c r="Y35" s="33">
        <f t="shared" si="1"/>
        <v>22.224841521322453</v>
      </c>
      <c r="Z35" s="33">
        <f t="shared" si="1"/>
        <v>21.825941075609506</v>
      </c>
      <c r="AA35" s="33">
        <f t="shared" si="1"/>
        <v>21.479608323877496</v>
      </c>
      <c r="AB35" s="33">
        <f t="shared" si="1"/>
        <v>21.462163742201835</v>
      </c>
      <c r="AC35" s="33">
        <f t="shared" si="1"/>
        <v>24.416995084684036</v>
      </c>
      <c r="AD35" s="33">
        <f>MAX(AD4:AD27)</f>
        <v>21.784452913764792</v>
      </c>
      <c r="AE35" s="33"/>
      <c r="AF35" s="34"/>
    </row>
    <row r="36" spans="1:32" ht="15">
      <c r="A36" s="35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7"/>
    </row>
    <row r="37" spans="1:32" ht="15">
      <c r="A37" s="35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7"/>
    </row>
    <row r="38" spans="1:32" ht="15.75">
      <c r="A38" s="31" t="s">
        <v>9</v>
      </c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7"/>
    </row>
    <row r="39" spans="1:32" ht="15.75">
      <c r="A39" s="31" t="s">
        <v>7</v>
      </c>
      <c r="B39" s="33">
        <f>MIN(B4:B27)</f>
        <v>16.029610736615915</v>
      </c>
      <c r="C39" s="33">
        <f t="shared" ref="C39:AC39" si="2">MIN(C4:C27)</f>
        <v>17.62726137968863</v>
      </c>
      <c r="D39" s="33">
        <f t="shared" si="2"/>
        <v>18.119170558329522</v>
      </c>
      <c r="E39" s="33">
        <f t="shared" si="2"/>
        <v>15.912874572334488</v>
      </c>
      <c r="F39" s="33">
        <f t="shared" si="2"/>
        <v>14.541590684915761</v>
      </c>
      <c r="G39" s="33">
        <f t="shared" si="2"/>
        <v>18.026601509353473</v>
      </c>
      <c r="H39" s="33">
        <f t="shared" si="2"/>
        <v>16.275218215864477</v>
      </c>
      <c r="I39" s="33">
        <f t="shared" si="2"/>
        <v>16.765405668506475</v>
      </c>
      <c r="J39" s="33">
        <f t="shared" si="2"/>
        <v>18.840402939044399</v>
      </c>
      <c r="K39" s="33">
        <f t="shared" si="2"/>
        <v>15.422950625373376</v>
      </c>
      <c r="L39" s="33">
        <f t="shared" si="2"/>
        <v>16.423558262996828</v>
      </c>
      <c r="M39" s="33">
        <f t="shared" si="2"/>
        <v>17.744152071666278</v>
      </c>
      <c r="N39" s="33">
        <f t="shared" si="2"/>
        <v>18.394276486696619</v>
      </c>
      <c r="O39" s="33">
        <f t="shared" si="2"/>
        <v>19.187647364233847</v>
      </c>
      <c r="P39" s="33">
        <f>MIN(P4:P27)</f>
        <v>19.223611368240348</v>
      </c>
      <c r="Q39" s="33">
        <f t="shared" si="2"/>
        <v>18.1544041920944</v>
      </c>
      <c r="R39" s="33">
        <f t="shared" si="2"/>
        <v>15.978648513854942</v>
      </c>
      <c r="S39" s="33">
        <f t="shared" si="2"/>
        <v>18.49833343892449</v>
      </c>
      <c r="T39" s="33">
        <f t="shared" si="2"/>
        <v>17.375108688996153</v>
      </c>
      <c r="U39" s="33">
        <f t="shared" si="2"/>
        <v>19.745400457974981</v>
      </c>
      <c r="V39" s="33">
        <f t="shared" si="2"/>
        <v>18.224986279138012</v>
      </c>
      <c r="W39" s="33">
        <f t="shared" si="2"/>
        <v>18.423082104573091</v>
      </c>
      <c r="X39" s="33">
        <f t="shared" si="2"/>
        <v>19.607003776029053</v>
      </c>
      <c r="Y39" s="33">
        <f t="shared" si="2"/>
        <v>20.43600986695359</v>
      </c>
      <c r="Z39" s="33">
        <f t="shared" si="2"/>
        <v>20.821692489904223</v>
      </c>
      <c r="AA39" s="33">
        <f t="shared" si="2"/>
        <v>19.894534095743651</v>
      </c>
      <c r="AB39" s="33">
        <f t="shared" si="2"/>
        <v>20.165040000589194</v>
      </c>
      <c r="AC39" s="33">
        <f t="shared" si="2"/>
        <v>21.218262991787782</v>
      </c>
      <c r="AD39" s="33">
        <f>MIN(AD4:AD27)</f>
        <v>18.769984853545711</v>
      </c>
      <c r="AE39" s="33"/>
      <c r="AF39" s="34"/>
    </row>
    <row r="40" spans="1:32" ht="15">
      <c r="A40" s="35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38"/>
    </row>
    <row r="41" spans="1:32" ht="15">
      <c r="A41" s="35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38"/>
    </row>
    <row r="42" spans="1:32" ht="15.75">
      <c r="A42" s="31" t="s">
        <v>10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38"/>
    </row>
    <row r="43" spans="1:32" ht="15.75">
      <c r="A43" s="31" t="s">
        <v>7</v>
      </c>
      <c r="B43" s="39">
        <f>B35-B39</f>
        <v>3.9360226803000913</v>
      </c>
      <c r="C43" s="39">
        <f t="shared" ref="C43:AC43" si="3">C35-C39</f>
        <v>3.0660739359892446</v>
      </c>
      <c r="D43" s="39">
        <f t="shared" si="3"/>
        <v>1.6860137263342949</v>
      </c>
      <c r="E43" s="39">
        <f t="shared" si="3"/>
        <v>4.0589778418992672</v>
      </c>
      <c r="F43" s="39">
        <f t="shared" si="3"/>
        <v>4.3753013633902391</v>
      </c>
      <c r="G43" s="39">
        <f t="shared" si="3"/>
        <v>1.7657562534060034</v>
      </c>
      <c r="H43" s="39">
        <f t="shared" si="3"/>
        <v>5.1393643568316527</v>
      </c>
      <c r="I43" s="39">
        <f t="shared" si="3"/>
        <v>3.3924977086844237</v>
      </c>
      <c r="J43" s="39">
        <f t="shared" si="3"/>
        <v>2.544395768675237</v>
      </c>
      <c r="K43" s="39">
        <f t="shared" si="3"/>
        <v>5.1813934711708729</v>
      </c>
      <c r="L43" s="39">
        <f t="shared" si="3"/>
        <v>4.1120769427668264</v>
      </c>
      <c r="M43" s="39">
        <f t="shared" si="3"/>
        <v>1.8126868388386477</v>
      </c>
      <c r="N43" s="39">
        <f t="shared" si="3"/>
        <v>1.5650705340870417</v>
      </c>
      <c r="O43" s="39">
        <f t="shared" si="3"/>
        <v>2.4746339514786762</v>
      </c>
      <c r="P43" s="39">
        <f>P35-P39</f>
        <v>0.63636020102433122</v>
      </c>
      <c r="Q43" s="39">
        <f t="shared" si="3"/>
        <v>1.4665900547207968</v>
      </c>
      <c r="R43" s="39">
        <f t="shared" si="3"/>
        <v>3.9443506250928024</v>
      </c>
      <c r="S43" s="39">
        <f t="shared" si="3"/>
        <v>2.0569458282177315</v>
      </c>
      <c r="T43" s="39">
        <f t="shared" si="3"/>
        <v>4.2930831911040279</v>
      </c>
      <c r="U43" s="39">
        <f t="shared" si="3"/>
        <v>2.3876914177416353</v>
      </c>
      <c r="V43" s="39">
        <f t="shared" si="3"/>
        <v>3.0230135868843035</v>
      </c>
      <c r="W43" s="39">
        <f t="shared" si="3"/>
        <v>2.542070543246755</v>
      </c>
      <c r="X43" s="39">
        <f t="shared" si="3"/>
        <v>1.2271083121520441</v>
      </c>
      <c r="Y43" s="39">
        <f t="shared" si="3"/>
        <v>1.7888316543688632</v>
      </c>
      <c r="Z43" s="39">
        <f t="shared" si="3"/>
        <v>1.0042485857052839</v>
      </c>
      <c r="AA43" s="39">
        <f t="shared" si="3"/>
        <v>1.5850742281338448</v>
      </c>
      <c r="AB43" s="39">
        <f t="shared" si="3"/>
        <v>1.2971237416126407</v>
      </c>
      <c r="AC43" s="39">
        <f t="shared" si="3"/>
        <v>3.1987320928962539</v>
      </c>
      <c r="AD43" s="39">
        <f>AD35-AD39</f>
        <v>3.0144680602190803</v>
      </c>
      <c r="AE43" s="39"/>
      <c r="AF43" s="34"/>
    </row>
    <row r="44" spans="1:32">
      <c r="A44" s="27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38"/>
    </row>
    <row r="45" spans="1:32">
      <c r="A45" s="27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38"/>
    </row>
    <row r="46" spans="1:32" ht="15.75">
      <c r="A46" s="27"/>
      <c r="B46" s="1"/>
      <c r="C46" s="1"/>
      <c r="D46" s="1"/>
      <c r="E46" s="1"/>
      <c r="F46" s="1"/>
      <c r="G46" s="1"/>
      <c r="H46" s="1"/>
      <c r="I46" s="40" t="s">
        <v>6</v>
      </c>
      <c r="J46" s="41"/>
      <c r="K46" s="41"/>
      <c r="L46" s="42" t="s">
        <v>8</v>
      </c>
      <c r="M46" s="43"/>
      <c r="N46" s="43"/>
      <c r="O46" s="42" t="s">
        <v>9</v>
      </c>
      <c r="P46" s="43"/>
      <c r="Q46" s="43"/>
      <c r="R46" s="42" t="s">
        <v>10</v>
      </c>
      <c r="S46" s="44"/>
      <c r="T46" s="41"/>
      <c r="U46" s="43" t="s">
        <v>6</v>
      </c>
      <c r="V46" s="43"/>
      <c r="W46" s="43" t="s">
        <v>6</v>
      </c>
      <c r="X46" s="43"/>
      <c r="Y46" s="43" t="s">
        <v>11</v>
      </c>
      <c r="Z46" s="43"/>
      <c r="AA46" s="1"/>
      <c r="AB46" s="1"/>
      <c r="AC46" s="1"/>
      <c r="AD46" s="1"/>
      <c r="AE46" s="1"/>
      <c r="AF46" s="38"/>
    </row>
    <row r="47" spans="1:32" ht="15.75">
      <c r="A47" s="27"/>
      <c r="B47" s="1"/>
      <c r="C47" s="1"/>
      <c r="D47" s="1"/>
      <c r="E47" s="1"/>
      <c r="F47" s="1"/>
      <c r="G47" s="1"/>
      <c r="H47" s="1"/>
      <c r="I47" s="45" t="s">
        <v>12</v>
      </c>
      <c r="J47" s="41"/>
      <c r="K47" s="41"/>
      <c r="L47" s="43" t="s">
        <v>12</v>
      </c>
      <c r="M47" s="43"/>
      <c r="N47" s="43"/>
      <c r="O47" s="43" t="s">
        <v>12</v>
      </c>
      <c r="P47" s="43"/>
      <c r="Q47" s="43"/>
      <c r="R47" s="43" t="s">
        <v>12</v>
      </c>
      <c r="S47" s="44"/>
      <c r="T47" s="41"/>
      <c r="U47" s="43" t="s">
        <v>13</v>
      </c>
      <c r="V47" s="43"/>
      <c r="W47" s="43" t="s">
        <v>14</v>
      </c>
      <c r="X47" s="43"/>
      <c r="Y47" s="43" t="s">
        <v>15</v>
      </c>
      <c r="Z47" s="43"/>
      <c r="AA47" s="1"/>
      <c r="AB47" s="1"/>
      <c r="AC47" s="1"/>
      <c r="AD47" s="1"/>
      <c r="AE47" s="1"/>
      <c r="AF47" s="38"/>
    </row>
    <row r="48" spans="1:32" ht="15">
      <c r="A48" s="27"/>
      <c r="B48" s="1"/>
      <c r="C48" s="1"/>
      <c r="D48" s="1"/>
      <c r="E48" s="1"/>
      <c r="F48" s="1"/>
      <c r="G48" s="1"/>
      <c r="H48" s="1"/>
      <c r="I48" s="29"/>
      <c r="J48" s="1"/>
      <c r="K48" s="1"/>
      <c r="L48" s="36"/>
      <c r="M48" s="36"/>
      <c r="N48" s="36"/>
      <c r="O48" s="36"/>
      <c r="P48" s="36"/>
      <c r="Q48" s="36"/>
      <c r="R48" s="36"/>
      <c r="S48" s="36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38"/>
    </row>
    <row r="49" spans="1:35" s="52" customFormat="1" ht="15.75" thickBot="1">
      <c r="A49" s="46"/>
      <c r="B49" s="47"/>
      <c r="C49" s="47"/>
      <c r="D49" s="47"/>
      <c r="E49" s="47"/>
      <c r="F49" s="47"/>
      <c r="G49" s="47"/>
      <c r="H49" s="47"/>
      <c r="I49" s="48">
        <f>AVERAGE(B31:AF31)</f>
        <v>19.368861084227891</v>
      </c>
      <c r="J49" s="47"/>
      <c r="K49" s="47"/>
      <c r="L49" s="48">
        <f>MAX(B35:AF35)</f>
        <v>24.416995084684036</v>
      </c>
      <c r="M49" s="49"/>
      <c r="N49" s="49"/>
      <c r="O49" s="48">
        <f>MIN(B39:AF39)</f>
        <v>14.541590684915761</v>
      </c>
      <c r="P49" s="49"/>
      <c r="Q49" s="49"/>
      <c r="R49" s="48">
        <f>L49-O49</f>
        <v>9.875404399768275</v>
      </c>
      <c r="S49" s="49"/>
      <c r="T49" s="47"/>
      <c r="U49" s="48">
        <f>AVERAGE(B35:AF35)</f>
        <v>20.842164885894569</v>
      </c>
      <c r="V49" s="50"/>
      <c r="W49" s="48">
        <f>AVERAGE(B39:AF39)</f>
        <v>18.132649110136889</v>
      </c>
      <c r="X49" s="50"/>
      <c r="Y49" s="48">
        <f>U49-W49</f>
        <v>2.70951577575768</v>
      </c>
      <c r="Z49" s="47"/>
      <c r="AA49" s="47"/>
      <c r="AB49" s="47"/>
      <c r="AC49" s="47"/>
      <c r="AD49" s="47"/>
      <c r="AE49" s="47"/>
      <c r="AF49" s="51"/>
    </row>
    <row r="50" spans="1:35" ht="13.5" thickTop="1">
      <c r="AI50" s="53"/>
    </row>
  </sheetData>
  <pageMargins left="0.78740157499999996" right="0.78740157499999996" top="0.984251969" bottom="0.984251969" header="0.49212598499999999" footer="0.49212598499999999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I50"/>
  <sheetViews>
    <sheetView zoomScale="75" zoomScaleNormal="75" workbookViewId="0">
      <selection activeCell="E23" sqref="E23"/>
    </sheetView>
  </sheetViews>
  <sheetFormatPr defaultRowHeight="12.75"/>
  <cols>
    <col min="33" max="33" width="9.140625" style="10"/>
    <col min="34" max="34" width="12.7109375" customWidth="1"/>
  </cols>
  <sheetData>
    <row r="1" spans="1:35" ht="18">
      <c r="A1" s="1"/>
      <c r="B1" s="2" t="s">
        <v>17</v>
      </c>
      <c r="C1" s="3"/>
      <c r="D1" s="4"/>
      <c r="E1" s="5"/>
      <c r="F1" s="1"/>
      <c r="G1" s="1"/>
      <c r="H1" s="1"/>
      <c r="I1" s="1"/>
      <c r="J1" s="6"/>
      <c r="K1" s="6"/>
      <c r="L1" s="7" t="s">
        <v>1</v>
      </c>
      <c r="M1" s="8" t="s">
        <v>2</v>
      </c>
      <c r="N1" s="9" t="s">
        <v>3</v>
      </c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5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5" ht="16.5" thickBot="1">
      <c r="A3" s="11" t="s">
        <v>4</v>
      </c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2">
        <v>8</v>
      </c>
      <c r="J3" s="12">
        <v>9</v>
      </c>
      <c r="K3" s="12">
        <v>10</v>
      </c>
      <c r="L3" s="12">
        <v>11</v>
      </c>
      <c r="M3" s="12">
        <v>12</v>
      </c>
      <c r="N3" s="12">
        <v>13</v>
      </c>
      <c r="O3" s="12">
        <v>14</v>
      </c>
      <c r="P3" s="12">
        <v>15</v>
      </c>
      <c r="Q3" s="12">
        <v>16</v>
      </c>
      <c r="R3" s="12">
        <v>17</v>
      </c>
      <c r="S3" s="12">
        <v>18</v>
      </c>
      <c r="T3" s="12">
        <v>19</v>
      </c>
      <c r="U3" s="12">
        <v>20</v>
      </c>
      <c r="V3" s="12">
        <v>21</v>
      </c>
      <c r="W3" s="12">
        <v>22</v>
      </c>
      <c r="X3" s="12">
        <v>23</v>
      </c>
      <c r="Y3" s="12">
        <v>24</v>
      </c>
      <c r="Z3" s="13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5">
        <v>31</v>
      </c>
    </row>
    <row r="4" spans="1:35" ht="15.75">
      <c r="A4" s="16">
        <v>1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8"/>
      <c r="AG4" s="19"/>
      <c r="AH4" s="20"/>
      <c r="AI4" s="21"/>
    </row>
    <row r="5" spans="1:35" ht="15.75">
      <c r="A5" s="16">
        <v>2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8"/>
      <c r="AG5" s="19"/>
      <c r="AH5" s="20"/>
      <c r="AI5" s="21"/>
    </row>
    <row r="6" spans="1:35" ht="15.75">
      <c r="A6" s="16">
        <v>3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8"/>
      <c r="AG6" s="19"/>
      <c r="AH6" s="20"/>
      <c r="AI6" s="21"/>
    </row>
    <row r="7" spans="1:35" ht="15.75">
      <c r="A7" s="16">
        <v>4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8"/>
      <c r="AG7" s="19"/>
      <c r="AH7" s="20"/>
      <c r="AI7" s="21"/>
    </row>
    <row r="8" spans="1:35" ht="15.75">
      <c r="A8" s="16">
        <v>5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8"/>
      <c r="AG8" s="19"/>
      <c r="AH8" s="20"/>
      <c r="AI8" s="21"/>
    </row>
    <row r="9" spans="1:35" ht="15.75">
      <c r="A9" s="16">
        <v>6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8"/>
      <c r="AG9" s="19"/>
      <c r="AH9" s="20"/>
      <c r="AI9" s="21"/>
    </row>
    <row r="10" spans="1:35" ht="15.75">
      <c r="A10" s="16">
        <v>7</v>
      </c>
      <c r="B10" s="22">
        <f>'[3]Dia 1 (b)'!$V16</f>
        <v>21.224053709373354</v>
      </c>
      <c r="C10" s="22">
        <f>'[3]Dia 2 (b)'!$V16</f>
        <v>18.201606398905732</v>
      </c>
      <c r="D10" s="22">
        <f>'[3]Dia 3 (b)'!$V16</f>
        <v>17.556262417883886</v>
      </c>
      <c r="E10" s="22">
        <f>'[3]Dia 4 (b)'!$V16</f>
        <v>19.250059636813273</v>
      </c>
      <c r="F10" s="22">
        <f>'[3]Dia 5 (b)'!$V16</f>
        <v>21.040079173958652</v>
      </c>
      <c r="G10" s="22">
        <f>'[3]Dia 6 (b)'!$V16</f>
        <v>21.241643141575825</v>
      </c>
      <c r="H10" s="22">
        <f>'[3]Dia 7 (b)'!$V16</f>
        <v>19.61273457563426</v>
      </c>
      <c r="I10" s="22">
        <f>'[3]Dia 8 (b)'!$V16</f>
        <v>20.177955086411142</v>
      </c>
      <c r="J10" s="22">
        <f>'[3]Dia 9 (b)'!$V16</f>
        <v>21.784577997898658</v>
      </c>
      <c r="K10" s="22">
        <f>'[3]Dia 10 (b)'!$V16</f>
        <v>21.268829743343751</v>
      </c>
      <c r="L10" s="22">
        <f>'[3]Dia 11 (b)'!$V16</f>
        <v>18.942984874698883</v>
      </c>
      <c r="M10" s="22">
        <f>'[3]Dia 12 (b)'!$V16</f>
        <v>16.086644825901296</v>
      </c>
      <c r="N10" s="22">
        <f>'[3]Dia 13 (b)'!$V16</f>
        <v>18.864961210148916</v>
      </c>
      <c r="O10" s="22">
        <f>'[3]Dia 14 (b)'!$V16</f>
        <v>20.93903932868923</v>
      </c>
      <c r="P10" s="22">
        <f>'[3]Dia 15 (b)'!$V16</f>
        <v>21.042256104897145</v>
      </c>
      <c r="Q10" s="22">
        <f>'[3]Dia 16 (b)'!$V16</f>
        <v>21.07071466318461</v>
      </c>
      <c r="R10" s="22">
        <f>'[3]Dia 17 (b)'!$V16</f>
        <v>21.512794089137834</v>
      </c>
      <c r="S10" s="22">
        <f>'[3]Dia 18 (b)'!$V16</f>
        <v>20.818974228094721</v>
      </c>
      <c r="T10" s="22">
        <f>'[3]Dia 19 (b)'!$V16</f>
        <v>21.544408991262149</v>
      </c>
      <c r="U10" s="22">
        <f>'[3]Dia 20 (b)'!$V16</f>
        <v>21.567896525345141</v>
      </c>
      <c r="V10" s="22">
        <f>'[3]Dia 21 (b)'!$V16</f>
        <v>21.039751195646733</v>
      </c>
      <c r="W10" s="22">
        <f>'[3]Dia 22 (b)'!$V16</f>
        <v>19.786342861621755</v>
      </c>
      <c r="X10" s="22">
        <f>'[3]Dia 23 (b)'!$V16</f>
        <v>15.451076843654704</v>
      </c>
      <c r="Y10" s="22">
        <f>'[3]Dia 24 (b)'!$V16</f>
        <v>17.252468515753257</v>
      </c>
      <c r="Z10" s="22">
        <f>'[3]Dia 25 (b)'!$V16</f>
        <v>17.351112767911193</v>
      </c>
      <c r="AA10" s="22">
        <f>'[3]Dia 26 (b)'!$V16</f>
        <v>17.102463480005284</v>
      </c>
      <c r="AB10" s="22">
        <f>'[3]Dia 27 (b)'!$V16</f>
        <v>17.211555660415456</v>
      </c>
      <c r="AC10" s="22">
        <f>'[3]Dia 28 (b)'!$V16</f>
        <v>18.213310275340611</v>
      </c>
      <c r="AD10" s="22">
        <f>'[3]Dia 29 (b)'!$V16</f>
        <v>19.469003086096237</v>
      </c>
      <c r="AE10" s="22">
        <f>'[3]Dia 30 (b)'!$V16</f>
        <v>18.931801680097099</v>
      </c>
      <c r="AF10" s="23">
        <f>'[3]Dia 31 (b)'!$V16</f>
        <v>15.734296269646137</v>
      </c>
      <c r="AG10" s="19"/>
      <c r="AH10" s="20"/>
      <c r="AI10" s="21"/>
    </row>
    <row r="11" spans="1:35" ht="15.75">
      <c r="A11" s="16">
        <v>8</v>
      </c>
      <c r="B11" s="22">
        <f>'[3]Dia 1 (b)'!$V17</f>
        <v>21.416024442461921</v>
      </c>
      <c r="C11" s="22">
        <f>'[3]Dia 2 (b)'!$V17</f>
        <v>18.52743931593087</v>
      </c>
      <c r="D11" s="22">
        <f>'[3]Dia 3 (b)'!$V17</f>
        <v>17.421158542164974</v>
      </c>
      <c r="E11" s="22">
        <f>'[3]Dia 4 (b)'!$V17</f>
        <v>18.90412830787357</v>
      </c>
      <c r="F11" s="22">
        <f>'[3]Dia 5 (b)'!$V17</f>
        <v>21.012035669850285</v>
      </c>
      <c r="G11" s="22">
        <f>'[3]Dia 6 (b)'!$V17</f>
        <v>20.694861892738125</v>
      </c>
      <c r="H11" s="22">
        <f>'[3]Dia 7 (b)'!$V17</f>
        <v>20.012563525111126</v>
      </c>
      <c r="I11" s="22">
        <f>'[3]Dia 8 (b)'!$V17</f>
        <v>20.173242668392977</v>
      </c>
      <c r="J11" s="22">
        <f>'[3]Dia 9 (b)'!$V17</f>
        <v>22.215636659083689</v>
      </c>
      <c r="K11" s="22">
        <f>'[3]Dia 10 (b)'!$V17</f>
        <v>21.378993821443281</v>
      </c>
      <c r="L11" s="22">
        <f>'[3]Dia 11 (b)'!$V17</f>
        <v>18.253504107916175</v>
      </c>
      <c r="M11" s="22">
        <f>'[3]Dia 12 (b)'!$V17</f>
        <v>16.033779361542503</v>
      </c>
      <c r="N11" s="22">
        <f>'[3]Dia 13 (b)'!$V17</f>
        <v>19.238964569059245</v>
      </c>
      <c r="O11" s="22">
        <f>'[3]Dia 14 (b)'!$V17</f>
        <v>20.90666544880883</v>
      </c>
      <c r="P11" s="22">
        <f>'[3]Dia 15 (b)'!$V17</f>
        <v>21.071074305244</v>
      </c>
      <c r="Q11" s="22">
        <f>'[3]Dia 16 (b)'!$V17</f>
        <v>20.979514211577154</v>
      </c>
      <c r="R11" s="22">
        <f>'[3]Dia 17 (b)'!$V17</f>
        <v>21.571922730544212</v>
      </c>
      <c r="S11" s="22">
        <f>'[3]Dia 18 (b)'!$V17</f>
        <v>20.598933508779009</v>
      </c>
      <c r="T11" s="22">
        <f>'[3]Dia 19 (b)'!$V17</f>
        <v>22.035236886923052</v>
      </c>
      <c r="U11" s="22">
        <f>'[3]Dia 20 (b)'!$V17</f>
        <v>21.613118289962546</v>
      </c>
      <c r="V11" s="22">
        <f>'[3]Dia 21 (b)'!$V17</f>
        <v>20.630302755400916</v>
      </c>
      <c r="W11" s="22">
        <f>'[3]Dia 22 (b)'!$V17</f>
        <v>20.131809233234502</v>
      </c>
      <c r="X11" s="22">
        <f>'[3]Dia 23 (b)'!$V17</f>
        <v>15.766598546031002</v>
      </c>
      <c r="Y11" s="22">
        <f>'[3]Dia 24 (b)'!$V17</f>
        <v>17.252388097366911</v>
      </c>
      <c r="Z11" s="22">
        <f>'[3]Dia 25 (b)'!$V17</f>
        <v>17.507033370866331</v>
      </c>
      <c r="AA11" s="22">
        <f>'[3]Dia 26 (b)'!$V17</f>
        <v>18.050528367848916</v>
      </c>
      <c r="AB11" s="22">
        <f>'[3]Dia 27 (b)'!$V17</f>
        <v>16.600363671913236</v>
      </c>
      <c r="AC11" s="22">
        <f>'[3]Dia 28 (b)'!$V17</f>
        <v>18.368766059301262</v>
      </c>
      <c r="AD11" s="22">
        <f>'[3]Dia 29 (b)'!$V17</f>
        <v>19.785747187988356</v>
      </c>
      <c r="AE11" s="22">
        <f>'[3]Dia 30 (b)'!$V17</f>
        <v>18.841359132752672</v>
      </c>
      <c r="AF11" s="23">
        <f>'[3]Dia 31 (b)'!$V17</f>
        <v>18.535815928119966</v>
      </c>
      <c r="AG11" s="19"/>
      <c r="AH11" s="20"/>
      <c r="AI11" s="21"/>
    </row>
    <row r="12" spans="1:35" ht="15.75">
      <c r="A12" s="16">
        <v>9</v>
      </c>
      <c r="B12" s="22">
        <f>'[3]Dia 1 (b)'!$V18</f>
        <v>20.5067755119677</v>
      </c>
      <c r="C12" s="22">
        <f>'[3]Dia 2 (b)'!$V18</f>
        <v>17.061713579717129</v>
      </c>
      <c r="D12" s="22">
        <f>'[3]Dia 3 (b)'!$V18</f>
        <v>17.647948172698818</v>
      </c>
      <c r="E12" s="22">
        <f>'[3]Dia 4 (b)'!$V18</f>
        <v>18.736600263399723</v>
      </c>
      <c r="F12" s="22">
        <f>'[3]Dia 5 (b)'!$V18</f>
        <v>20.922366077473665</v>
      </c>
      <c r="G12" s="22">
        <f>'[3]Dia 6 (b)'!$V18</f>
        <v>20.511051870871537</v>
      </c>
      <c r="H12" s="22">
        <f>'[3]Dia 7 (b)'!$V18</f>
        <v>20.130725185536612</v>
      </c>
      <c r="I12" s="22">
        <f>'[3]Dia 8 (b)'!$V18</f>
        <v>20.046755460479108</v>
      </c>
      <c r="J12" s="22">
        <f>'[3]Dia 9 (b)'!$V18</f>
        <v>22.319597985793109</v>
      </c>
      <c r="K12" s="22">
        <f>'[3]Dia 10 (b)'!$V18</f>
        <v>21.624302967945525</v>
      </c>
      <c r="L12" s="22">
        <f>'[3]Dia 11 (b)'!$V18</f>
        <v>16.945660554475893</v>
      </c>
      <c r="M12" s="22">
        <f>'[3]Dia 12 (b)'!$V18</f>
        <v>15.483285630448064</v>
      </c>
      <c r="N12" s="22">
        <f>'[3]Dia 13 (b)'!$V18</f>
        <v>19.375868051241707</v>
      </c>
      <c r="O12" s="22">
        <f>'[3]Dia 14 (b)'!$V18</f>
        <v>20.662798149968253</v>
      </c>
      <c r="P12" s="22">
        <f>'[3]Dia 15 (b)'!$V18</f>
        <v>20.700434797900623</v>
      </c>
      <c r="Q12" s="22">
        <f>'[3]Dia 16 (b)'!$V18</f>
        <v>20.81596445661841</v>
      </c>
      <c r="R12" s="22">
        <f>'[3]Dia 17 (b)'!$V18</f>
        <v>20.909852938210491</v>
      </c>
      <c r="S12" s="22">
        <f>'[3]Dia 18 (b)'!$V18</f>
        <v>21.075283225161332</v>
      </c>
      <c r="T12" s="22">
        <f>'[3]Dia 19 (b)'!$V18</f>
        <v>21.590911496577434</v>
      </c>
      <c r="U12" s="22">
        <f>'[3]Dia 20 (b)'!$V18</f>
        <v>21.699943793041708</v>
      </c>
      <c r="V12" s="22">
        <f>'[3]Dia 21 (b)'!$V18</f>
        <v>21.042440273184841</v>
      </c>
      <c r="W12" s="22">
        <f>'[3]Dia 22 (b)'!$V18</f>
        <v>20.089345460708632</v>
      </c>
      <c r="X12" s="22">
        <f>'[3]Dia 23 (b)'!$V18</f>
        <v>15.495561969796361</v>
      </c>
      <c r="Y12" s="22">
        <f>'[3]Dia 24 (b)'!$V18</f>
        <v>17.82057171435827</v>
      </c>
      <c r="Z12" s="22">
        <f>'[3]Dia 25 (b)'!$V18</f>
        <v>17.383621403648142</v>
      </c>
      <c r="AA12" s="22">
        <f>'[3]Dia 26 (b)'!$V18</f>
        <v>17.248505487925712</v>
      </c>
      <c r="AB12" s="22">
        <f>'[3]Dia 27 (b)'!$V18</f>
        <v>16.809833839511814</v>
      </c>
      <c r="AC12" s="22">
        <f>'[3]Dia 28 (b)'!$V18</f>
        <v>18.672375164218376</v>
      </c>
      <c r="AD12" s="22">
        <f>'[3]Dia 29 (b)'!$V18</f>
        <v>19.556318516513656</v>
      </c>
      <c r="AE12" s="22">
        <f>'[3]Dia 30 (b)'!$V18</f>
        <v>18.695978150194446</v>
      </c>
      <c r="AF12" s="23">
        <f>'[3]Dia 31 (b)'!$V18</f>
        <v>17.296306764452016</v>
      </c>
      <c r="AG12" s="19"/>
      <c r="AH12" s="20"/>
      <c r="AI12" s="21"/>
    </row>
    <row r="13" spans="1:35" ht="15.75">
      <c r="A13" s="16">
        <v>10</v>
      </c>
      <c r="B13" s="22">
        <f>'[3]Dia 1 (b)'!$V19</f>
        <v>20.365634523994395</v>
      </c>
      <c r="C13" s="22">
        <f>'[3]Dia 2 (b)'!$V19</f>
        <v>16.36032770026009</v>
      </c>
      <c r="D13" s="22">
        <f>'[3]Dia 3 (b)'!$V19</f>
        <v>18.074507482290354</v>
      </c>
      <c r="E13" s="22">
        <f>'[3]Dia 4 (b)'!$V19</f>
        <v>18.689424817921591</v>
      </c>
      <c r="F13" s="22">
        <f>'[3]Dia 5 (b)'!$V19</f>
        <v>19.996785534164548</v>
      </c>
      <c r="G13" s="22">
        <f>'[3]Dia 6 (b)'!$V19</f>
        <v>19.53238573341795</v>
      </c>
      <c r="H13" s="22">
        <f>'[3]Dia 7 (b)'!$V19</f>
        <v>20.192731953695038</v>
      </c>
      <c r="I13" s="22">
        <f>'[3]Dia 8 (b)'!$V19</f>
        <v>20.316675557082803</v>
      </c>
      <c r="J13" s="22">
        <f>'[3]Dia 9 (b)'!$V19</f>
        <v>22.222632119756291</v>
      </c>
      <c r="K13" s="22">
        <f>'[3]Dia 10 (b)'!$V19</f>
        <v>21.530194862027624</v>
      </c>
      <c r="L13" s="22">
        <f>'[3]Dia 11 (b)'!$V19</f>
        <v>16.362803455716044</v>
      </c>
      <c r="M13" s="22">
        <f>'[3]Dia 12 (b)'!$V19</f>
        <v>14.384997646978373</v>
      </c>
      <c r="N13" s="22">
        <f>'[3]Dia 13 (b)'!$V19</f>
        <v>20.04889323045975</v>
      </c>
      <c r="O13" s="22">
        <f>'[3]Dia 14 (b)'!$V19</f>
        <v>20.756969065943125</v>
      </c>
      <c r="P13" s="22">
        <f>'[3]Dia 15 (b)'!$V19</f>
        <v>19.701299735593036</v>
      </c>
      <c r="Q13" s="22">
        <f>'[3]Dia 16 (b)'!$V19</f>
        <v>19.878920739315443</v>
      </c>
      <c r="R13" s="22">
        <f>'[3]Dia 17 (b)'!$V19</f>
        <v>20.848210012767996</v>
      </c>
      <c r="S13" s="22">
        <f>'[3]Dia 18 (b)'!$V19</f>
        <v>20.658351091504557</v>
      </c>
      <c r="T13" s="22">
        <f>'[3]Dia 19 (b)'!$V19</f>
        <v>21.466280028350216</v>
      </c>
      <c r="U13" s="22">
        <f>'[3]Dia 20 (b)'!$V19</f>
        <v>21.250391234121498</v>
      </c>
      <c r="V13" s="22">
        <f>'[3]Dia 21 (b)'!$V19</f>
        <v>21.004489715362993</v>
      </c>
      <c r="W13" s="22">
        <f>'[3]Dia 22 (b)'!$V19</f>
        <v>20.148152467786232</v>
      </c>
      <c r="X13" s="22">
        <f>'[3]Dia 23 (b)'!$V19</f>
        <v>16.073323974885003</v>
      </c>
      <c r="Y13" s="22">
        <f>'[3]Dia 24 (b)'!$V19</f>
        <v>17.405463039077315</v>
      </c>
      <c r="Z13" s="22">
        <f>'[3]Dia 25 (b)'!$V19</f>
        <v>17.646820251456642</v>
      </c>
      <c r="AA13" s="22">
        <f>'[3]Dia 26 (b)'!$V19</f>
        <v>16.469744134373677</v>
      </c>
      <c r="AB13" s="22">
        <f>'[3]Dia 27 (b)'!$V19</f>
        <v>16.767081233688241</v>
      </c>
      <c r="AC13" s="22">
        <f>'[3]Dia 28 (b)'!$V19</f>
        <v>19.235256116671252</v>
      </c>
      <c r="AD13" s="22">
        <f>'[3]Dia 29 (b)'!$V19</f>
        <v>19.450492569313614</v>
      </c>
      <c r="AE13" s="22">
        <f>'[3]Dia 30 (b)'!$V19</f>
        <v>18.525750414857296</v>
      </c>
      <c r="AF13" s="23">
        <f>'[3]Dia 31 (b)'!$V19</f>
        <v>16.656853769377982</v>
      </c>
      <c r="AG13" s="19"/>
      <c r="AH13" s="20"/>
      <c r="AI13" s="21"/>
    </row>
    <row r="14" spans="1:35" ht="15.75">
      <c r="A14" s="16">
        <v>11</v>
      </c>
      <c r="B14" s="22">
        <f>'[3]Dia 1 (b)'!$V20</f>
        <v>21.087061909389138</v>
      </c>
      <c r="C14" s="22">
        <f>'[3]Dia 2 (b)'!$V20</f>
        <v>15.756940270284385</v>
      </c>
      <c r="D14" s="22">
        <f>'[3]Dia 3 (b)'!$V20</f>
        <v>18.740797185300885</v>
      </c>
      <c r="E14" s="22">
        <f>'[3]Dia 4 (b)'!$V20</f>
        <v>18.32153118368414</v>
      </c>
      <c r="F14" s="22">
        <f>'[3]Dia 5 (b)'!$V20</f>
        <v>20.618000133245989</v>
      </c>
      <c r="G14" s="22">
        <f>'[3]Dia 6 (b)'!$V20</f>
        <v>19.498534330286287</v>
      </c>
      <c r="H14" s="22">
        <f>'[3]Dia 7 (b)'!$V20</f>
        <v>20.616065679347646</v>
      </c>
      <c r="I14" s="22">
        <f>'[3]Dia 8 (b)'!$V20</f>
        <v>20.185424509463864</v>
      </c>
      <c r="J14" s="22">
        <f>'[3]Dia 9 (b)'!$V20</f>
        <v>21.963226775615436</v>
      </c>
      <c r="K14" s="22">
        <f>'[3]Dia 10 (b)'!$V20</f>
        <v>21.224020910962565</v>
      </c>
      <c r="L14" s="22">
        <f>'[3]Dia 11 (b)'!$V20</f>
        <v>16.702915297935185</v>
      </c>
      <c r="M14" s="22">
        <f>'[3]Dia 12 (b)'!$V20</f>
        <v>15.921276130602211</v>
      </c>
      <c r="N14" s="22">
        <f>'[3]Dia 13 (b)'!$V20</f>
        <v>19.762305985408641</v>
      </c>
      <c r="O14" s="22">
        <f>'[3]Dia 14 (b)'!$V20</f>
        <v>20.408401726464255</v>
      </c>
      <c r="P14" s="22">
        <f>'[3]Dia 15 (b)'!$V20</f>
        <v>18.691751352404054</v>
      </c>
      <c r="Q14" s="22">
        <f>'[3]Dia 16 (b)'!$V20</f>
        <v>19.34778849399116</v>
      </c>
      <c r="R14" s="22">
        <f>'[3]Dia 17 (b)'!$V20</f>
        <v>20.638731921655705</v>
      </c>
      <c r="S14" s="22">
        <f>'[3]Dia 18 (b)'!$V20</f>
        <v>19.365231234268148</v>
      </c>
      <c r="T14" s="22">
        <f>'[3]Dia 19 (b)'!$V20</f>
        <v>21.524688498070724</v>
      </c>
      <c r="U14" s="22">
        <f>'[3]Dia 20 (b)'!$V20</f>
        <v>20.809685992047221</v>
      </c>
      <c r="V14" s="22">
        <f>'[3]Dia 21 (b)'!$V20</f>
        <v>20.988855392104806</v>
      </c>
      <c r="W14" s="22">
        <f>'[3]Dia 22 (b)'!$V20</f>
        <v>19.146467204260453</v>
      </c>
      <c r="X14" s="22">
        <f>'[3]Dia 23 (b)'!$V20</f>
        <v>16.646124721154813</v>
      </c>
      <c r="Y14" s="22">
        <f>'[3]Dia 24 (b)'!$V20</f>
        <v>17.85135435323496</v>
      </c>
      <c r="Z14" s="22">
        <f>'[3]Dia 25 (b)'!$V20</f>
        <v>18.437283941094783</v>
      </c>
      <c r="AA14" s="22">
        <f>'[3]Dia 26 (b)'!$V20</f>
        <v>16.461910941413826</v>
      </c>
      <c r="AB14" s="22">
        <f>'[3]Dia 27 (b)'!$V20</f>
        <v>17.530033430970626</v>
      </c>
      <c r="AC14" s="22">
        <f>'[3]Dia 28 (b)'!$V20</f>
        <v>19.438111293169499</v>
      </c>
      <c r="AD14" s="22">
        <f>'[3]Dia 29 (b)'!$V20</f>
        <v>19.122134002782015</v>
      </c>
      <c r="AE14" s="22">
        <f>'[3]Dia 30 (b)'!$V20</f>
        <v>18.635943114270759</v>
      </c>
      <c r="AF14" s="23">
        <f>'[3]Dia 31 (b)'!$V20</f>
        <v>12.993698237050062</v>
      </c>
      <c r="AG14" s="19"/>
      <c r="AH14" s="20"/>
      <c r="AI14" s="21"/>
    </row>
    <row r="15" spans="1:35" ht="15.75">
      <c r="A15" s="16">
        <v>12</v>
      </c>
      <c r="B15" s="22">
        <f>'[3]Dia 1 (b)'!$V21</f>
        <v>20.599843464510833</v>
      </c>
      <c r="C15" s="22">
        <f>'[3]Dia 2 (b)'!$V21</f>
        <v>17.407846188178461</v>
      </c>
      <c r="D15" s="22">
        <f>'[3]Dia 3 (b)'!$V21</f>
        <v>19.118808293645156</v>
      </c>
      <c r="E15" s="22">
        <f>'[3]Dia 4 (b)'!$V21</f>
        <v>19.394120389537147</v>
      </c>
      <c r="F15" s="22">
        <f>'[3]Dia 5 (b)'!$V21</f>
        <v>20.50593240375796</v>
      </c>
      <c r="G15" s="22">
        <f>'[3]Dia 6 (b)'!$V21</f>
        <v>20.260448701711088</v>
      </c>
      <c r="H15" s="22">
        <f>'[3]Dia 7 (b)'!$V21</f>
        <v>20.834325148550683</v>
      </c>
      <c r="I15" s="22">
        <f>'[3]Dia 8 (b)'!$V21</f>
        <v>19.878246009080357</v>
      </c>
      <c r="J15" s="22">
        <f>'[3]Dia 9 (b)'!$V21</f>
        <v>20.958500569612781</v>
      </c>
      <c r="K15" s="22">
        <f>'[3]Dia 10 (b)'!$V21</f>
        <v>23.364394482119799</v>
      </c>
      <c r="L15" s="22">
        <f>'[3]Dia 11 (b)'!$V21</f>
        <v>15.348216599605015</v>
      </c>
      <c r="M15" s="22">
        <f>'[3]Dia 12 (b)'!$V21</f>
        <v>17.750846609504777</v>
      </c>
      <c r="N15" s="22">
        <f>'[3]Dia 13 (b)'!$V21</f>
        <v>18.398483009155342</v>
      </c>
      <c r="O15" s="22">
        <f>'[3]Dia 14 (b)'!$V21</f>
        <v>19.826877471755029</v>
      </c>
      <c r="P15" s="22">
        <f>'[3]Dia 15 (b)'!$V21</f>
        <v>17.696281470627831</v>
      </c>
      <c r="Q15" s="22">
        <f>'[3]Dia 16 (b)'!$V21</f>
        <v>19.816218510930216</v>
      </c>
      <c r="R15" s="22">
        <f>'[3]Dia 17 (b)'!$V21</f>
        <v>20.23098141671721</v>
      </c>
      <c r="S15" s="22">
        <f>'[3]Dia 18 (b)'!$V21</f>
        <v>20.076545550878418</v>
      </c>
      <c r="T15" s="22">
        <f>'[3]Dia 19 (b)'!$V21</f>
        <v>20.675479195343392</v>
      </c>
      <c r="U15" s="22">
        <f>'[3]Dia 20 (b)'!$V21</f>
        <v>20.441616221561894</v>
      </c>
      <c r="V15" s="22">
        <f>'[3]Dia 21 (b)'!$V21</f>
        <v>20.828236318411808</v>
      </c>
      <c r="W15" s="22">
        <f>'[3]Dia 22 (b)'!$V21</f>
        <v>18.999611670256712</v>
      </c>
      <c r="X15" s="22">
        <f>'[3]Dia 23 (b)'!$V21</f>
        <v>16.696090382217676</v>
      </c>
      <c r="Y15" s="22">
        <f>'[3]Dia 24 (b)'!$V21</f>
        <v>17.888402905535493</v>
      </c>
      <c r="Z15" s="22">
        <f>'[3]Dia 25 (b)'!$V21</f>
        <v>18.493015274874409</v>
      </c>
      <c r="AA15" s="22">
        <f>'[3]Dia 26 (b)'!$V21</f>
        <v>17.399912898426035</v>
      </c>
      <c r="AB15" s="22">
        <f>'[3]Dia 27 (b)'!$V21</f>
        <v>17.793240530374725</v>
      </c>
      <c r="AC15" s="22">
        <f>'[3]Dia 28 (b)'!$V21</f>
        <v>19.438195100143201</v>
      </c>
      <c r="AD15" s="22">
        <f>'[3]Dia 29 (b)'!$V21</f>
        <v>19.269400025101373</v>
      </c>
      <c r="AE15" s="22">
        <f>'[3]Dia 30 (b)'!$V21</f>
        <v>19.401093459743347</v>
      </c>
      <c r="AF15" s="23">
        <f>'[3]Dia 31 (b)'!$V21</f>
        <v>12.090559953063087</v>
      </c>
      <c r="AG15" s="19"/>
      <c r="AH15" s="20"/>
      <c r="AI15" s="21"/>
    </row>
    <row r="16" spans="1:35" ht="15.75">
      <c r="A16" s="16">
        <v>13</v>
      </c>
      <c r="B16" s="22">
        <f>'[3]Dia 1 (b)'!$V22</f>
        <v>20.19676089845661</v>
      </c>
      <c r="C16" s="22">
        <f>'[3]Dia 2 (b)'!$V22</f>
        <v>18.087472005474446</v>
      </c>
      <c r="D16" s="22">
        <f>'[3]Dia 3 (b)'!$V22</f>
        <v>17.124523101921291</v>
      </c>
      <c r="E16" s="22">
        <f>'[3]Dia 4 (b)'!$V22</f>
        <v>17.173016353422167</v>
      </c>
      <c r="F16" s="22">
        <f>'[3]Dia 5 (b)'!$V22</f>
        <v>20.601165463580617</v>
      </c>
      <c r="G16" s="22">
        <f>'[3]Dia 6 (b)'!$V22</f>
        <v>20.826572728303926</v>
      </c>
      <c r="H16" s="22">
        <f>'[3]Dia 7 (b)'!$V22</f>
        <v>20.930278347222675</v>
      </c>
      <c r="I16" s="22">
        <f>'[3]Dia 8 (b)'!$V22</f>
        <v>20.562170540819842</v>
      </c>
      <c r="J16" s="22">
        <f>'[3]Dia 9 (b)'!$V22</f>
        <v>21.476676794982193</v>
      </c>
      <c r="K16" s="22">
        <f>'[3]Dia 10 (b)'!$V22</f>
        <v>20.68199196281045</v>
      </c>
      <c r="L16" s="22">
        <f>'[3]Dia 11 (b)'!$V22</f>
        <v>17.019480151450718</v>
      </c>
      <c r="M16" s="22">
        <f>'[3]Dia 12 (b)'!$V22</f>
        <v>19.446929173238203</v>
      </c>
      <c r="N16" s="22">
        <f>'[3]Dia 13 (b)'!$V22</f>
        <v>21.284337133390718</v>
      </c>
      <c r="O16" s="22">
        <f>'[3]Dia 14 (b)'!$V22</f>
        <v>19.733734707243205</v>
      </c>
      <c r="P16" s="22">
        <f>'[3]Dia 15 (b)'!$V22</f>
        <v>17.953456182721318</v>
      </c>
      <c r="Q16" s="22">
        <f>'[3]Dia 16 (b)'!$V22</f>
        <v>17.687732877043274</v>
      </c>
      <c r="R16" s="22">
        <f>'[3]Dia 17 (b)'!$V22</f>
        <v>21.025970940047394</v>
      </c>
      <c r="S16" s="22">
        <f>'[3]Dia 18 (b)'!$V22</f>
        <v>23.183128665918925</v>
      </c>
      <c r="T16" s="22">
        <f>'[3]Dia 19 (b)'!$V22</f>
        <v>20.538470447393504</v>
      </c>
      <c r="U16" s="22">
        <f>'[3]Dia 20 (b)'!$V22</f>
        <v>19.510060057286768</v>
      </c>
      <c r="V16" s="22">
        <f>'[3]Dia 21 (b)'!$V22</f>
        <v>19.684028671241798</v>
      </c>
      <c r="W16" s="22">
        <f>'[3]Dia 22 (b)'!$V22</f>
        <v>18.4986510450961</v>
      </c>
      <c r="X16" s="22">
        <f>'[3]Dia 23 (b)'!$V22</f>
        <v>16.645153511935895</v>
      </c>
      <c r="Y16" s="22">
        <f>'[3]Dia 24 (b)'!$V22</f>
        <v>17.8896310462492</v>
      </c>
      <c r="Z16" s="22">
        <f>'[3]Dia 25 (b)'!$V22</f>
        <v>17.942335514314919</v>
      </c>
      <c r="AA16" s="22">
        <f>'[3]Dia 26 (b)'!$V22</f>
        <v>17.060424435559781</v>
      </c>
      <c r="AB16" s="22">
        <f>'[3]Dia 27 (b)'!$V22</f>
        <v>17.279438072571622</v>
      </c>
      <c r="AC16" s="22">
        <f>'[3]Dia 28 (b)'!$V22</f>
        <v>19.945367992439575</v>
      </c>
      <c r="AD16" s="22">
        <f>'[3]Dia 29 (b)'!$V22</f>
        <v>19.202074524755528</v>
      </c>
      <c r="AE16" s="22">
        <f>'[3]Dia 30 (b)'!$V22</f>
        <v>18.752508107337565</v>
      </c>
      <c r="AF16" s="23">
        <f>'[3]Dia 31 (b)'!$V22</f>
        <v>11.638494767753356</v>
      </c>
      <c r="AG16" s="19"/>
      <c r="AH16" s="20"/>
      <c r="AI16" s="21"/>
    </row>
    <row r="17" spans="1:35" ht="15.75">
      <c r="A17" s="16">
        <v>14</v>
      </c>
      <c r="B17" s="22">
        <f>'[3]Dia 1 (b)'!$V23</f>
        <v>18.448815095234565</v>
      </c>
      <c r="C17" s="22">
        <f>'[3]Dia 2 (b)'!$V23</f>
        <v>17.999568049320597</v>
      </c>
      <c r="D17" s="22">
        <f>'[3]Dia 3 (b)'!$V23</f>
        <v>20.01976041800366</v>
      </c>
      <c r="E17" s="22">
        <f>'[3]Dia 4 (b)'!$V23</f>
        <v>16.340147588854776</v>
      </c>
      <c r="F17" s="22">
        <f>'[3]Dia 5 (b)'!$V23</f>
        <v>19.718680673019659</v>
      </c>
      <c r="G17" s="22">
        <f>'[3]Dia 6 (b)'!$V23</f>
        <v>19.445373261590738</v>
      </c>
      <c r="H17" s="22">
        <f>'[3]Dia 7 (b)'!$V23</f>
        <v>20.783056028126929</v>
      </c>
      <c r="I17" s="22">
        <f>'[3]Dia 8 (b)'!$V23</f>
        <v>19.666163540566952</v>
      </c>
      <c r="J17" s="22">
        <f>'[3]Dia 9 (b)'!$V23</f>
        <v>21.283343570047517</v>
      </c>
      <c r="K17" s="22">
        <f>'[3]Dia 10 (b)'!$V23</f>
        <v>21.553914043080791</v>
      </c>
      <c r="L17" s="22">
        <f>'[3]Dia 11 (b)'!$V23</f>
        <v>18.64051166908413</v>
      </c>
      <c r="M17" s="22">
        <f>'[3]Dia 12 (b)'!$V23</f>
        <v>19.812143236855242</v>
      </c>
      <c r="N17" s="22">
        <f>'[3]Dia 13 (b)'!$V23</f>
        <v>21.285468467289952</v>
      </c>
      <c r="O17" s="22">
        <f>'[3]Dia 14 (b)'!$V23</f>
        <v>18.198460491909728</v>
      </c>
      <c r="P17" s="22">
        <f>'[3]Dia 15 (b)'!$V23</f>
        <v>17.152113984145515</v>
      </c>
      <c r="Q17" s="22">
        <f>'[3]Dia 16 (b)'!$V23</f>
        <v>19.236649311996334</v>
      </c>
      <c r="R17" s="22">
        <f>'[3]Dia 17 (b)'!$V23</f>
        <v>18.477156305986693</v>
      </c>
      <c r="S17" s="22">
        <f>'[3]Dia 18 (b)'!$V23</f>
        <v>22.729782580817705</v>
      </c>
      <c r="T17" s="22">
        <f>'[3]Dia 19 (b)'!$V23</f>
        <v>20.37624682099538</v>
      </c>
      <c r="U17" s="22">
        <f>'[3]Dia 20 (b)'!$V23</f>
        <v>20.129547872223366</v>
      </c>
      <c r="V17" s="22">
        <f>'[3]Dia 21 (b)'!$V23</f>
        <v>20.649419218726859</v>
      </c>
      <c r="W17" s="22">
        <f>'[3]Dia 22 (b)'!$V23</f>
        <v>18.78444915398455</v>
      </c>
      <c r="X17" s="22">
        <f>'[3]Dia 23 (b)'!$V23</f>
        <v>16.696439414995258</v>
      </c>
      <c r="Y17" s="22">
        <f>'[3]Dia 24 (b)'!$V23</f>
        <v>17.856494209514626</v>
      </c>
      <c r="Z17" s="22">
        <f>'[3]Dia 25 (b)'!$V23</f>
        <v>18.465367412155331</v>
      </c>
      <c r="AA17" s="22">
        <f>'[3]Dia 26 (b)'!$V23</f>
        <v>17.870244502614742</v>
      </c>
      <c r="AB17" s="22">
        <f>'[3]Dia 27 (b)'!$V23</f>
        <v>17.627993027820498</v>
      </c>
      <c r="AC17" s="22">
        <f>'[3]Dia 28 (b)'!$V23</f>
        <v>19.612791719034597</v>
      </c>
      <c r="AD17" s="22">
        <f>'[3]Dia 29 (b)'!$V23</f>
        <v>19.399837832271619</v>
      </c>
      <c r="AE17" s="22">
        <f>'[3]Dia 30 (b)'!$V23</f>
        <v>19.502005150027983</v>
      </c>
      <c r="AF17" s="23">
        <f>'[3]Dia 31 (b)'!$V23</f>
        <v>11.583643067552989</v>
      </c>
      <c r="AG17" s="19"/>
      <c r="AH17" s="20"/>
      <c r="AI17" s="21"/>
    </row>
    <row r="18" spans="1:35" ht="15.75">
      <c r="A18" s="16">
        <v>15</v>
      </c>
      <c r="B18" s="22">
        <f>'[3]Dia 1 (b)'!$V24</f>
        <v>21.032682390232022</v>
      </c>
      <c r="C18" s="22">
        <f>'[3]Dia 2 (b)'!$V24</f>
        <v>18.417133084970565</v>
      </c>
      <c r="D18" s="22">
        <f>'[3]Dia 3 (b)'!$V24</f>
        <v>21.371722125794157</v>
      </c>
      <c r="E18" s="22">
        <f>'[3]Dia 4 (b)'!$V24</f>
        <v>21.312399576922207</v>
      </c>
      <c r="F18" s="22">
        <f>'[3]Dia 5 (b)'!$V24</f>
        <v>22.486446732218841</v>
      </c>
      <c r="G18" s="22">
        <f>'[3]Dia 6 (b)'!$V24</f>
        <v>20.079236045379755</v>
      </c>
      <c r="H18" s="22">
        <f>'[3]Dia 7 (b)'!$V24</f>
        <v>20.94643717767747</v>
      </c>
      <c r="I18" s="22">
        <f>'[3]Dia 8 (b)'!$V24</f>
        <v>22.424103757810659</v>
      </c>
      <c r="J18" s="22">
        <f>'[3]Dia 9 (b)'!$V24</f>
        <v>22.046213467270917</v>
      </c>
      <c r="K18" s="22">
        <f>'[3]Dia 10 (b)'!$V24</f>
        <v>20.980284377774208</v>
      </c>
      <c r="L18" s="22">
        <f>'[3]Dia 11 (b)'!$V24</f>
        <v>19.380052472196521</v>
      </c>
      <c r="M18" s="22">
        <f>'[3]Dia 12 (b)'!$V24</f>
        <v>19.496523142341282</v>
      </c>
      <c r="N18" s="22">
        <f>'[3]Dia 13 (b)'!$V24</f>
        <v>20.995044052947616</v>
      </c>
      <c r="O18" s="22">
        <f>'[3]Dia 14 (b)'!$V24</f>
        <v>22.784058205163475</v>
      </c>
      <c r="P18" s="22">
        <f>'[3]Dia 15 (b)'!$V24</f>
        <v>17.104536212960763</v>
      </c>
      <c r="Q18" s="22">
        <f>'[3]Dia 16 (b)'!$V24</f>
        <v>19.07213938494856</v>
      </c>
      <c r="R18" s="22">
        <f>'[3]Dia 17 (b)'!$V24</f>
        <v>18.743703166784044</v>
      </c>
      <c r="S18" s="22">
        <f>'[3]Dia 18 (b)'!$V24</f>
        <v>23.030970840933968</v>
      </c>
      <c r="T18" s="22">
        <f>'[3]Dia 19 (b)'!$V24</f>
        <v>23.259366421199434</v>
      </c>
      <c r="U18" s="22">
        <f>'[3]Dia 20 (b)'!$V24</f>
        <v>20.529315732162097</v>
      </c>
      <c r="V18" s="22">
        <f>'[3]Dia 21 (b)'!$V24</f>
        <v>20.167710231298891</v>
      </c>
      <c r="W18" s="22">
        <f>'[3]Dia 22 (b)'!$V24</f>
        <v>18.032496339982167</v>
      </c>
      <c r="X18" s="22">
        <f>'[3]Dia 23 (b)'!$V24</f>
        <v>16.594425399118911</v>
      </c>
      <c r="Y18" s="22">
        <f>'[3]Dia 24 (b)'!$V24</f>
        <v>18.651430642480506</v>
      </c>
      <c r="Z18" s="22">
        <f>'[3]Dia 25 (b)'!$V24</f>
        <v>18.580183458587111</v>
      </c>
      <c r="AA18" s="22">
        <f>'[3]Dia 26 (b)'!$V24</f>
        <v>18.162297790387083</v>
      </c>
      <c r="AB18" s="22">
        <f>'[3]Dia 27 (b)'!$V24</f>
        <v>17.84243514613366</v>
      </c>
      <c r="AC18" s="22">
        <f>'[3]Dia 28 (b)'!$V24</f>
        <v>19.364761626017756</v>
      </c>
      <c r="AD18" s="22">
        <f>'[3]Dia 29 (b)'!$V24</f>
        <v>20.119646164685335</v>
      </c>
      <c r="AE18" s="22">
        <f>'[3]Dia 30 (b)'!$V24</f>
        <v>19.83882595314185</v>
      </c>
      <c r="AF18" s="23">
        <f>'[3]Dia 31 (b)'!$V24</f>
        <v>12.267300960565752</v>
      </c>
      <c r="AG18" s="19"/>
      <c r="AH18" s="20"/>
      <c r="AI18" s="21"/>
    </row>
    <row r="19" spans="1:35" ht="15.75">
      <c r="A19" s="16">
        <v>16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8"/>
      <c r="AG19" s="19"/>
      <c r="AH19" s="20"/>
      <c r="AI19" s="21"/>
    </row>
    <row r="20" spans="1:35" ht="15.75">
      <c r="A20" s="16">
        <v>17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8"/>
      <c r="AG20" s="19"/>
      <c r="AH20" s="20"/>
      <c r="AI20" s="21"/>
    </row>
    <row r="21" spans="1:35" ht="15.75">
      <c r="A21" s="16">
        <v>18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8"/>
      <c r="AG21" s="19"/>
      <c r="AH21" s="20"/>
      <c r="AI21" s="21"/>
    </row>
    <row r="22" spans="1:35" ht="15.75">
      <c r="A22" s="16">
        <v>19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8"/>
      <c r="AG22" s="19"/>
      <c r="AH22" s="20"/>
      <c r="AI22" s="21"/>
    </row>
    <row r="23" spans="1:35" ht="15.75">
      <c r="A23" s="16">
        <v>20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8"/>
      <c r="AG23" s="19"/>
      <c r="AH23" s="20"/>
      <c r="AI23" s="21"/>
    </row>
    <row r="24" spans="1:35" ht="15.75">
      <c r="A24" s="16">
        <v>21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8"/>
      <c r="AG24" s="19"/>
      <c r="AH24" s="20"/>
      <c r="AI24" s="21"/>
    </row>
    <row r="25" spans="1:35" ht="15.75">
      <c r="A25" s="16">
        <v>22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8"/>
      <c r="AG25" s="19"/>
      <c r="AH25" s="20"/>
      <c r="AI25" s="21"/>
    </row>
    <row r="26" spans="1:35" ht="15.75">
      <c r="A26" s="16">
        <v>23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8"/>
      <c r="AG26" s="19"/>
      <c r="AH26" s="20"/>
      <c r="AI26" s="21"/>
    </row>
    <row r="27" spans="1:35" ht="16.5" thickBot="1">
      <c r="A27" s="16">
        <v>24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8"/>
      <c r="AG27" s="19"/>
      <c r="AH27" s="20"/>
      <c r="AI27" s="21"/>
    </row>
    <row r="28" spans="1:35" ht="16.5" thickTop="1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6"/>
      <c r="AG28" s="19"/>
      <c r="AH28" s="20"/>
      <c r="AI28" s="21"/>
    </row>
    <row r="29" spans="1:35" ht="15.75">
      <c r="A29" s="27"/>
      <c r="B29" s="28" t="s">
        <v>5</v>
      </c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30"/>
      <c r="AG29" s="19"/>
      <c r="AH29" s="20"/>
      <c r="AI29" s="21"/>
    </row>
    <row r="30" spans="1:35" ht="15.75">
      <c r="A30" s="31" t="s">
        <v>6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0"/>
    </row>
    <row r="31" spans="1:35" ht="15.75">
      <c r="A31" s="31" t="s">
        <v>7</v>
      </c>
      <c r="B31" s="33">
        <f>AVERAGE(B4:B27)</f>
        <v>20.541961327291169</v>
      </c>
      <c r="C31" s="33">
        <f t="shared" ref="C31:AF31" si="0">AVERAGE(C4:C27)</f>
        <v>17.535560732560256</v>
      </c>
      <c r="D31" s="33">
        <f t="shared" si="0"/>
        <v>18.563943082189244</v>
      </c>
      <c r="E31" s="33">
        <f t="shared" si="0"/>
        <v>18.6801586798254</v>
      </c>
      <c r="F31" s="33">
        <f t="shared" si="0"/>
        <v>20.766832429030025</v>
      </c>
      <c r="G31" s="33">
        <f t="shared" si="0"/>
        <v>20.232234189541693</v>
      </c>
      <c r="H31" s="33">
        <f t="shared" si="0"/>
        <v>20.450990846766938</v>
      </c>
      <c r="I31" s="33">
        <f t="shared" si="0"/>
        <v>20.381193014456407</v>
      </c>
      <c r="J31" s="33">
        <f t="shared" si="0"/>
        <v>21.807822882228955</v>
      </c>
      <c r="K31" s="33">
        <f t="shared" si="0"/>
        <v>21.511880796834223</v>
      </c>
      <c r="L31" s="33">
        <f t="shared" si="0"/>
        <v>17.510681020342062</v>
      </c>
      <c r="M31" s="33">
        <f t="shared" si="0"/>
        <v>17.157380639712439</v>
      </c>
      <c r="N31" s="33">
        <f t="shared" si="0"/>
        <v>19.917147301011319</v>
      </c>
      <c r="O31" s="33">
        <f t="shared" si="0"/>
        <v>20.468556066216124</v>
      </c>
      <c r="P31" s="33">
        <f>AVERAGE(P4:P27)</f>
        <v>19.012578238499362</v>
      </c>
      <c r="Q31" s="33">
        <f t="shared" si="0"/>
        <v>19.767293627733906</v>
      </c>
      <c r="R31" s="33">
        <f t="shared" si="0"/>
        <v>20.439924835761285</v>
      </c>
      <c r="S31" s="33">
        <f t="shared" si="0"/>
        <v>21.281911214039642</v>
      </c>
      <c r="T31" s="33">
        <f t="shared" si="0"/>
        <v>21.445676531790593</v>
      </c>
      <c r="U31" s="33">
        <f t="shared" si="0"/>
        <v>20.839063968639138</v>
      </c>
      <c r="V31" s="33">
        <f t="shared" si="0"/>
        <v>20.670581530153292</v>
      </c>
      <c r="W31" s="33">
        <f t="shared" si="0"/>
        <v>19.290813937436791</v>
      </c>
      <c r="X31" s="33">
        <f t="shared" si="0"/>
        <v>16.229421640421069</v>
      </c>
      <c r="Y31" s="33">
        <f t="shared" si="0"/>
        <v>17.763133835952281</v>
      </c>
      <c r="Z31" s="33">
        <f t="shared" si="0"/>
        <v>17.978530377212095</v>
      </c>
      <c r="AA31" s="33">
        <f t="shared" si="0"/>
        <v>17.314003559839453</v>
      </c>
      <c r="AB31" s="33">
        <f t="shared" si="0"/>
        <v>17.273552734822211</v>
      </c>
      <c r="AC31" s="33">
        <f t="shared" si="0"/>
        <v>19.143215038481792</v>
      </c>
      <c r="AD31" s="33">
        <f t="shared" si="0"/>
        <v>19.48607265661197</v>
      </c>
      <c r="AE31" s="33">
        <f t="shared" si="0"/>
        <v>19.013918351380337</v>
      </c>
      <c r="AF31" s="34">
        <f t="shared" si="0"/>
        <v>14.310774413064596</v>
      </c>
    </row>
    <row r="32" spans="1:35" ht="15">
      <c r="A32" s="35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7"/>
    </row>
    <row r="33" spans="1:32" ht="15">
      <c r="A33" s="35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7"/>
    </row>
    <row r="34" spans="1:32" ht="15.75">
      <c r="A34" s="31" t="s">
        <v>8</v>
      </c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7"/>
    </row>
    <row r="35" spans="1:32" ht="15.75">
      <c r="A35" s="31" t="s">
        <v>7</v>
      </c>
      <c r="B35" s="33">
        <f>MAX(B4:B27)</f>
        <v>21.416024442461921</v>
      </c>
      <c r="C35" s="33">
        <f t="shared" ref="C35:AF35" si="1">MAX(C4:C27)</f>
        <v>18.52743931593087</v>
      </c>
      <c r="D35" s="33">
        <f t="shared" si="1"/>
        <v>21.371722125794157</v>
      </c>
      <c r="E35" s="33">
        <f t="shared" si="1"/>
        <v>21.312399576922207</v>
      </c>
      <c r="F35" s="33">
        <f t="shared" si="1"/>
        <v>22.486446732218841</v>
      </c>
      <c r="G35" s="33">
        <f t="shared" si="1"/>
        <v>21.241643141575825</v>
      </c>
      <c r="H35" s="33">
        <f t="shared" si="1"/>
        <v>20.94643717767747</v>
      </c>
      <c r="I35" s="33">
        <f t="shared" si="1"/>
        <v>22.424103757810659</v>
      </c>
      <c r="J35" s="33">
        <f t="shared" si="1"/>
        <v>22.319597985793109</v>
      </c>
      <c r="K35" s="33">
        <f t="shared" si="1"/>
        <v>23.364394482119799</v>
      </c>
      <c r="L35" s="33">
        <f t="shared" si="1"/>
        <v>19.380052472196521</v>
      </c>
      <c r="M35" s="33">
        <f t="shared" si="1"/>
        <v>19.812143236855242</v>
      </c>
      <c r="N35" s="33">
        <f t="shared" si="1"/>
        <v>21.285468467289952</v>
      </c>
      <c r="O35" s="33">
        <f t="shared" si="1"/>
        <v>22.784058205163475</v>
      </c>
      <c r="P35" s="33">
        <f>MAX(P4:P27)</f>
        <v>21.071074305244</v>
      </c>
      <c r="Q35" s="33">
        <f t="shared" si="1"/>
        <v>21.07071466318461</v>
      </c>
      <c r="R35" s="33">
        <f t="shared" si="1"/>
        <v>21.571922730544212</v>
      </c>
      <c r="S35" s="33">
        <f t="shared" si="1"/>
        <v>23.183128665918925</v>
      </c>
      <c r="T35" s="33">
        <f t="shared" si="1"/>
        <v>23.259366421199434</v>
      </c>
      <c r="U35" s="33">
        <f t="shared" si="1"/>
        <v>21.699943793041708</v>
      </c>
      <c r="V35" s="33">
        <f t="shared" si="1"/>
        <v>21.042440273184841</v>
      </c>
      <c r="W35" s="33">
        <f t="shared" si="1"/>
        <v>20.148152467786232</v>
      </c>
      <c r="X35" s="33">
        <f t="shared" si="1"/>
        <v>16.696439414995258</v>
      </c>
      <c r="Y35" s="33">
        <f t="shared" si="1"/>
        <v>18.651430642480506</v>
      </c>
      <c r="Z35" s="33">
        <f t="shared" si="1"/>
        <v>18.580183458587111</v>
      </c>
      <c r="AA35" s="33">
        <f t="shared" si="1"/>
        <v>18.162297790387083</v>
      </c>
      <c r="AB35" s="33">
        <f t="shared" si="1"/>
        <v>17.84243514613366</v>
      </c>
      <c r="AC35" s="33">
        <f t="shared" si="1"/>
        <v>19.945367992439575</v>
      </c>
      <c r="AD35" s="33">
        <f t="shared" si="1"/>
        <v>20.119646164685335</v>
      </c>
      <c r="AE35" s="33">
        <f t="shared" si="1"/>
        <v>19.83882595314185</v>
      </c>
      <c r="AF35" s="34">
        <f t="shared" si="1"/>
        <v>18.535815928119966</v>
      </c>
    </row>
    <row r="36" spans="1:32" ht="15">
      <c r="A36" s="35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7"/>
    </row>
    <row r="37" spans="1:32" ht="15">
      <c r="A37" s="35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7"/>
    </row>
    <row r="38" spans="1:32" ht="15.75">
      <c r="A38" s="31" t="s">
        <v>9</v>
      </c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7"/>
    </row>
    <row r="39" spans="1:32" ht="15.75">
      <c r="A39" s="31" t="s">
        <v>7</v>
      </c>
      <c r="B39" s="33">
        <f>MIN(B4:B27)</f>
        <v>18.448815095234565</v>
      </c>
      <c r="C39" s="33">
        <f t="shared" ref="C39:AF39" si="2">MIN(C4:C27)</f>
        <v>15.756940270284385</v>
      </c>
      <c r="D39" s="33">
        <f t="shared" si="2"/>
        <v>17.124523101921291</v>
      </c>
      <c r="E39" s="33">
        <f t="shared" si="2"/>
        <v>16.340147588854776</v>
      </c>
      <c r="F39" s="33">
        <f t="shared" si="2"/>
        <v>19.718680673019659</v>
      </c>
      <c r="G39" s="33">
        <f t="shared" si="2"/>
        <v>19.445373261590738</v>
      </c>
      <c r="H39" s="33">
        <f t="shared" si="2"/>
        <v>19.61273457563426</v>
      </c>
      <c r="I39" s="33">
        <f t="shared" si="2"/>
        <v>19.666163540566952</v>
      </c>
      <c r="J39" s="33">
        <f t="shared" si="2"/>
        <v>20.958500569612781</v>
      </c>
      <c r="K39" s="33">
        <f t="shared" si="2"/>
        <v>20.68199196281045</v>
      </c>
      <c r="L39" s="33">
        <f t="shared" si="2"/>
        <v>15.348216599605015</v>
      </c>
      <c r="M39" s="33">
        <f t="shared" si="2"/>
        <v>14.384997646978373</v>
      </c>
      <c r="N39" s="33">
        <f t="shared" si="2"/>
        <v>18.398483009155342</v>
      </c>
      <c r="O39" s="33">
        <f t="shared" si="2"/>
        <v>18.198460491909728</v>
      </c>
      <c r="P39" s="33">
        <f>MIN(P4:P27)</f>
        <v>17.104536212960763</v>
      </c>
      <c r="Q39" s="33">
        <f t="shared" si="2"/>
        <v>17.687732877043274</v>
      </c>
      <c r="R39" s="33">
        <f t="shared" si="2"/>
        <v>18.477156305986693</v>
      </c>
      <c r="S39" s="33">
        <f t="shared" si="2"/>
        <v>19.365231234268148</v>
      </c>
      <c r="T39" s="33">
        <f t="shared" si="2"/>
        <v>20.37624682099538</v>
      </c>
      <c r="U39" s="33">
        <f t="shared" si="2"/>
        <v>19.510060057286768</v>
      </c>
      <c r="V39" s="33">
        <f t="shared" si="2"/>
        <v>19.684028671241798</v>
      </c>
      <c r="W39" s="33">
        <f t="shared" si="2"/>
        <v>18.032496339982167</v>
      </c>
      <c r="X39" s="33">
        <f t="shared" si="2"/>
        <v>15.451076843654704</v>
      </c>
      <c r="Y39" s="33">
        <f t="shared" si="2"/>
        <v>17.252388097366911</v>
      </c>
      <c r="Z39" s="33">
        <f t="shared" si="2"/>
        <v>17.351112767911193</v>
      </c>
      <c r="AA39" s="33">
        <f t="shared" si="2"/>
        <v>16.461910941413826</v>
      </c>
      <c r="AB39" s="33">
        <f t="shared" si="2"/>
        <v>16.600363671913236</v>
      </c>
      <c r="AC39" s="33">
        <f t="shared" si="2"/>
        <v>18.213310275340611</v>
      </c>
      <c r="AD39" s="33">
        <f t="shared" si="2"/>
        <v>19.122134002782015</v>
      </c>
      <c r="AE39" s="33">
        <f t="shared" si="2"/>
        <v>18.525750414857296</v>
      </c>
      <c r="AF39" s="34">
        <f t="shared" si="2"/>
        <v>11.583643067552989</v>
      </c>
    </row>
    <row r="40" spans="1:32" ht="15">
      <c r="A40" s="35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38"/>
    </row>
    <row r="41" spans="1:32" ht="15">
      <c r="A41" s="35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38"/>
    </row>
    <row r="42" spans="1:32" ht="15.75">
      <c r="A42" s="31" t="s">
        <v>10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38"/>
    </row>
    <row r="43" spans="1:32" ht="15.75">
      <c r="A43" s="31" t="s">
        <v>7</v>
      </c>
      <c r="B43" s="39">
        <f>B35-B39</f>
        <v>2.9672093472273566</v>
      </c>
      <c r="C43" s="39">
        <f t="shared" ref="C43:AF43" si="3">C35-C39</f>
        <v>2.7704990456464849</v>
      </c>
      <c r="D43" s="39">
        <f t="shared" si="3"/>
        <v>4.2471990238728665</v>
      </c>
      <c r="E43" s="39">
        <f t="shared" si="3"/>
        <v>4.9722519880674305</v>
      </c>
      <c r="F43" s="39">
        <f t="shared" si="3"/>
        <v>2.7677660591991824</v>
      </c>
      <c r="G43" s="39">
        <f t="shared" si="3"/>
        <v>1.7962698799850862</v>
      </c>
      <c r="H43" s="39">
        <f t="shared" si="3"/>
        <v>1.3337026020432106</v>
      </c>
      <c r="I43" s="39">
        <f t="shared" si="3"/>
        <v>2.7579402172437071</v>
      </c>
      <c r="J43" s="39">
        <f t="shared" si="3"/>
        <v>1.3610974161803284</v>
      </c>
      <c r="K43" s="39">
        <f t="shared" si="3"/>
        <v>2.682402519309349</v>
      </c>
      <c r="L43" s="39">
        <f t="shared" si="3"/>
        <v>4.0318358725915058</v>
      </c>
      <c r="M43" s="39">
        <f t="shared" si="3"/>
        <v>5.4271455898768686</v>
      </c>
      <c r="N43" s="39">
        <f t="shared" si="3"/>
        <v>2.8869854581346104</v>
      </c>
      <c r="O43" s="39">
        <f t="shared" si="3"/>
        <v>4.5855977132537475</v>
      </c>
      <c r="P43" s="39">
        <f>P35-P39</f>
        <v>3.9665380922832369</v>
      </c>
      <c r="Q43" s="39">
        <f t="shared" si="3"/>
        <v>3.382981786141336</v>
      </c>
      <c r="R43" s="39">
        <f t="shared" si="3"/>
        <v>3.0947664245575197</v>
      </c>
      <c r="S43" s="39">
        <f t="shared" si="3"/>
        <v>3.8178974316507777</v>
      </c>
      <c r="T43" s="39">
        <f t="shared" si="3"/>
        <v>2.8831196002040542</v>
      </c>
      <c r="U43" s="39">
        <f t="shared" si="3"/>
        <v>2.1898837357549397</v>
      </c>
      <c r="V43" s="39">
        <f t="shared" si="3"/>
        <v>1.3584116019430432</v>
      </c>
      <c r="W43" s="39">
        <f t="shared" si="3"/>
        <v>2.1156561278040655</v>
      </c>
      <c r="X43" s="39">
        <f t="shared" si="3"/>
        <v>1.2453625713405536</v>
      </c>
      <c r="Y43" s="39">
        <f t="shared" si="3"/>
        <v>1.3990425451135948</v>
      </c>
      <c r="Z43" s="39">
        <f t="shared" si="3"/>
        <v>1.2290706906759183</v>
      </c>
      <c r="AA43" s="39">
        <f t="shared" si="3"/>
        <v>1.7003868489732561</v>
      </c>
      <c r="AB43" s="39">
        <f t="shared" si="3"/>
        <v>1.242071474220424</v>
      </c>
      <c r="AC43" s="39">
        <f t="shared" si="3"/>
        <v>1.7320577170989644</v>
      </c>
      <c r="AD43" s="39">
        <f t="shared" si="3"/>
        <v>0.99751216190331959</v>
      </c>
      <c r="AE43" s="39">
        <f t="shared" si="3"/>
        <v>1.3130755382845543</v>
      </c>
      <c r="AF43" s="34">
        <f t="shared" si="3"/>
        <v>6.9521728605669768</v>
      </c>
    </row>
    <row r="44" spans="1:32">
      <c r="A44" s="27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38"/>
    </row>
    <row r="45" spans="1:32">
      <c r="A45" s="27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38"/>
    </row>
    <row r="46" spans="1:32" ht="15.75">
      <c r="A46" s="27"/>
      <c r="B46" s="1"/>
      <c r="C46" s="1"/>
      <c r="D46" s="1"/>
      <c r="E46" s="1"/>
      <c r="F46" s="1"/>
      <c r="G46" s="1"/>
      <c r="H46" s="1"/>
      <c r="I46" s="40" t="s">
        <v>6</v>
      </c>
      <c r="J46" s="41"/>
      <c r="K46" s="41"/>
      <c r="L46" s="42" t="s">
        <v>8</v>
      </c>
      <c r="M46" s="43"/>
      <c r="N46" s="43"/>
      <c r="O46" s="42" t="s">
        <v>9</v>
      </c>
      <c r="P46" s="43"/>
      <c r="Q46" s="43"/>
      <c r="R46" s="42" t="s">
        <v>10</v>
      </c>
      <c r="S46" s="44"/>
      <c r="T46" s="41"/>
      <c r="U46" s="43" t="s">
        <v>6</v>
      </c>
      <c r="V46" s="43"/>
      <c r="W46" s="43" t="s">
        <v>6</v>
      </c>
      <c r="X46" s="43"/>
      <c r="Y46" s="43" t="s">
        <v>11</v>
      </c>
      <c r="Z46" s="43"/>
      <c r="AA46" s="1"/>
      <c r="AB46" s="1"/>
      <c r="AC46" s="1"/>
      <c r="AD46" s="1"/>
      <c r="AE46" s="1"/>
      <c r="AF46" s="38"/>
    </row>
    <row r="47" spans="1:32" ht="15.75">
      <c r="A47" s="27"/>
      <c r="B47" s="1"/>
      <c r="C47" s="1"/>
      <c r="D47" s="1"/>
      <c r="E47" s="1"/>
      <c r="F47" s="1"/>
      <c r="G47" s="1"/>
      <c r="H47" s="1"/>
      <c r="I47" s="45" t="s">
        <v>12</v>
      </c>
      <c r="J47" s="41"/>
      <c r="K47" s="41"/>
      <c r="L47" s="43" t="s">
        <v>12</v>
      </c>
      <c r="M47" s="43"/>
      <c r="N47" s="43"/>
      <c r="O47" s="43" t="s">
        <v>12</v>
      </c>
      <c r="P47" s="43"/>
      <c r="Q47" s="43"/>
      <c r="R47" s="43" t="s">
        <v>12</v>
      </c>
      <c r="S47" s="44"/>
      <c r="T47" s="41"/>
      <c r="U47" s="43" t="s">
        <v>13</v>
      </c>
      <c r="V47" s="43"/>
      <c r="W47" s="43" t="s">
        <v>14</v>
      </c>
      <c r="X47" s="43"/>
      <c r="Y47" s="43" t="s">
        <v>15</v>
      </c>
      <c r="Z47" s="43"/>
      <c r="AA47" s="1"/>
      <c r="AB47" s="1"/>
      <c r="AC47" s="1"/>
      <c r="AD47" s="1"/>
      <c r="AE47" s="1"/>
      <c r="AF47" s="38"/>
    </row>
    <row r="48" spans="1:32" ht="15">
      <c r="A48" s="27"/>
      <c r="B48" s="1"/>
      <c r="C48" s="1"/>
      <c r="D48" s="1"/>
      <c r="E48" s="1"/>
      <c r="F48" s="1"/>
      <c r="G48" s="1"/>
      <c r="H48" s="1"/>
      <c r="I48" s="29"/>
      <c r="J48" s="1"/>
      <c r="K48" s="1"/>
      <c r="L48" s="36"/>
      <c r="M48" s="36"/>
      <c r="N48" s="36"/>
      <c r="O48" s="36"/>
      <c r="P48" s="36"/>
      <c r="Q48" s="36"/>
      <c r="R48" s="36"/>
      <c r="S48" s="36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38"/>
    </row>
    <row r="49" spans="1:35" s="52" customFormat="1" ht="15.75" thickBot="1">
      <c r="A49" s="46"/>
      <c r="B49" s="47"/>
      <c r="C49" s="47"/>
      <c r="D49" s="47"/>
      <c r="E49" s="47"/>
      <c r="F49" s="47"/>
      <c r="G49" s="47"/>
      <c r="H49" s="47"/>
      <c r="I49" s="48">
        <f>AVERAGE(B31:AF31)</f>
        <v>19.251187403220843</v>
      </c>
      <c r="J49" s="47"/>
      <c r="K49" s="47"/>
      <c r="L49" s="48">
        <f>MAX(B35:AF35)</f>
        <v>23.364394482119799</v>
      </c>
      <c r="M49" s="49"/>
      <c r="N49" s="49"/>
      <c r="O49" s="48">
        <f>MIN(B39:AF39)</f>
        <v>11.583643067552989</v>
      </c>
      <c r="P49" s="49"/>
      <c r="Q49" s="49"/>
      <c r="R49" s="48">
        <f>L49-O49</f>
        <v>11.78075141456681</v>
      </c>
      <c r="S49" s="49"/>
      <c r="T49" s="47"/>
      <c r="U49" s="48">
        <f>AVERAGE(B35:AF35)</f>
        <v>20.648100546157568</v>
      </c>
      <c r="V49" s="50"/>
      <c r="W49" s="48">
        <f>AVERAGE(B39:AF39)</f>
        <v>17.899458289991482</v>
      </c>
      <c r="X49" s="50"/>
      <c r="Y49" s="48">
        <f>U49-W49</f>
        <v>2.7486422561660859</v>
      </c>
      <c r="Z49" s="47"/>
      <c r="AA49" s="47"/>
      <c r="AB49" s="47"/>
      <c r="AC49" s="47"/>
      <c r="AD49" s="47"/>
      <c r="AE49" s="47"/>
      <c r="AF49" s="51"/>
    </row>
    <row r="50" spans="1:35" ht="13.5" thickTop="1">
      <c r="AI50" s="53"/>
    </row>
  </sheetData>
  <pageMargins left="0.78740157499999996" right="0.78740157499999996" top="0.984251969" bottom="0.984251969" header="0.49212598499999999" footer="0.49212598499999999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50"/>
  <sheetViews>
    <sheetView zoomScale="75" zoomScaleNormal="75" workbookViewId="0">
      <selection activeCell="E23" sqref="E23"/>
    </sheetView>
  </sheetViews>
  <sheetFormatPr defaultColWidth="11.42578125" defaultRowHeight="12.75"/>
  <cols>
    <col min="1" max="32" width="9.140625" customWidth="1"/>
    <col min="33" max="33" width="12.7109375" customWidth="1"/>
  </cols>
  <sheetData>
    <row r="1" spans="1:33" ht="18">
      <c r="A1" s="1"/>
      <c r="B1" s="2" t="s">
        <v>18</v>
      </c>
      <c r="C1" s="3"/>
      <c r="D1" s="4"/>
      <c r="E1" s="5"/>
      <c r="F1" s="1"/>
      <c r="G1" s="1"/>
      <c r="H1" s="1"/>
      <c r="I1" s="1"/>
      <c r="J1" s="6"/>
      <c r="K1" s="6"/>
      <c r="L1" s="7" t="s">
        <v>1</v>
      </c>
      <c r="M1" s="8" t="s">
        <v>2</v>
      </c>
      <c r="N1" s="9" t="s">
        <v>3</v>
      </c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15.75" customHeight="1" thickBot="1">
      <c r="A3" s="11" t="s">
        <v>4</v>
      </c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2">
        <v>8</v>
      </c>
      <c r="J3" s="12">
        <v>9</v>
      </c>
      <c r="K3" s="12">
        <v>10</v>
      </c>
      <c r="L3" s="12">
        <v>11</v>
      </c>
      <c r="M3" s="12">
        <v>12</v>
      </c>
      <c r="N3" s="12">
        <v>13</v>
      </c>
      <c r="O3" s="12">
        <v>14</v>
      </c>
      <c r="P3" s="12">
        <v>15</v>
      </c>
      <c r="Q3" s="12">
        <v>16</v>
      </c>
      <c r="R3" s="12">
        <v>17</v>
      </c>
      <c r="S3" s="12">
        <v>18</v>
      </c>
      <c r="T3" s="12">
        <v>19</v>
      </c>
      <c r="U3" s="12">
        <v>20</v>
      </c>
      <c r="V3" s="12">
        <v>21</v>
      </c>
      <c r="W3" s="12">
        <v>22</v>
      </c>
      <c r="X3" s="12">
        <v>23</v>
      </c>
      <c r="Y3" s="12">
        <v>24</v>
      </c>
      <c r="Z3" s="13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5"/>
    </row>
    <row r="4" spans="1:33" ht="15.75" customHeight="1">
      <c r="A4" s="16">
        <v>1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8"/>
      <c r="AG4" s="54"/>
    </row>
    <row r="5" spans="1:33" ht="15.75" customHeight="1">
      <c r="A5" s="16">
        <v>2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8"/>
      <c r="AG5" s="54"/>
    </row>
    <row r="6" spans="1:33" ht="15.75" customHeight="1">
      <c r="A6" s="16">
        <v>3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8"/>
      <c r="AG6" s="54"/>
    </row>
    <row r="7" spans="1:33" ht="15.75" customHeight="1">
      <c r="A7" s="16">
        <v>4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8"/>
      <c r="AG7" s="54"/>
    </row>
    <row r="8" spans="1:33" ht="15.75" customHeight="1">
      <c r="A8" s="16">
        <v>5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8"/>
      <c r="AG8" s="54"/>
    </row>
    <row r="9" spans="1:33" ht="15.75" customHeight="1">
      <c r="A9" s="16">
        <v>6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8"/>
      <c r="AG9" s="54"/>
    </row>
    <row r="10" spans="1:33" ht="15.75" customHeight="1">
      <c r="A10" s="16">
        <v>7</v>
      </c>
      <c r="B10" s="22">
        <f>'[4]Dia 1 (b)'!$V16</f>
        <v>17.77443957391808</v>
      </c>
      <c r="C10" s="22">
        <f>'[4]Dia 2 (b)'!$V16</f>
        <v>18.081624394752538</v>
      </c>
      <c r="D10" s="22">
        <f>'[4]Dia 3 (b)'!$V16</f>
        <v>18.729118157115543</v>
      </c>
      <c r="E10" s="22">
        <f>'[4]Dia 4 (b)'!$V16</f>
        <v>17.50292371147053</v>
      </c>
      <c r="F10" s="22">
        <f>'[4]Dia 5 (b)'!$V16</f>
        <v>18.739460137800599</v>
      </c>
      <c r="G10" s="22">
        <f>'[4]Dia 6 (b)'!$V16</f>
        <v>18.853327182044538</v>
      </c>
      <c r="H10" s="22">
        <f>'[4]Dia 7 (b)'!$V16</f>
        <v>17.773050476184942</v>
      </c>
      <c r="I10" s="22">
        <f>'[4]Dia 8 (b)'!$V16</f>
        <v>18.38751531163182</v>
      </c>
      <c r="J10" s="22">
        <f>'[4]Dia 9 (b)'!$V16</f>
        <v>18.206743110518744</v>
      </c>
      <c r="K10" s="22">
        <f>'[4]Dia 10 (b)'!$V16</f>
        <v>18.113118569000306</v>
      </c>
      <c r="L10" s="22">
        <f>'[4]Dia 11 (b)'!$V16</f>
        <v>18.875770202795415</v>
      </c>
      <c r="M10" s="22">
        <f>'[4]Dia 12 (b)'!$V16</f>
        <v>18.275740682431763</v>
      </c>
      <c r="N10" s="22">
        <f>'[4]Dia 13 (b)'!$V16</f>
        <v>17.779267444212739</v>
      </c>
      <c r="O10" s="22">
        <f>'[4]Dia 14 (b)'!$V16</f>
        <v>18.775273807201533</v>
      </c>
      <c r="P10" s="22">
        <f>'[4]Dia 15 (b)'!$V16</f>
        <v>19.08501792443494</v>
      </c>
      <c r="Q10" s="22">
        <f>'[4]Dia 16 (b)'!$V16</f>
        <v>19.612913206009047</v>
      </c>
      <c r="R10" s="22">
        <f>'[4]Dia 17 (b)'!$V16</f>
        <v>20.93903932868923</v>
      </c>
      <c r="S10" s="22">
        <f>'[4]Dia 18 (b)'!$V16</f>
        <v>16.136332523786766</v>
      </c>
      <c r="T10" s="22">
        <f>'[4]Dia 19 (b)'!$V16</f>
        <v>13.294845651204408</v>
      </c>
      <c r="U10" s="22">
        <f>'[4]Dia 20 (b)'!$V16</f>
        <v>14.173627049565745</v>
      </c>
      <c r="V10" s="22">
        <f>'[4]Dia 21 (b)'!$V16</f>
        <v>15.366519203802916</v>
      </c>
      <c r="W10" s="22">
        <f>'[4]Dia 22 (b)'!$V16</f>
        <v>15.894068599719617</v>
      </c>
      <c r="X10" s="22">
        <f>'[4]Dia 23 (b)'!$V16</f>
        <v>15.218130429019293</v>
      </c>
      <c r="Y10" s="22">
        <f>'[4]Dia 24 (b)'!$V16</f>
        <v>15.937096851217602</v>
      </c>
      <c r="Z10" s="22">
        <f>'[4]Dia 25 (b)'!$V16</f>
        <v>18.247240511462778</v>
      </c>
      <c r="AA10" s="22">
        <f>'[4]Dia 26 (b)'!$V16</f>
        <v>18.360213168171779</v>
      </c>
      <c r="AB10" s="22">
        <f>'[4]Dia 27 (b)'!$V16</f>
        <v>18.886914281994336</v>
      </c>
      <c r="AC10" s="22">
        <f>'[4]Dia 28 (b)'!$V16</f>
        <v>17.857709255009468</v>
      </c>
      <c r="AD10" s="22">
        <f>'[4]Dia 29 (b)'!$V16</f>
        <v>19.218293309417707</v>
      </c>
      <c r="AE10" s="22">
        <f>'[4]Dia 30 (b)'!$V16</f>
        <v>18.378202360710183</v>
      </c>
      <c r="AF10" s="23"/>
      <c r="AG10" s="54"/>
    </row>
    <row r="11" spans="1:33" ht="15.75" customHeight="1">
      <c r="A11" s="16">
        <v>8</v>
      </c>
      <c r="B11" s="22">
        <f>'[4]Dia 1 (b)'!$V17</f>
        <v>16.34221672628847</v>
      </c>
      <c r="C11" s="22">
        <f>'[4]Dia 2 (b)'!$V17</f>
        <v>18.108759604302893</v>
      </c>
      <c r="D11" s="22">
        <f>'[4]Dia 3 (b)'!$V17</f>
        <v>18.846799599499384</v>
      </c>
      <c r="E11" s="22">
        <f>'[4]Dia 4 (b)'!$V17</f>
        <v>18.525962697558771</v>
      </c>
      <c r="F11" s="22">
        <f>'[4]Dia 5 (b)'!$V17</f>
        <v>18.728564100413291</v>
      </c>
      <c r="G11" s="22">
        <f>'[4]Dia 6 (b)'!$V17</f>
        <v>18.007190738251616</v>
      </c>
      <c r="H11" s="22">
        <f>'[4]Dia 7 (b)'!$V17</f>
        <v>17.794191929788628</v>
      </c>
      <c r="I11" s="22">
        <f>'[4]Dia 8 (b)'!$V17</f>
        <v>18.671530696999454</v>
      </c>
      <c r="J11" s="22">
        <f>'[4]Dia 9 (b)'!$V17</f>
        <v>19.808497317926186</v>
      </c>
      <c r="K11" s="22">
        <f>'[4]Dia 10 (b)'!$V17</f>
        <v>19.204144432020634</v>
      </c>
      <c r="L11" s="22">
        <f>'[4]Dia 11 (b)'!$V17</f>
        <v>19.134685223579918</v>
      </c>
      <c r="M11" s="22">
        <f>'[4]Dia 12 (b)'!$V17</f>
        <v>18.544261339312154</v>
      </c>
      <c r="N11" s="22">
        <f>'[4]Dia 13 (b)'!$V17</f>
        <v>17.898698539497456</v>
      </c>
      <c r="O11" s="22">
        <f>'[4]Dia 14 (b)'!$V17</f>
        <v>18.874645867792019</v>
      </c>
      <c r="P11" s="22">
        <f>'[4]Dia 15 (b)'!$V17</f>
        <v>19.569623581347589</v>
      </c>
      <c r="Q11" s="22">
        <f>'[4]Dia 16 (b)'!$V17</f>
        <v>19.984886407626092</v>
      </c>
      <c r="R11" s="22">
        <f>'[4]Dia 17 (b)'!$V17</f>
        <v>21.667984988018112</v>
      </c>
      <c r="S11" s="22">
        <f>'[4]Dia 18 (b)'!$V17</f>
        <v>15.771968665656646</v>
      </c>
      <c r="T11" s="22">
        <f>'[4]Dia 19 (b)'!$V17</f>
        <v>13.340165764438421</v>
      </c>
      <c r="U11" s="22">
        <f>'[4]Dia 20 (b)'!$V17</f>
        <v>14.644950139571904</v>
      </c>
      <c r="V11" s="22">
        <f>'[4]Dia 21 (b)'!$V17</f>
        <v>15.401810240120289</v>
      </c>
      <c r="W11" s="22">
        <f>'[4]Dia 22 (b)'!$V17</f>
        <v>16.553722527148189</v>
      </c>
      <c r="X11" s="22">
        <f>'[4]Dia 23 (b)'!$V17</f>
        <v>16.084035312874757</v>
      </c>
      <c r="Y11" s="22">
        <f>'[4]Dia 24 (b)'!$V17</f>
        <v>17.474608848223749</v>
      </c>
      <c r="Z11" s="22">
        <f>'[4]Dia 25 (b)'!$V17</f>
        <v>18.386620559597624</v>
      </c>
      <c r="AA11" s="22">
        <f>'[4]Dia 26 (b)'!$V17</f>
        <v>18.799711384163061</v>
      </c>
      <c r="AB11" s="22">
        <f>'[4]Dia 27 (b)'!$V17</f>
        <v>19.190156333858923</v>
      </c>
      <c r="AC11" s="22">
        <f>'[4]Dia 28 (b)'!$V17</f>
        <v>18.187029502831248</v>
      </c>
      <c r="AD11" s="22">
        <f>'[4]Dia 29 (b)'!$V17</f>
        <v>18.94980246408031</v>
      </c>
      <c r="AE11" s="22">
        <f>'[4]Dia 30 (b)'!$V17</f>
        <v>18.493696634084806</v>
      </c>
      <c r="AF11" s="23"/>
      <c r="AG11" s="54"/>
    </row>
    <row r="12" spans="1:33" ht="15.75" customHeight="1">
      <c r="A12" s="16">
        <v>9</v>
      </c>
      <c r="B12" s="22">
        <f>'[4]Dia 1 (b)'!$V18</f>
        <v>17.035014608199138</v>
      </c>
      <c r="C12" s="22">
        <f>'[4]Dia 2 (b)'!$V18</f>
        <v>18.575222393637876</v>
      </c>
      <c r="D12" s="22">
        <f>'[4]Dia 3 (b)'!$V18</f>
        <v>17.493856153533976</v>
      </c>
      <c r="E12" s="22">
        <f>'[4]Dia 4 (b)'!$V18</f>
        <v>19.052960338712197</v>
      </c>
      <c r="F12" s="22">
        <f>'[4]Dia 5 (b)'!$V18</f>
        <v>18.525333635835107</v>
      </c>
      <c r="G12" s="22">
        <f>'[4]Dia 6 (b)'!$V18</f>
        <v>17.805567786483291</v>
      </c>
      <c r="H12" s="22">
        <f>'[4]Dia 7 (b)'!$V18</f>
        <v>17.972985828527356</v>
      </c>
      <c r="I12" s="22">
        <f>'[4]Dia 8 (b)'!$V18</f>
        <v>18.513140757916084</v>
      </c>
      <c r="J12" s="22">
        <f>'[4]Dia 9 (b)'!$V18</f>
        <v>20.133030961519424</v>
      </c>
      <c r="K12" s="22">
        <f>'[4]Dia 10 (b)'!$V18</f>
        <v>19.381565674941463</v>
      </c>
      <c r="L12" s="22">
        <f>'[4]Dia 11 (b)'!$V18</f>
        <v>19.482274001447209</v>
      </c>
      <c r="M12" s="22">
        <f>'[4]Dia 12 (b)'!$V18</f>
        <v>17.803445076820303</v>
      </c>
      <c r="N12" s="22">
        <f>'[4]Dia 13 (b)'!$V18</f>
        <v>18.241075957931635</v>
      </c>
      <c r="O12" s="22">
        <f>'[4]Dia 14 (b)'!$V18</f>
        <v>18.875574607212272</v>
      </c>
      <c r="P12" s="22">
        <f>'[4]Dia 15 (b)'!$V18</f>
        <v>20.327262963005477</v>
      </c>
      <c r="Q12" s="22">
        <f>'[4]Dia 16 (b)'!$V18</f>
        <v>19.78918154676435</v>
      </c>
      <c r="R12" s="22">
        <f>'[4]Dia 17 (b)'!$V18</f>
        <v>21.531649377078953</v>
      </c>
      <c r="S12" s="22">
        <f>'[4]Dia 18 (b)'!$V18</f>
        <v>15.614664005324935</v>
      </c>
      <c r="T12" s="22">
        <f>'[4]Dia 19 (b)'!$V18</f>
        <v>8.5743421932369621</v>
      </c>
      <c r="U12" s="22">
        <f>'[4]Dia 20 (b)'!$V18</f>
        <v>14.652163234268997</v>
      </c>
      <c r="V12" s="22">
        <f>'[4]Dia 21 (b)'!$V18</f>
        <v>16.021615314861972</v>
      </c>
      <c r="W12" s="22">
        <f>'[4]Dia 22 (b)'!$V18</f>
        <v>15.949616461563593</v>
      </c>
      <c r="X12" s="22">
        <f>'[4]Dia 23 (b)'!$V18</f>
        <v>14.722705709788213</v>
      </c>
      <c r="Y12" s="22">
        <f>'[4]Dia 24 (b)'!$V18</f>
        <v>13.971691894063126</v>
      </c>
      <c r="Z12" s="22">
        <f>'[4]Dia 25 (b)'!$V18</f>
        <v>17.881412302133509</v>
      </c>
      <c r="AA12" s="22">
        <f>'[4]Dia 26 (b)'!$V18</f>
        <v>18.538100934531137</v>
      </c>
      <c r="AB12" s="22">
        <f>'[4]Dia 27 (b)'!$V18</f>
        <v>18.654894480896637</v>
      </c>
      <c r="AC12" s="22">
        <f>'[4]Dia 28 (b)'!$V18</f>
        <v>17.359070948656733</v>
      </c>
      <c r="AD12" s="22">
        <f>'[4]Dia 29 (b)'!$V18</f>
        <v>19.070848244183111</v>
      </c>
      <c r="AE12" s="22">
        <f>'[4]Dia 30 (b)'!$V18</f>
        <v>17.083792905856178</v>
      </c>
      <c r="AF12" s="23"/>
      <c r="AG12" s="54"/>
    </row>
    <row r="13" spans="1:33" ht="15.75" customHeight="1">
      <c r="A13" s="16">
        <v>10</v>
      </c>
      <c r="B13" s="22">
        <f>'[4]Dia 1 (b)'!$V19</f>
        <v>15.977333052635331</v>
      </c>
      <c r="C13" s="22">
        <f>'[4]Dia 2 (b)'!$V19</f>
        <v>18.109213635307636</v>
      </c>
      <c r="D13" s="22">
        <f>'[4]Dia 3 (b)'!$V19</f>
        <v>18.198330473657307</v>
      </c>
      <c r="E13" s="22">
        <f>'[4]Dia 4 (b)'!$V19</f>
        <v>18.817899304327501</v>
      </c>
      <c r="F13" s="22">
        <f>'[4]Dia 5 (b)'!$V19</f>
        <v>18.094306773578754</v>
      </c>
      <c r="G13" s="22">
        <f>'[4]Dia 6 (b)'!$V19</f>
        <v>17.168521495467083</v>
      </c>
      <c r="H13" s="22">
        <f>'[4]Dia 7 (b)'!$V19</f>
        <v>17.659260531575704</v>
      </c>
      <c r="I13" s="22">
        <f>'[4]Dia 8 (b)'!$V19</f>
        <v>18.44825146952974</v>
      </c>
      <c r="J13" s="22">
        <f>'[4]Dia 9 (b)'!$V19</f>
        <v>19.159214649102623</v>
      </c>
      <c r="K13" s="22">
        <f>'[4]Dia 10 (b)'!$V19</f>
        <v>18.731642925977798</v>
      </c>
      <c r="L13" s="22">
        <f>'[4]Dia 11 (b)'!$V19</f>
        <v>19.084210358162647</v>
      </c>
      <c r="M13" s="22">
        <f>'[4]Dia 12 (b)'!$V19</f>
        <v>18.213854737784487</v>
      </c>
      <c r="N13" s="22">
        <f>'[4]Dia 13 (b)'!$V19</f>
        <v>18.818339065782155</v>
      </c>
      <c r="O13" s="22">
        <f>'[4]Dia 14 (b)'!$V19</f>
        <v>18.608647929167574</v>
      </c>
      <c r="P13" s="22">
        <f>'[4]Dia 15 (b)'!$V19</f>
        <v>20.195385822231568</v>
      </c>
      <c r="Q13" s="22">
        <f>'[4]Dia 16 (b)'!$V19</f>
        <v>19.087274314785642</v>
      </c>
      <c r="R13" s="22">
        <f>'[4]Dia 17 (b)'!$V19</f>
        <v>19.489323191888829</v>
      </c>
      <c r="S13" s="22">
        <f>'[4]Dia 18 (b)'!$V19</f>
        <v>14.589554734619773</v>
      </c>
      <c r="T13" s="22">
        <f>'[4]Dia 19 (b)'!$V19</f>
        <v>7.7636248729508699</v>
      </c>
      <c r="U13" s="22">
        <f>'[4]Dia 20 (b)'!$V19</f>
        <v>14.182034520931879</v>
      </c>
      <c r="V13" s="22">
        <f>'[4]Dia 21 (b)'!$V19</f>
        <v>15.765577742733651</v>
      </c>
      <c r="W13" s="22">
        <f>'[4]Dia 22 (b)'!$V19</f>
        <v>15.396475674331436</v>
      </c>
      <c r="X13" s="22">
        <f>'[4]Dia 23 (b)'!$V19</f>
        <v>12.661200553217336</v>
      </c>
      <c r="Y13" s="22">
        <f>'[4]Dia 24 (b)'!$V19</f>
        <v>15.301576168039086</v>
      </c>
      <c r="Z13" s="22">
        <f>'[4]Dia 25 (b)'!$V19</f>
        <v>18.8065209953742</v>
      </c>
      <c r="AA13" s="22">
        <f>'[4]Dia 26 (b)'!$V19</f>
        <v>18.226553562304215</v>
      </c>
      <c r="AB13" s="22">
        <f>'[4]Dia 27 (b)'!$V19</f>
        <v>18.409923727918951</v>
      </c>
      <c r="AC13" s="22">
        <f>'[4]Dia 28 (b)'!$V19</f>
        <v>16.274122448012179</v>
      </c>
      <c r="AD13" s="22">
        <f>'[4]Dia 29 (b)'!$V19</f>
        <v>19.046301221581821</v>
      </c>
      <c r="AE13" s="22">
        <f>'[4]Dia 30 (b)'!$V19</f>
        <v>16.002413781899957</v>
      </c>
      <c r="AF13" s="23"/>
      <c r="AG13" s="54"/>
    </row>
    <row r="14" spans="1:33" ht="15.75" customHeight="1">
      <c r="A14" s="16">
        <v>11</v>
      </c>
      <c r="B14" s="22">
        <f>'[4]Dia 1 (b)'!$V20</f>
        <v>15.165004106731971</v>
      </c>
      <c r="C14" s="22">
        <f>'[4]Dia 2 (b)'!$V20</f>
        <v>17.422397649827566</v>
      </c>
      <c r="D14" s="22">
        <f>'[4]Dia 3 (b)'!$V20</f>
        <v>18.490091172645688</v>
      </c>
      <c r="E14" s="22">
        <f>'[4]Dia 4 (b)'!$V20</f>
        <v>18.778368745845938</v>
      </c>
      <c r="F14" s="22">
        <f>'[4]Dia 5 (b)'!$V20</f>
        <v>16.611986916009197</v>
      </c>
      <c r="G14" s="22">
        <f>'[4]Dia 6 (b)'!$V20</f>
        <v>17.524917245191002</v>
      </c>
      <c r="H14" s="22">
        <f>'[4]Dia 7 (b)'!$V20</f>
        <v>18.560724615439423</v>
      </c>
      <c r="I14" s="22">
        <f>'[4]Dia 8 (b)'!$V20</f>
        <v>18.352351598010497</v>
      </c>
      <c r="J14" s="22">
        <f>'[4]Dia 9 (b)'!$V20</f>
        <v>17.813353317927241</v>
      </c>
      <c r="K14" s="22">
        <f>'[4]Dia 10 (b)'!$V20</f>
        <v>18.939960298024733</v>
      </c>
      <c r="L14" s="22">
        <f>'[4]Dia 11 (b)'!$V20</f>
        <v>18.926859853609315</v>
      </c>
      <c r="M14" s="22">
        <f>'[4]Dia 12 (b)'!$V20</f>
        <v>17.623218278200902</v>
      </c>
      <c r="N14" s="22">
        <f>'[4]Dia 13 (b)'!$V20</f>
        <v>17.478241086571614</v>
      </c>
      <c r="O14" s="22">
        <f>'[4]Dia 14 (b)'!$V20</f>
        <v>18.6411467027445</v>
      </c>
      <c r="P14" s="22">
        <f>'[4]Dia 15 (b)'!$V20</f>
        <v>19.090627696945237</v>
      </c>
      <c r="Q14" s="22">
        <f>'[4]Dia 16 (b)'!$V20</f>
        <v>18.027250569879605</v>
      </c>
      <c r="R14" s="22">
        <f>'[4]Dia 17 (b)'!$V20</f>
        <v>19.387195611346968</v>
      </c>
      <c r="S14" s="22">
        <f>'[4]Dia 18 (b)'!$V20</f>
        <v>14.902262661586937</v>
      </c>
      <c r="T14" s="22">
        <f>'[4]Dia 19 (b)'!$V20</f>
        <v>6.2670645492690049</v>
      </c>
      <c r="U14" s="22">
        <f>'[4]Dia 20 (b)'!$V20</f>
        <v>14.586580826361288</v>
      </c>
      <c r="V14" s="22">
        <f>'[4]Dia 21 (b)'!$V20</f>
        <v>15.792529397730874</v>
      </c>
      <c r="W14" s="22">
        <f>'[4]Dia 22 (b)'!$V20</f>
        <v>13.877845437236777</v>
      </c>
      <c r="X14" s="22">
        <f>'[4]Dia 23 (b)'!$V20</f>
        <v>13.4719479788493</v>
      </c>
      <c r="Y14" s="22">
        <f>'[4]Dia 24 (b)'!$V20</f>
        <v>14.815314141144775</v>
      </c>
      <c r="Z14" s="22">
        <f>'[4]Dia 25 (b)'!$V20</f>
        <v>19.275020540237403</v>
      </c>
      <c r="AA14" s="22">
        <f>'[4]Dia 26 (b)'!$V20</f>
        <v>18.541754061421919</v>
      </c>
      <c r="AB14" s="22">
        <f>'[4]Dia 27 (b)'!$V20</f>
        <v>17.749982125375908</v>
      </c>
      <c r="AC14" s="22">
        <f>'[4]Dia 28 (b)'!$V20</f>
        <v>16.526548461684197</v>
      </c>
      <c r="AD14" s="22">
        <f>'[4]Dia 29 (b)'!$V20</f>
        <v>19.490465714431725</v>
      </c>
      <c r="AE14" s="22">
        <f>'[4]Dia 30 (b)'!$V20</f>
        <v>14.42723938011383</v>
      </c>
      <c r="AF14" s="23"/>
      <c r="AG14" s="54"/>
    </row>
    <row r="15" spans="1:33" ht="15.75" customHeight="1">
      <c r="A15" s="16">
        <v>12</v>
      </c>
      <c r="B15" s="22">
        <f>'[4]Dia 1 (b)'!$V21</f>
        <v>13.378297282916131</v>
      </c>
      <c r="C15" s="22">
        <f>'[4]Dia 2 (b)'!$V21</f>
        <v>15.725912835426652</v>
      </c>
      <c r="D15" s="22">
        <f>'[4]Dia 3 (b)'!$V21</f>
        <v>17.60296792653104</v>
      </c>
      <c r="E15" s="22">
        <f>'[4]Dia 4 (b)'!$V21</f>
        <v>18.459334691001573</v>
      </c>
      <c r="F15" s="22">
        <f>'[4]Dia 5 (b)'!$V21</f>
        <v>14.383402083110456</v>
      </c>
      <c r="G15" s="22">
        <f>'[4]Dia 6 (b)'!$V21</f>
        <v>18.246047213017771</v>
      </c>
      <c r="H15" s="22">
        <f>'[4]Dia 7 (b)'!$V21</f>
        <v>17.446457077836623</v>
      </c>
      <c r="I15" s="22">
        <f>'[4]Dia 8 (b)'!$V21</f>
        <v>18.438787951679792</v>
      </c>
      <c r="J15" s="22">
        <f>'[4]Dia 9 (b)'!$V21</f>
        <v>17.996470022708287</v>
      </c>
      <c r="K15" s="22">
        <f>'[4]Dia 10 (b)'!$V21</f>
        <v>17.216925559100034</v>
      </c>
      <c r="L15" s="22">
        <f>'[4]Dia 11 (b)'!$V21</f>
        <v>19.090849486375919</v>
      </c>
      <c r="M15" s="22">
        <f>'[4]Dia 12 (b)'!$V21</f>
        <v>18.044596890662273</v>
      </c>
      <c r="N15" s="22">
        <f>'[4]Dia 13 (b)'!$V21</f>
        <v>17.0858174090326</v>
      </c>
      <c r="O15" s="22">
        <f>'[4]Dia 14 (b)'!$V21</f>
        <v>18.003856318684019</v>
      </c>
      <c r="P15" s="22">
        <f>'[4]Dia 15 (b)'!$V21</f>
        <v>18.821327947037684</v>
      </c>
      <c r="Q15" s="22">
        <f>'[4]Dia 16 (b)'!$V21</f>
        <v>18.224179471345757</v>
      </c>
      <c r="R15" s="22">
        <f>'[4]Dia 17 (b)'!$V21</f>
        <v>19.212597140567613</v>
      </c>
      <c r="S15" s="22">
        <f>'[4]Dia 18 (b)'!$V21</f>
        <v>14.597933935541308</v>
      </c>
      <c r="T15" s="22">
        <f>'[4]Dia 19 (b)'!$V21</f>
        <v>8.3578060336054332</v>
      </c>
      <c r="U15" s="22">
        <f>'[4]Dia 20 (b)'!$V21</f>
        <v>14.599227330020415</v>
      </c>
      <c r="V15" s="22">
        <f>'[4]Dia 21 (b)'!$V21</f>
        <v>14.395384230064364</v>
      </c>
      <c r="W15" s="22">
        <f>'[4]Dia 22 (b)'!$V21</f>
        <v>11.273161439497295</v>
      </c>
      <c r="X15" s="22">
        <f>'[4]Dia 23 (b)'!$V21</f>
        <v>11.701258868654021</v>
      </c>
      <c r="Y15" s="22">
        <f>'[4]Dia 24 (b)'!$V21</f>
        <v>14.302957445938675</v>
      </c>
      <c r="Z15" s="22">
        <f>'[4]Dia 25 (b)'!$V21</f>
        <v>19.202206004933736</v>
      </c>
      <c r="AA15" s="22">
        <f>'[4]Dia 26 (b)'!$V21</f>
        <v>18.189294966527289</v>
      </c>
      <c r="AB15" s="22">
        <f>'[4]Dia 27 (b)'!$V21</f>
        <v>18.083349505258909</v>
      </c>
      <c r="AC15" s="22">
        <f>'[4]Dia 28 (b)'!$V21</f>
        <v>17.093348075041856</v>
      </c>
      <c r="AD15" s="22">
        <f>'[4]Dia 29 (b)'!$V21</f>
        <v>19.604610679562132</v>
      </c>
      <c r="AE15" s="22">
        <f>'[4]Dia 30 (b)'!$V21</f>
        <v>14.480817897143449</v>
      </c>
      <c r="AF15" s="23"/>
      <c r="AG15" s="54"/>
    </row>
    <row r="16" spans="1:33" ht="15.75" customHeight="1">
      <c r="A16" s="16">
        <v>13</v>
      </c>
      <c r="B16" s="22">
        <f>'[4]Dia 1 (b)'!$V22</f>
        <v>10.290322006594408</v>
      </c>
      <c r="C16" s="22">
        <f>'[4]Dia 2 (b)'!$V22</f>
        <v>15.792930981289381</v>
      </c>
      <c r="D16" s="22">
        <f>'[4]Dia 3 (b)'!$V22</f>
        <v>17.898354907603611</v>
      </c>
      <c r="E16" s="22">
        <f>'[4]Dia 4 (b)'!$V22</f>
        <v>17.655409834621732</v>
      </c>
      <c r="F16" s="22">
        <f>'[4]Dia 5 (b)'!$V22</f>
        <v>12.348910252339087</v>
      </c>
      <c r="G16" s="22">
        <f>'[4]Dia 6 (b)'!$V22</f>
        <v>18.854120210738159</v>
      </c>
      <c r="H16" s="22">
        <f>'[4]Dia 7 (b)'!$V22</f>
        <v>17.237891073364388</v>
      </c>
      <c r="I16" s="22">
        <f>'[4]Dia 8 (b)'!$V22</f>
        <v>18.711743766131548</v>
      </c>
      <c r="J16" s="22">
        <f>'[4]Dia 9 (b)'!$V22</f>
        <v>18.272815380099754</v>
      </c>
      <c r="K16" s="22">
        <f>'[4]Dia 10 (b)'!$V22</f>
        <v>17.423335713869701</v>
      </c>
      <c r="L16" s="22">
        <f>'[4]Dia 11 (b)'!$V22</f>
        <v>20.530068140331068</v>
      </c>
      <c r="M16" s="22">
        <f>'[4]Dia 12 (b)'!$V22</f>
        <v>19.175008804104397</v>
      </c>
      <c r="N16" s="22">
        <f>'[4]Dia 13 (b)'!$V22</f>
        <v>17.464651446765235</v>
      </c>
      <c r="O16" s="22">
        <f>'[4]Dia 14 (b)'!$V22</f>
        <v>18.846811256880006</v>
      </c>
      <c r="P16" s="22">
        <f>'[4]Dia 15 (b)'!$V22</f>
        <v>18.059221788816938</v>
      </c>
      <c r="Q16" s="22">
        <f>'[4]Dia 16 (b)'!$V22</f>
        <v>16.689215396107333</v>
      </c>
      <c r="R16" s="22">
        <f>'[4]Dia 17 (b)'!$V22</f>
        <v>19.46070358027243</v>
      </c>
      <c r="S16" s="22">
        <f>'[4]Dia 18 (b)'!$V22</f>
        <v>15.35343551549647</v>
      </c>
      <c r="T16" s="22">
        <f>'[4]Dia 19 (b)'!$V22</f>
        <v>11.302466951981163</v>
      </c>
      <c r="U16" s="22">
        <f>'[4]Dia 20 (b)'!$V22</f>
        <v>14.77842376718432</v>
      </c>
      <c r="V16" s="22">
        <f>'[4]Dia 21 (b)'!$V22</f>
        <v>11.807302426502231</v>
      </c>
      <c r="W16" s="22">
        <f>'[4]Dia 22 (b)'!$V22</f>
        <v>11.140340236033197</v>
      </c>
      <c r="X16" s="22">
        <f>'[4]Dia 23 (b)'!$V22</f>
        <v>12.69275558101408</v>
      </c>
      <c r="Y16" s="22">
        <f>'[4]Dia 24 (b)'!$V22</f>
        <v>15.017750487389852</v>
      </c>
      <c r="Z16" s="22">
        <f>'[4]Dia 25 (b)'!$V22</f>
        <v>19.683687224124746</v>
      </c>
      <c r="AA16" s="22">
        <f>'[4]Dia 26 (b)'!$V22</f>
        <v>18.615507119565336</v>
      </c>
      <c r="AB16" s="22">
        <f>'[4]Dia 27 (b)'!$V22</f>
        <v>16.870388917475331</v>
      </c>
      <c r="AC16" s="22">
        <f>'[4]Dia 28 (b)'!$V22</f>
        <v>15.690427219757716</v>
      </c>
      <c r="AD16" s="22">
        <f>'[4]Dia 29 (b)'!$V22</f>
        <v>17.870347802700717</v>
      </c>
      <c r="AE16" s="22">
        <f>'[4]Dia 30 (b)'!$V22</f>
        <v>13.099810959796038</v>
      </c>
      <c r="AF16" s="23"/>
      <c r="AG16" s="54"/>
    </row>
    <row r="17" spans="1:33" ht="15.75" customHeight="1">
      <c r="A17" s="16">
        <v>14</v>
      </c>
      <c r="B17" s="22">
        <f>'[4]Dia 1 (b)'!$V23</f>
        <v>10.581032779284666</v>
      </c>
      <c r="C17" s="22">
        <f>'[4]Dia 2 (b)'!$V23</f>
        <v>17.004796131977287</v>
      </c>
      <c r="D17" s="22">
        <f>'[4]Dia 3 (b)'!$V23</f>
        <v>17.29328459465518</v>
      </c>
      <c r="E17" s="22">
        <f>'[4]Dia 4 (b)'!$V23</f>
        <v>16.381322606067165</v>
      </c>
      <c r="F17" s="22">
        <f>'[4]Dia 5 (b)'!$V23</f>
        <v>13.547261040756268</v>
      </c>
      <c r="G17" s="22">
        <f>'[4]Dia 6 (b)'!$V23</f>
        <v>19.009379664532496</v>
      </c>
      <c r="H17" s="22">
        <f>'[4]Dia 7 (b)'!$V23</f>
        <v>19.268696901507273</v>
      </c>
      <c r="I17" s="22">
        <f>'[4]Dia 8 (b)'!$V23</f>
        <v>19.139027352799026</v>
      </c>
      <c r="J17" s="22">
        <f>'[4]Dia 9 (b)'!$V23</f>
        <v>17.804879690388475</v>
      </c>
      <c r="K17" s="22">
        <f>'[4]Dia 10 (b)'!$V23</f>
        <v>19.751567343301279</v>
      </c>
      <c r="L17" s="22">
        <f>'[4]Dia 11 (b)'!$V23</f>
        <v>20.009965049031759</v>
      </c>
      <c r="M17" s="22">
        <f>'[4]Dia 12 (b)'!$V23</f>
        <v>19.064903259883355</v>
      </c>
      <c r="N17" s="22">
        <f>'[4]Dia 13 (b)'!$V23</f>
        <v>16.677642327396665</v>
      </c>
      <c r="O17" s="22">
        <f>'[4]Dia 14 (b)'!$V23</f>
        <v>19.337036757040853</v>
      </c>
      <c r="P17" s="22">
        <f>'[4]Dia 15 (b)'!$V23</f>
        <v>17.871912123277959</v>
      </c>
      <c r="Q17" s="22">
        <f>'[4]Dia 16 (b)'!$V23</f>
        <v>19.033693953010619</v>
      </c>
      <c r="R17" s="22">
        <f>'[4]Dia 17 (b)'!$V23</f>
        <v>19.74808338273602</v>
      </c>
      <c r="S17" s="22">
        <f>'[4]Dia 18 (b)'!$V23</f>
        <v>15.821412968201573</v>
      </c>
      <c r="T17" s="22">
        <f>'[4]Dia 19 (b)'!$V23</f>
        <v>11.49624694187516</v>
      </c>
      <c r="U17" s="22">
        <f>'[4]Dia 20 (b)'!$V23</f>
        <v>17.157411547425237</v>
      </c>
      <c r="V17" s="22">
        <f>'[4]Dia 21 (b)'!$V23</f>
        <v>11.409289161580013</v>
      </c>
      <c r="W17" s="22">
        <f>'[4]Dia 22 (b)'!$V23</f>
        <v>10.360759779548411</v>
      </c>
      <c r="X17" s="22">
        <f>'[4]Dia 23 (b)'!$V23</f>
        <v>11.094890726872384</v>
      </c>
      <c r="Y17" s="22">
        <f>'[4]Dia 24 (b)'!$V23</f>
        <v>15.827560306011842</v>
      </c>
      <c r="Z17" s="22">
        <f>'[4]Dia 25 (b)'!$V23</f>
        <v>19.836007158771107</v>
      </c>
      <c r="AA17" s="22">
        <f>'[4]Dia 26 (b)'!$V23</f>
        <v>17.758449265842597</v>
      </c>
      <c r="AB17" s="22">
        <f>'[4]Dia 27 (b)'!$V23</f>
        <v>16.921405187443291</v>
      </c>
      <c r="AC17" s="22">
        <f>'[4]Dia 28 (b)'!$V23</f>
        <v>16.340706882910627</v>
      </c>
      <c r="AD17" s="22">
        <f>'[4]Dia 29 (b)'!$V23</f>
        <v>17.947478563775825</v>
      </c>
      <c r="AE17" s="22">
        <f>'[4]Dia 30 (b)'!$V23</f>
        <v>13.106785906440436</v>
      </c>
      <c r="AF17" s="23"/>
      <c r="AG17" s="54"/>
    </row>
    <row r="18" spans="1:33" ht="15.75" customHeight="1">
      <c r="A18" s="16">
        <v>15</v>
      </c>
      <c r="B18" s="22">
        <f>'[4]Dia 1 (b)'!$V24</f>
        <v>12.080124644796314</v>
      </c>
      <c r="C18" s="22">
        <f>'[4]Dia 2 (b)'!$V24</f>
        <v>20.846179637591106</v>
      </c>
      <c r="D18" s="22">
        <f>'[4]Dia 3 (b)'!$V24</f>
        <v>20.126323769749355</v>
      </c>
      <c r="E18" s="22">
        <f>'[4]Dia 4 (b)'!$V24</f>
        <v>19.291606841449834</v>
      </c>
      <c r="F18" s="22">
        <f>'[4]Dia 5 (b)'!$V24</f>
        <v>14.452309443258509</v>
      </c>
      <c r="G18" s="22">
        <f>'[4]Dia 6 (b)'!$V24</f>
        <v>18.999749666904933</v>
      </c>
      <c r="H18" s="22">
        <f>'[4]Dia 7 (b)'!$V24</f>
        <v>18.668208804516823</v>
      </c>
      <c r="I18" s="22">
        <f>'[4]Dia 8 (b)'!$V24</f>
        <v>20.285754837994141</v>
      </c>
      <c r="J18" s="22">
        <f>'[4]Dia 9 (b)'!$V24</f>
        <v>19.197519036972185</v>
      </c>
      <c r="K18" s="22">
        <f>'[4]Dia 10 (b)'!$V24</f>
        <v>20.632875190702453</v>
      </c>
      <c r="L18" s="22">
        <f>'[4]Dia 11 (b)'!$V24</f>
        <v>19.575437367993608</v>
      </c>
      <c r="M18" s="22">
        <f>'[4]Dia 12 (b)'!$V24</f>
        <v>19.110547291572516</v>
      </c>
      <c r="N18" s="22">
        <f>'[4]Dia 13 (b)'!$V24</f>
        <v>20.318445450845594</v>
      </c>
      <c r="O18" s="22">
        <f>'[4]Dia 14 (b)'!$V24</f>
        <v>19.094020501208792</v>
      </c>
      <c r="P18" s="22">
        <f>'[4]Dia 15 (b)'!$V24</f>
        <v>20.515769127994314</v>
      </c>
      <c r="Q18" s="22">
        <f>'[4]Dia 16 (b)'!$V24</f>
        <v>17.773786517808205</v>
      </c>
      <c r="R18" s="22">
        <f>'[4]Dia 17 (b)'!$V24</f>
        <v>19.506585078514583</v>
      </c>
      <c r="S18" s="22">
        <f>'[4]Dia 18 (b)'!$V24</f>
        <v>15.028216928471505</v>
      </c>
      <c r="T18" s="22">
        <f>'[4]Dia 19 (b)'!$V24</f>
        <v>12.102207870963367</v>
      </c>
      <c r="U18" s="22">
        <f>'[4]Dia 20 (b)'!$V24</f>
        <v>17.147583274784949</v>
      </c>
      <c r="V18" s="22">
        <f>'[4]Dia 21 (b)'!$V24</f>
        <v>12.309985847084851</v>
      </c>
      <c r="W18" s="22">
        <f>'[4]Dia 22 (b)'!$V24</f>
        <v>11.156956112499779</v>
      </c>
      <c r="X18" s="22">
        <f>'[4]Dia 23 (b)'!$V24</f>
        <v>12.0751155881077</v>
      </c>
      <c r="Y18" s="22">
        <f>'[4]Dia 24 (b)'!$V24</f>
        <v>16.623781864390157</v>
      </c>
      <c r="Z18" s="22">
        <f>'[4]Dia 25 (b)'!$V24</f>
        <v>19.514834759545909</v>
      </c>
      <c r="AA18" s="22">
        <f>'[4]Dia 26 (b)'!$V24</f>
        <v>20.380947449041518</v>
      </c>
      <c r="AB18" s="22">
        <f>'[4]Dia 27 (b)'!$V24</f>
        <v>16.362582929949355</v>
      </c>
      <c r="AC18" s="22">
        <f>'[4]Dia 28 (b)'!$V24</f>
        <v>15.867458012454325</v>
      </c>
      <c r="AD18" s="22">
        <f>'[4]Dia 29 (b)'!$V24</f>
        <v>16.052051715263133</v>
      </c>
      <c r="AE18" s="22">
        <f>'[4]Dia 30 (b)'!$V24</f>
        <v>13.170382737696723</v>
      </c>
      <c r="AF18" s="23"/>
      <c r="AG18" s="54"/>
    </row>
    <row r="19" spans="1:33" ht="15.75" customHeight="1">
      <c r="A19" s="16">
        <v>16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8"/>
      <c r="AG19" s="54"/>
    </row>
    <row r="20" spans="1:33" ht="15.75" customHeight="1">
      <c r="A20" s="16">
        <v>17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8"/>
      <c r="AG20" s="54"/>
    </row>
    <row r="21" spans="1:33" ht="15.75" customHeight="1">
      <c r="A21" s="16">
        <v>18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8"/>
      <c r="AG21" s="54"/>
    </row>
    <row r="22" spans="1:33" ht="15.75" customHeight="1">
      <c r="A22" s="16">
        <v>19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8"/>
      <c r="AG22" s="54"/>
    </row>
    <row r="23" spans="1:33" ht="15.75" customHeight="1">
      <c r="A23" s="16">
        <v>20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8"/>
      <c r="AG23" s="54"/>
    </row>
    <row r="24" spans="1:33" ht="15.75" customHeight="1">
      <c r="A24" s="16">
        <v>21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8"/>
      <c r="AG24" s="54"/>
    </row>
    <row r="25" spans="1:33" ht="15.75" customHeight="1">
      <c r="A25" s="16">
        <v>22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8"/>
      <c r="AG25" s="54"/>
    </row>
    <row r="26" spans="1:33" ht="15.75" customHeight="1">
      <c r="A26" s="16">
        <v>23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8"/>
      <c r="AG26" s="54"/>
    </row>
    <row r="27" spans="1:33" ht="15.75" customHeight="1" thickBot="1">
      <c r="A27" s="16">
        <v>24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8"/>
      <c r="AG27" s="54"/>
    </row>
    <row r="28" spans="1:33" ht="15.75" thickTop="1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6"/>
    </row>
    <row r="29" spans="1:33" ht="15">
      <c r="A29" s="27"/>
      <c r="B29" s="28" t="s">
        <v>5</v>
      </c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30"/>
    </row>
    <row r="30" spans="1:33" ht="15.75">
      <c r="A30" s="31" t="s">
        <v>6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0"/>
      <c r="AG30" s="10"/>
    </row>
    <row r="31" spans="1:33" ht="15.75">
      <c r="A31" s="31" t="s">
        <v>7</v>
      </c>
      <c r="B31" s="33">
        <f>AVERAGE(B4:B27)</f>
        <v>14.291531642373835</v>
      </c>
      <c r="C31" s="33">
        <f t="shared" ref="C31:AE31" si="0">AVERAGE(C4:C27)</f>
        <v>17.74078191823477</v>
      </c>
      <c r="D31" s="33">
        <f t="shared" si="0"/>
        <v>18.297680750554562</v>
      </c>
      <c r="E31" s="33">
        <f t="shared" si="0"/>
        <v>18.273976530117249</v>
      </c>
      <c r="F31" s="33">
        <f t="shared" si="0"/>
        <v>16.159059375900142</v>
      </c>
      <c r="G31" s="33">
        <f t="shared" si="0"/>
        <v>18.274313466958986</v>
      </c>
      <c r="H31" s="33">
        <f t="shared" si="0"/>
        <v>18.042385248749017</v>
      </c>
      <c r="I31" s="33">
        <f t="shared" si="0"/>
        <v>18.772011526965787</v>
      </c>
      <c r="J31" s="33">
        <f t="shared" si="0"/>
        <v>18.710280387462547</v>
      </c>
      <c r="K31" s="33">
        <f t="shared" si="0"/>
        <v>18.821681745215376</v>
      </c>
      <c r="L31" s="33">
        <f t="shared" si="0"/>
        <v>19.412235520369652</v>
      </c>
      <c r="M31" s="33">
        <f t="shared" si="0"/>
        <v>18.428397373419127</v>
      </c>
      <c r="N31" s="33">
        <f t="shared" si="0"/>
        <v>17.973575414226186</v>
      </c>
      <c r="O31" s="33">
        <f t="shared" si="0"/>
        <v>18.784112638659067</v>
      </c>
      <c r="P31" s="33">
        <f>AVERAGE(P4:P27)</f>
        <v>19.281794330565745</v>
      </c>
      <c r="Q31" s="33">
        <f t="shared" si="0"/>
        <v>18.691375709259628</v>
      </c>
      <c r="R31" s="33">
        <f t="shared" si="0"/>
        <v>20.104795742123635</v>
      </c>
      <c r="S31" s="33">
        <f t="shared" si="0"/>
        <v>15.312864659853991</v>
      </c>
      <c r="T31" s="33">
        <f t="shared" si="0"/>
        <v>10.277641203280533</v>
      </c>
      <c r="U31" s="33">
        <f t="shared" si="0"/>
        <v>15.10244463223497</v>
      </c>
      <c r="V31" s="33">
        <f t="shared" si="0"/>
        <v>14.252223729386795</v>
      </c>
      <c r="W31" s="33">
        <f t="shared" si="0"/>
        <v>13.511438474175367</v>
      </c>
      <c r="X31" s="33">
        <f t="shared" si="0"/>
        <v>13.302448972044122</v>
      </c>
      <c r="Y31" s="33">
        <f t="shared" si="0"/>
        <v>15.474704222935429</v>
      </c>
      <c r="Z31" s="33">
        <f t="shared" si="0"/>
        <v>18.981505561797892</v>
      </c>
      <c r="AA31" s="33">
        <f t="shared" si="0"/>
        <v>18.601170212396536</v>
      </c>
      <c r="AB31" s="33">
        <f t="shared" si="0"/>
        <v>17.903288610019072</v>
      </c>
      <c r="AC31" s="33">
        <f t="shared" si="0"/>
        <v>16.799602311817598</v>
      </c>
      <c r="AD31" s="33">
        <f t="shared" si="0"/>
        <v>18.5833555238885</v>
      </c>
      <c r="AE31" s="33">
        <f t="shared" si="0"/>
        <v>15.360349173749066</v>
      </c>
      <c r="AF31" s="34"/>
      <c r="AG31" s="10"/>
    </row>
    <row r="32" spans="1:33" ht="15">
      <c r="A32" s="35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7"/>
      <c r="AG32" s="10"/>
    </row>
    <row r="33" spans="1:33" ht="15">
      <c r="A33" s="35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7"/>
      <c r="AG33" s="10"/>
    </row>
    <row r="34" spans="1:33" ht="15.75">
      <c r="A34" s="31" t="s">
        <v>8</v>
      </c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7"/>
      <c r="AG34" s="10"/>
    </row>
    <row r="35" spans="1:33" ht="15.75">
      <c r="A35" s="31" t="s">
        <v>7</v>
      </c>
      <c r="B35" s="33">
        <f>MAX(B4:B27)</f>
        <v>17.77443957391808</v>
      </c>
      <c r="C35" s="33">
        <f t="shared" ref="C35:AE35" si="1">MAX(C4:C27)</f>
        <v>20.846179637591106</v>
      </c>
      <c r="D35" s="33">
        <f t="shared" si="1"/>
        <v>20.126323769749355</v>
      </c>
      <c r="E35" s="33">
        <f t="shared" si="1"/>
        <v>19.291606841449834</v>
      </c>
      <c r="F35" s="33">
        <f t="shared" si="1"/>
        <v>18.739460137800599</v>
      </c>
      <c r="G35" s="33">
        <f t="shared" si="1"/>
        <v>19.009379664532496</v>
      </c>
      <c r="H35" s="33">
        <f t="shared" si="1"/>
        <v>19.268696901507273</v>
      </c>
      <c r="I35" s="33">
        <f t="shared" si="1"/>
        <v>20.285754837994141</v>
      </c>
      <c r="J35" s="33">
        <f t="shared" si="1"/>
        <v>20.133030961519424</v>
      </c>
      <c r="K35" s="33">
        <f t="shared" si="1"/>
        <v>20.632875190702453</v>
      </c>
      <c r="L35" s="33">
        <f t="shared" si="1"/>
        <v>20.530068140331068</v>
      </c>
      <c r="M35" s="33">
        <f t="shared" si="1"/>
        <v>19.175008804104397</v>
      </c>
      <c r="N35" s="33">
        <f t="shared" si="1"/>
        <v>20.318445450845594</v>
      </c>
      <c r="O35" s="33">
        <f t="shared" si="1"/>
        <v>19.337036757040853</v>
      </c>
      <c r="P35" s="33">
        <f>MAX(P4:P27)</f>
        <v>20.515769127994314</v>
      </c>
      <c r="Q35" s="33">
        <f t="shared" si="1"/>
        <v>19.984886407626092</v>
      </c>
      <c r="R35" s="33">
        <f t="shared" si="1"/>
        <v>21.667984988018112</v>
      </c>
      <c r="S35" s="33">
        <f t="shared" si="1"/>
        <v>16.136332523786766</v>
      </c>
      <c r="T35" s="33">
        <f t="shared" si="1"/>
        <v>13.340165764438421</v>
      </c>
      <c r="U35" s="33">
        <f t="shared" si="1"/>
        <v>17.157411547425237</v>
      </c>
      <c r="V35" s="33">
        <f t="shared" si="1"/>
        <v>16.021615314861972</v>
      </c>
      <c r="W35" s="33">
        <f t="shared" si="1"/>
        <v>16.553722527148189</v>
      </c>
      <c r="X35" s="33">
        <f t="shared" si="1"/>
        <v>16.084035312874757</v>
      </c>
      <c r="Y35" s="33">
        <f t="shared" si="1"/>
        <v>17.474608848223749</v>
      </c>
      <c r="Z35" s="33">
        <f t="shared" si="1"/>
        <v>19.836007158771107</v>
      </c>
      <c r="AA35" s="33">
        <f t="shared" si="1"/>
        <v>20.380947449041518</v>
      </c>
      <c r="AB35" s="33">
        <f t="shared" si="1"/>
        <v>19.190156333858923</v>
      </c>
      <c r="AC35" s="33">
        <f t="shared" si="1"/>
        <v>18.187029502831248</v>
      </c>
      <c r="AD35" s="33">
        <f t="shared" si="1"/>
        <v>19.604610679562132</v>
      </c>
      <c r="AE35" s="33">
        <f t="shared" si="1"/>
        <v>18.493696634084806</v>
      </c>
      <c r="AF35" s="34"/>
      <c r="AG35" s="10"/>
    </row>
    <row r="36" spans="1:33" ht="15">
      <c r="A36" s="35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7"/>
      <c r="AG36" s="10"/>
    </row>
    <row r="37" spans="1:33" ht="15">
      <c r="A37" s="35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7"/>
      <c r="AG37" s="10"/>
    </row>
    <row r="38" spans="1:33" ht="15.75">
      <c r="A38" s="31" t="s">
        <v>9</v>
      </c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7"/>
      <c r="AG38" s="10"/>
    </row>
    <row r="39" spans="1:33" ht="15.75">
      <c r="A39" s="31" t="s">
        <v>7</v>
      </c>
      <c r="B39" s="33">
        <f>MIN(B4:B27)</f>
        <v>10.290322006594408</v>
      </c>
      <c r="C39" s="33">
        <f t="shared" ref="C39:AE39" si="2">MIN(C4:C27)</f>
        <v>15.725912835426652</v>
      </c>
      <c r="D39" s="33">
        <f t="shared" si="2"/>
        <v>17.29328459465518</v>
      </c>
      <c r="E39" s="33">
        <f t="shared" si="2"/>
        <v>16.381322606067165</v>
      </c>
      <c r="F39" s="33">
        <f t="shared" si="2"/>
        <v>12.348910252339087</v>
      </c>
      <c r="G39" s="33">
        <f t="shared" si="2"/>
        <v>17.168521495467083</v>
      </c>
      <c r="H39" s="33">
        <f t="shared" si="2"/>
        <v>17.237891073364388</v>
      </c>
      <c r="I39" s="33">
        <f t="shared" si="2"/>
        <v>18.352351598010497</v>
      </c>
      <c r="J39" s="33">
        <f t="shared" si="2"/>
        <v>17.804879690388475</v>
      </c>
      <c r="K39" s="33">
        <f t="shared" si="2"/>
        <v>17.216925559100034</v>
      </c>
      <c r="L39" s="33">
        <f t="shared" si="2"/>
        <v>18.875770202795415</v>
      </c>
      <c r="M39" s="33">
        <f t="shared" si="2"/>
        <v>17.623218278200902</v>
      </c>
      <c r="N39" s="33">
        <f t="shared" si="2"/>
        <v>16.677642327396665</v>
      </c>
      <c r="O39" s="33">
        <f t="shared" si="2"/>
        <v>18.003856318684019</v>
      </c>
      <c r="P39" s="33">
        <f>MIN(P4:P27)</f>
        <v>17.871912123277959</v>
      </c>
      <c r="Q39" s="33">
        <f t="shared" si="2"/>
        <v>16.689215396107333</v>
      </c>
      <c r="R39" s="33">
        <f t="shared" si="2"/>
        <v>19.212597140567613</v>
      </c>
      <c r="S39" s="33">
        <f t="shared" si="2"/>
        <v>14.589554734619773</v>
      </c>
      <c r="T39" s="33">
        <f t="shared" si="2"/>
        <v>6.2670645492690049</v>
      </c>
      <c r="U39" s="33">
        <f t="shared" si="2"/>
        <v>14.173627049565745</v>
      </c>
      <c r="V39" s="33">
        <f t="shared" si="2"/>
        <v>11.409289161580013</v>
      </c>
      <c r="W39" s="33">
        <f t="shared" si="2"/>
        <v>10.360759779548411</v>
      </c>
      <c r="X39" s="33">
        <f t="shared" si="2"/>
        <v>11.094890726872384</v>
      </c>
      <c r="Y39" s="33">
        <f t="shared" si="2"/>
        <v>13.971691894063126</v>
      </c>
      <c r="Z39" s="33">
        <f t="shared" si="2"/>
        <v>17.881412302133509</v>
      </c>
      <c r="AA39" s="33">
        <f t="shared" si="2"/>
        <v>17.758449265842597</v>
      </c>
      <c r="AB39" s="33">
        <f t="shared" si="2"/>
        <v>16.362582929949355</v>
      </c>
      <c r="AC39" s="33">
        <f t="shared" si="2"/>
        <v>15.690427219757716</v>
      </c>
      <c r="AD39" s="33">
        <f t="shared" si="2"/>
        <v>16.052051715263133</v>
      </c>
      <c r="AE39" s="33">
        <f t="shared" si="2"/>
        <v>13.099810959796038</v>
      </c>
      <c r="AF39" s="34"/>
      <c r="AG39" s="10"/>
    </row>
    <row r="40" spans="1:33" ht="15">
      <c r="A40" s="35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38"/>
      <c r="AG40" s="10"/>
    </row>
    <row r="41" spans="1:33" ht="15">
      <c r="A41" s="35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38"/>
      <c r="AG41" s="10"/>
    </row>
    <row r="42" spans="1:33" ht="15.75">
      <c r="A42" s="31" t="s">
        <v>10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38"/>
      <c r="AG42" s="10"/>
    </row>
    <row r="43" spans="1:33" ht="15.75">
      <c r="A43" s="31" t="s">
        <v>7</v>
      </c>
      <c r="B43" s="39">
        <f>B35-B39</f>
        <v>7.4841175673236719</v>
      </c>
      <c r="C43" s="39">
        <f t="shared" ref="C43:AE43" si="3">C35-C39</f>
        <v>5.1202668021644548</v>
      </c>
      <c r="D43" s="39">
        <f t="shared" si="3"/>
        <v>2.833039175094175</v>
      </c>
      <c r="E43" s="39">
        <f t="shared" si="3"/>
        <v>2.9102842353826688</v>
      </c>
      <c r="F43" s="39">
        <f t="shared" si="3"/>
        <v>6.3905498854615121</v>
      </c>
      <c r="G43" s="39">
        <f t="shared" si="3"/>
        <v>1.8408581690654131</v>
      </c>
      <c r="H43" s="39">
        <f t="shared" si="3"/>
        <v>2.0308058281428849</v>
      </c>
      <c r="I43" s="39">
        <f t="shared" si="3"/>
        <v>1.9334032399836438</v>
      </c>
      <c r="J43" s="39">
        <f t="shared" si="3"/>
        <v>2.3281512711309489</v>
      </c>
      <c r="K43" s="39">
        <f t="shared" si="3"/>
        <v>3.4159496316024196</v>
      </c>
      <c r="L43" s="39">
        <f t="shared" si="3"/>
        <v>1.6542979375356524</v>
      </c>
      <c r="M43" s="39">
        <f t="shared" si="3"/>
        <v>1.5517905259034954</v>
      </c>
      <c r="N43" s="39">
        <f t="shared" si="3"/>
        <v>3.6408031234489293</v>
      </c>
      <c r="O43" s="39">
        <f t="shared" si="3"/>
        <v>1.333180438356834</v>
      </c>
      <c r="P43" s="39">
        <f>P35-P39</f>
        <v>2.6438570047163559</v>
      </c>
      <c r="Q43" s="39">
        <f t="shared" si="3"/>
        <v>3.2956710115187597</v>
      </c>
      <c r="R43" s="39">
        <f t="shared" si="3"/>
        <v>2.4553878474504991</v>
      </c>
      <c r="S43" s="39">
        <f t="shared" si="3"/>
        <v>1.5467777891669936</v>
      </c>
      <c r="T43" s="39">
        <f t="shared" si="3"/>
        <v>7.0731012151694159</v>
      </c>
      <c r="U43" s="39">
        <f t="shared" si="3"/>
        <v>2.9837844978594923</v>
      </c>
      <c r="V43" s="39">
        <f t="shared" si="3"/>
        <v>4.6123261532819591</v>
      </c>
      <c r="W43" s="39">
        <f t="shared" si="3"/>
        <v>6.1929627475997773</v>
      </c>
      <c r="X43" s="39">
        <f t="shared" si="3"/>
        <v>4.9891445860023733</v>
      </c>
      <c r="Y43" s="39">
        <f t="shared" si="3"/>
        <v>3.5029169541606233</v>
      </c>
      <c r="Z43" s="39">
        <f t="shared" si="3"/>
        <v>1.9545948566375984</v>
      </c>
      <c r="AA43" s="39">
        <f t="shared" si="3"/>
        <v>2.6224981831989211</v>
      </c>
      <c r="AB43" s="39">
        <f t="shared" si="3"/>
        <v>2.8275734039095681</v>
      </c>
      <c r="AC43" s="39">
        <f t="shared" si="3"/>
        <v>2.4966022830735319</v>
      </c>
      <c r="AD43" s="39">
        <f t="shared" si="3"/>
        <v>3.5525589642989992</v>
      </c>
      <c r="AE43" s="39">
        <f t="shared" si="3"/>
        <v>5.393885674288768</v>
      </c>
      <c r="AF43" s="34"/>
      <c r="AG43" s="10"/>
    </row>
    <row r="44" spans="1:33">
      <c r="A44" s="27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38"/>
      <c r="AG44" s="10"/>
    </row>
    <row r="45" spans="1:33">
      <c r="A45" s="27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38"/>
      <c r="AG45" s="10"/>
    </row>
    <row r="46" spans="1:33" ht="15.75">
      <c r="A46" s="27"/>
      <c r="B46" s="1"/>
      <c r="C46" s="1"/>
      <c r="D46" s="1"/>
      <c r="E46" s="1"/>
      <c r="F46" s="1"/>
      <c r="G46" s="1"/>
      <c r="H46" s="1"/>
      <c r="I46" s="40" t="s">
        <v>6</v>
      </c>
      <c r="J46" s="41"/>
      <c r="K46" s="41"/>
      <c r="L46" s="42" t="s">
        <v>8</v>
      </c>
      <c r="M46" s="43"/>
      <c r="N46" s="43"/>
      <c r="O46" s="42" t="s">
        <v>9</v>
      </c>
      <c r="P46" s="43"/>
      <c r="Q46" s="43"/>
      <c r="R46" s="42" t="s">
        <v>10</v>
      </c>
      <c r="S46" s="44"/>
      <c r="T46" s="41"/>
      <c r="U46" s="43" t="s">
        <v>6</v>
      </c>
      <c r="V46" s="43"/>
      <c r="W46" s="43" t="s">
        <v>6</v>
      </c>
      <c r="X46" s="43"/>
      <c r="Y46" s="43" t="s">
        <v>11</v>
      </c>
      <c r="Z46" s="43"/>
      <c r="AA46" s="1"/>
      <c r="AB46" s="1"/>
      <c r="AC46" s="1"/>
      <c r="AD46" s="1"/>
      <c r="AE46" s="1"/>
      <c r="AF46" s="38"/>
      <c r="AG46" s="10"/>
    </row>
    <row r="47" spans="1:33" ht="15.75">
      <c r="A47" s="27"/>
      <c r="B47" s="1"/>
      <c r="C47" s="1"/>
      <c r="D47" s="1"/>
      <c r="E47" s="1"/>
      <c r="F47" s="1"/>
      <c r="G47" s="1"/>
      <c r="H47" s="1"/>
      <c r="I47" s="45" t="s">
        <v>12</v>
      </c>
      <c r="J47" s="41"/>
      <c r="K47" s="41"/>
      <c r="L47" s="43" t="s">
        <v>12</v>
      </c>
      <c r="M47" s="43"/>
      <c r="N47" s="43"/>
      <c r="O47" s="43" t="s">
        <v>12</v>
      </c>
      <c r="P47" s="43"/>
      <c r="Q47" s="43"/>
      <c r="R47" s="43" t="s">
        <v>12</v>
      </c>
      <c r="S47" s="44"/>
      <c r="T47" s="41"/>
      <c r="U47" s="43" t="s">
        <v>13</v>
      </c>
      <c r="V47" s="43"/>
      <c r="W47" s="43" t="s">
        <v>14</v>
      </c>
      <c r="X47" s="43"/>
      <c r="Y47" s="43" t="s">
        <v>15</v>
      </c>
      <c r="Z47" s="43"/>
      <c r="AA47" s="1"/>
      <c r="AB47" s="1"/>
      <c r="AC47" s="1"/>
      <c r="AD47" s="1"/>
      <c r="AE47" s="1"/>
      <c r="AF47" s="38"/>
      <c r="AG47" s="10"/>
    </row>
    <row r="48" spans="1:33" ht="15">
      <c r="A48" s="27"/>
      <c r="B48" s="1"/>
      <c r="C48" s="1"/>
      <c r="D48" s="1"/>
      <c r="E48" s="1"/>
      <c r="F48" s="1"/>
      <c r="G48" s="1"/>
      <c r="H48" s="1"/>
      <c r="I48" s="29"/>
      <c r="J48" s="1"/>
      <c r="K48" s="1"/>
      <c r="L48" s="36"/>
      <c r="M48" s="36"/>
      <c r="N48" s="36"/>
      <c r="O48" s="36"/>
      <c r="P48" s="36"/>
      <c r="Q48" s="36"/>
      <c r="R48" s="36"/>
      <c r="S48" s="36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38"/>
      <c r="AG48" s="10"/>
    </row>
    <row r="49" spans="1:32" s="52" customFormat="1" ht="15.75" thickBot="1">
      <c r="A49" s="46"/>
      <c r="B49" s="47"/>
      <c r="C49" s="47"/>
      <c r="D49" s="47"/>
      <c r="E49" s="47"/>
      <c r="F49" s="47"/>
      <c r="G49" s="47"/>
      <c r="H49" s="47"/>
      <c r="I49" s="48">
        <f>AVERAGE(B31:AF31)</f>
        <v>17.11743422029117</v>
      </c>
      <c r="J49" s="47"/>
      <c r="K49" s="47"/>
      <c r="L49" s="48">
        <f>MAX(B35:AF35)</f>
        <v>21.667984988018112</v>
      </c>
      <c r="M49" s="49"/>
      <c r="N49" s="49"/>
      <c r="O49" s="48">
        <f>MIN(B39:AF39)</f>
        <v>6.2670645492690049</v>
      </c>
      <c r="P49" s="49"/>
      <c r="Q49" s="49"/>
      <c r="R49" s="48">
        <f>L49-O49</f>
        <v>15.400920438749107</v>
      </c>
      <c r="S49" s="49"/>
      <c r="T49" s="47"/>
      <c r="U49" s="48">
        <f>AVERAGE(B35:AF35)</f>
        <v>18.869909559654467</v>
      </c>
      <c r="V49" s="50"/>
      <c r="W49" s="48">
        <f>AVERAGE(B39:AF39)</f>
        <v>15.449538192890124</v>
      </c>
      <c r="X49" s="50"/>
      <c r="Y49" s="48">
        <f>U49-W49</f>
        <v>3.4203713667643427</v>
      </c>
      <c r="Z49" s="47"/>
      <c r="AA49" s="47"/>
      <c r="AB49" s="47"/>
      <c r="AC49" s="47"/>
      <c r="AD49" s="47"/>
      <c r="AE49" s="47"/>
      <c r="AF49" s="51"/>
    </row>
    <row r="50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AI50"/>
  <sheetViews>
    <sheetView zoomScale="75" zoomScaleNormal="75" workbookViewId="0">
      <selection activeCell="E23" sqref="E23"/>
    </sheetView>
  </sheetViews>
  <sheetFormatPr defaultRowHeight="12.75"/>
  <cols>
    <col min="33" max="33" width="9.140625" style="10"/>
    <col min="34" max="34" width="12.7109375" customWidth="1"/>
  </cols>
  <sheetData>
    <row r="1" spans="1:35" ht="18">
      <c r="A1" s="1"/>
      <c r="B1" s="2" t="s">
        <v>19</v>
      </c>
      <c r="C1" s="3"/>
      <c r="D1" s="4"/>
      <c r="E1" s="5"/>
      <c r="F1" s="1"/>
      <c r="G1" s="1"/>
      <c r="H1" s="1"/>
      <c r="I1" s="1"/>
      <c r="J1" s="6"/>
      <c r="K1" s="6"/>
      <c r="L1" s="7" t="s">
        <v>1</v>
      </c>
      <c r="M1" s="8" t="s">
        <v>2</v>
      </c>
      <c r="N1" s="9" t="s">
        <v>3</v>
      </c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5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5" ht="16.5" thickBot="1">
      <c r="A3" s="11" t="s">
        <v>4</v>
      </c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2">
        <v>8</v>
      </c>
      <c r="J3" s="12">
        <v>9</v>
      </c>
      <c r="K3" s="12">
        <v>10</v>
      </c>
      <c r="L3" s="12">
        <v>11</v>
      </c>
      <c r="M3" s="12">
        <v>12</v>
      </c>
      <c r="N3" s="12">
        <v>13</v>
      </c>
      <c r="O3" s="12">
        <v>14</v>
      </c>
      <c r="P3" s="12">
        <v>15</v>
      </c>
      <c r="Q3" s="12">
        <v>16</v>
      </c>
      <c r="R3" s="12">
        <v>17</v>
      </c>
      <c r="S3" s="12">
        <v>18</v>
      </c>
      <c r="T3" s="12">
        <v>19</v>
      </c>
      <c r="U3" s="12">
        <v>20</v>
      </c>
      <c r="V3" s="12">
        <v>21</v>
      </c>
      <c r="W3" s="12">
        <v>22</v>
      </c>
      <c r="X3" s="12">
        <v>23</v>
      </c>
      <c r="Y3" s="12">
        <v>24</v>
      </c>
      <c r="Z3" s="13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5">
        <v>31</v>
      </c>
    </row>
    <row r="4" spans="1:35" ht="15.75">
      <c r="A4" s="16">
        <v>1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8"/>
      <c r="AG4" s="19"/>
      <c r="AH4" s="20"/>
      <c r="AI4" s="21"/>
    </row>
    <row r="5" spans="1:35" ht="15.75">
      <c r="A5" s="16">
        <v>2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8"/>
      <c r="AG5" s="19"/>
      <c r="AH5" s="20"/>
      <c r="AI5" s="21"/>
    </row>
    <row r="6" spans="1:35" ht="15.75">
      <c r="A6" s="16">
        <v>3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8"/>
      <c r="AG6" s="19"/>
      <c r="AH6" s="20"/>
      <c r="AI6" s="21"/>
    </row>
    <row r="7" spans="1:35" ht="15.75">
      <c r="A7" s="16">
        <v>4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8"/>
      <c r="AG7" s="19"/>
      <c r="AH7" s="20"/>
      <c r="AI7" s="21"/>
    </row>
    <row r="8" spans="1:35" ht="15.75">
      <c r="A8" s="16">
        <v>5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8"/>
      <c r="AG8" s="19"/>
      <c r="AH8" s="20"/>
      <c r="AI8" s="21"/>
    </row>
    <row r="9" spans="1:35" ht="15.75">
      <c r="A9" s="16">
        <v>6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8"/>
      <c r="AG9" s="19"/>
      <c r="AH9" s="20"/>
      <c r="AI9" s="21"/>
    </row>
    <row r="10" spans="1:35" ht="15.75">
      <c r="A10" s="16">
        <v>7</v>
      </c>
      <c r="B10" s="22">
        <f>'[5]Dia 1 (b)'!$V16</f>
        <v>16.904722749594633</v>
      </c>
      <c r="C10" s="22">
        <f>'[5]Dia 2 (b)'!$V16</f>
        <v>17.111357026395041</v>
      </c>
      <c r="D10" s="22">
        <f>'[5]Dia 3 (b)'!$V16</f>
        <v>17.559639879748666</v>
      </c>
      <c r="E10" s="22">
        <f>'[5]Dia 4 (b)'!$V16</f>
        <v>18.025557700400899</v>
      </c>
      <c r="F10" s="22">
        <f>'[5]Dia 5 (b)'!$V16</f>
        <v>16.388053081376917</v>
      </c>
      <c r="G10" s="22">
        <f>'[5]Dia 6 (b)'!$V16</f>
        <v>16.23438001707849</v>
      </c>
      <c r="H10" s="22">
        <f>'[5]Dia 7 (b)'!$V16</f>
        <v>15.572595126342943</v>
      </c>
      <c r="I10" s="22">
        <f>'[5]Dia 8 (b)'!$V16</f>
        <v>17.221946271641347</v>
      </c>
      <c r="J10" s="22">
        <f>'[5]Dia 9 (b)'!$V16</f>
        <v>15.821998409601459</v>
      </c>
      <c r="K10" s="22">
        <f>'[5]Dia 10 (b)'!$V16</f>
        <v>18.190771083824917</v>
      </c>
      <c r="L10" s="22">
        <f>'[5]Dia 11 (b)'!$V16</f>
        <v>17.964591219069423</v>
      </c>
      <c r="M10" s="22">
        <f>'[5]Dia 12 (b)'!$V16</f>
        <v>15.180897065097019</v>
      </c>
      <c r="N10" s="22">
        <f>'[5]Dia 13 (b)'!$V16</f>
        <v>12.600211052431435</v>
      </c>
      <c r="O10" s="22">
        <f>'[5]Dia 14 (b)'!$V16</f>
        <v>18.276407720769889</v>
      </c>
      <c r="P10" s="22">
        <f>'[5]Dia 15 (b)'!$V16</f>
        <v>15.106458012838345</v>
      </c>
      <c r="Q10" s="22">
        <f>'[5]Dia 16 (b)'!$V16</f>
        <v>16.031291540355248</v>
      </c>
      <c r="R10" s="22">
        <f>'[5]Dia 17 (b)'!$V16</f>
        <v>17.208231936567771</v>
      </c>
      <c r="S10" s="22">
        <f>'[5]Dia 18 (b)'!$V16</f>
        <v>17.202983042317232</v>
      </c>
      <c r="T10" s="22">
        <f>'[5]Dia 19 (b)'!$V16</f>
        <v>17.108550791628385</v>
      </c>
      <c r="U10" s="22">
        <f>'[5]Dia 20 (b)'!$V16</f>
        <v>18.663330808076708</v>
      </c>
      <c r="V10" s="22">
        <f>'[5]Dia 21 (b)'!$V16</f>
        <v>14.853152087204903</v>
      </c>
      <c r="W10" s="22">
        <f>'[5]Dia 22 (b)'!$V16</f>
        <v>16.747067116174872</v>
      </c>
      <c r="X10" s="22">
        <f>'[5]Dia 23 (b)'!$V16</f>
        <v>14.921446777644533</v>
      </c>
      <c r="Y10" s="22">
        <f>'[5]Dia 24 (b)'!$V16</f>
        <v>13.393074231561107</v>
      </c>
      <c r="Z10" s="22">
        <f>'[5]Dia 25 (b)'!$V16</f>
        <v>15.170560797670069</v>
      </c>
      <c r="AA10" s="22">
        <f>'[5]Dia 26 (b)'!$V16</f>
        <v>13.881026325126506</v>
      </c>
      <c r="AB10" s="22">
        <f>'[5]Dia 27 (b)'!$V16</f>
        <v>15.032890499453677</v>
      </c>
      <c r="AC10" s="22">
        <f>'[5]Dia 28 (b)'!$V16</f>
        <v>16.698453604440072</v>
      </c>
      <c r="AD10" s="22">
        <f>'[5]Dia 29 (b)'!$V16</f>
        <v>8.8286479863362022</v>
      </c>
      <c r="AE10" s="22">
        <f>'[5]Dia 30 (b)'!$V16</f>
        <v>9.0655139787505892</v>
      </c>
      <c r="AF10" s="23">
        <f>'[5]Dia 31 (b)'!$V16</f>
        <v>11.394480088502242</v>
      </c>
      <c r="AG10" s="19"/>
      <c r="AH10" s="20"/>
      <c r="AI10" s="21"/>
    </row>
    <row r="11" spans="1:35" ht="15.75">
      <c r="A11" s="16">
        <v>8</v>
      </c>
      <c r="B11" s="22">
        <f>'[5]Dia 1 (b)'!$V17</f>
        <v>17.494745787322088</v>
      </c>
      <c r="C11" s="22">
        <f>'[5]Dia 2 (b)'!$V17</f>
        <v>18.959645730416895</v>
      </c>
      <c r="D11" s="22">
        <f>'[5]Dia 3 (b)'!$V17</f>
        <v>19.662372050823866</v>
      </c>
      <c r="E11" s="22">
        <f>'[5]Dia 4 (b)'!$V17</f>
        <v>18.153120280333965</v>
      </c>
      <c r="F11" s="22">
        <f>'[5]Dia 5 (b)'!$V17</f>
        <v>17.657409611048486</v>
      </c>
      <c r="G11" s="22">
        <f>'[5]Dia 6 (b)'!$V17</f>
        <v>16.426417764932278</v>
      </c>
      <c r="H11" s="22">
        <f>'[5]Dia 7 (b)'!$V17</f>
        <v>17.070906421670035</v>
      </c>
      <c r="I11" s="22">
        <f>'[5]Dia 8 (b)'!$V17</f>
        <v>17.013362770413611</v>
      </c>
      <c r="J11" s="22">
        <f>'[5]Dia 9 (b)'!$V17</f>
        <v>18.292456911072659</v>
      </c>
      <c r="K11" s="22">
        <f>'[5]Dia 10 (b)'!$V17</f>
        <v>18.761426252744055</v>
      </c>
      <c r="L11" s="22">
        <f>'[5]Dia 11 (b)'!$V17</f>
        <v>18.906077078888291</v>
      </c>
      <c r="M11" s="22">
        <f>'[5]Dia 12 (b)'!$V17</f>
        <v>15.993584149711031</v>
      </c>
      <c r="N11" s="22">
        <f>'[5]Dia 13 (b)'!$V17</f>
        <v>13.180995239597328</v>
      </c>
      <c r="O11" s="22">
        <f>'[5]Dia 14 (b)'!$V17</f>
        <v>18.011663738179852</v>
      </c>
      <c r="P11" s="22">
        <f>'[5]Dia 15 (b)'!$V17</f>
        <v>15.311728000216279</v>
      </c>
      <c r="Q11" s="22">
        <f>'[5]Dia 16 (b)'!$V17</f>
        <v>16.440930375768609</v>
      </c>
      <c r="R11" s="22">
        <f>'[5]Dia 17 (b)'!$V17</f>
        <v>17.874887622247936</v>
      </c>
      <c r="S11" s="22">
        <f>'[5]Dia 18 (b)'!$V17</f>
        <v>17.977313613939167</v>
      </c>
      <c r="T11" s="22">
        <f>'[5]Dia 19 (b)'!$V17</f>
        <v>17.165430504947953</v>
      </c>
      <c r="U11" s="22">
        <f>'[5]Dia 20 (b)'!$V17</f>
        <v>19.569705510631213</v>
      </c>
      <c r="V11" s="22">
        <f>'[5]Dia 21 (b)'!$V17</f>
        <v>15.254978583352525</v>
      </c>
      <c r="W11" s="22">
        <f>'[5]Dia 22 (b)'!$V17</f>
        <v>16.849738721077699</v>
      </c>
      <c r="X11" s="22">
        <f>'[5]Dia 23 (b)'!$V17</f>
        <v>16.133465270775297</v>
      </c>
      <c r="Y11" s="22">
        <f>'[5]Dia 24 (b)'!$V17</f>
        <v>15.218597195775503</v>
      </c>
      <c r="Z11" s="22">
        <f>'[5]Dia 25 (b)'!$V17</f>
        <v>15.366476194612028</v>
      </c>
      <c r="AA11" s="22">
        <f>'[5]Dia 26 (b)'!$V17</f>
        <v>13.862436579056823</v>
      </c>
      <c r="AB11" s="22">
        <f>'[5]Dia 27 (b)'!$V17</f>
        <v>15.133889029166198</v>
      </c>
      <c r="AC11" s="22">
        <f>'[5]Dia 28 (b)'!$V17</f>
        <v>16.285761370285698</v>
      </c>
      <c r="AD11" s="22">
        <f>'[5]Dia 29 (b)'!$V17</f>
        <v>8.8496373475672954</v>
      </c>
      <c r="AE11" s="22">
        <f>'[5]Dia 30 (b)'!$V17</f>
        <v>10.919377103401859</v>
      </c>
      <c r="AF11" s="23">
        <f>'[5]Dia 31 (b)'!$V17</f>
        <v>12.001415370604761</v>
      </c>
      <c r="AG11" s="19"/>
      <c r="AH11" s="20"/>
      <c r="AI11" s="21"/>
    </row>
    <row r="12" spans="1:35" ht="15.75">
      <c r="A12" s="16">
        <v>9</v>
      </c>
      <c r="B12" s="22">
        <f>'[5]Dia 1 (b)'!$V18</f>
        <v>17.613035654779228</v>
      </c>
      <c r="C12" s="22">
        <f>'[5]Dia 2 (b)'!$V18</f>
        <v>16.164960194245012</v>
      </c>
      <c r="D12" s="22">
        <f>'[5]Dia 3 (b)'!$V18</f>
        <v>19.366631390904285</v>
      </c>
      <c r="E12" s="22">
        <f>'[5]Dia 4 (b)'!$V18</f>
        <v>17.688820099708344</v>
      </c>
      <c r="F12" s="22">
        <f>'[5]Dia 5 (b)'!$V18</f>
        <v>16.776415936445222</v>
      </c>
      <c r="G12" s="22">
        <f>'[5]Dia 6 (b)'!$V18</f>
        <v>15.995346707882847</v>
      </c>
      <c r="H12" s="22">
        <f>'[5]Dia 7 (b)'!$V18</f>
        <v>17.08845555082684</v>
      </c>
      <c r="I12" s="22">
        <f>'[5]Dia 8 (b)'!$V18</f>
        <v>16.335500762579528</v>
      </c>
      <c r="J12" s="22">
        <f>'[5]Dia 9 (b)'!$V18</f>
        <v>15.704222160982429</v>
      </c>
      <c r="K12" s="22">
        <f>'[5]Dia 10 (b)'!$V18</f>
        <v>18.056611987529759</v>
      </c>
      <c r="L12" s="22">
        <f>'[5]Dia 11 (b)'!$V18</f>
        <v>17.289176187054959</v>
      </c>
      <c r="M12" s="22">
        <f>'[5]Dia 12 (b)'!$V18</f>
        <v>14.809582794021777</v>
      </c>
      <c r="N12" s="22">
        <f>'[5]Dia 13 (b)'!$V18</f>
        <v>13.494943836735638</v>
      </c>
      <c r="O12" s="22">
        <f>'[5]Dia 14 (b)'!$V18</f>
        <v>17.269856172817548</v>
      </c>
      <c r="P12" s="22">
        <f>'[5]Dia 15 (b)'!$V18</f>
        <v>15.414248822778168</v>
      </c>
      <c r="Q12" s="22">
        <f>'[5]Dia 16 (b)'!$V18</f>
        <v>16.390696464278143</v>
      </c>
      <c r="R12" s="22">
        <f>'[5]Dia 17 (b)'!$V18</f>
        <v>16.869177303306088</v>
      </c>
      <c r="S12" s="22">
        <f>'[5]Dia 18 (b)'!$V18</f>
        <v>17.706255724716684</v>
      </c>
      <c r="T12" s="22">
        <f>'[5]Dia 19 (b)'!$V18</f>
        <v>16.704403528817952</v>
      </c>
      <c r="U12" s="22">
        <f>'[5]Dia 20 (b)'!$V18</f>
        <v>19.276560497539876</v>
      </c>
      <c r="V12" s="22">
        <f>'[5]Dia 21 (b)'!$V18</f>
        <v>15.508994103839427</v>
      </c>
      <c r="W12" s="22">
        <f>'[5]Dia 22 (b)'!$V18</f>
        <v>17.486204119259209</v>
      </c>
      <c r="X12" s="22">
        <f>'[5]Dia 23 (b)'!$V18</f>
        <v>14.417501056111602</v>
      </c>
      <c r="Y12" s="22">
        <f>'[5]Dia 24 (b)'!$V18</f>
        <v>13.843494077480553</v>
      </c>
      <c r="Z12" s="22">
        <f>'[5]Dia 25 (b)'!$V18</f>
        <v>14.72054029773073</v>
      </c>
      <c r="AA12" s="22">
        <f>'[5]Dia 26 (b)'!$V18</f>
        <v>13.862258503232798</v>
      </c>
      <c r="AB12" s="22">
        <f>'[5]Dia 27 (b)'!$V18</f>
        <v>15.335727461000735</v>
      </c>
      <c r="AC12" s="22">
        <f>'[5]Dia 28 (b)'!$V18</f>
        <v>16.180550524644246</v>
      </c>
      <c r="AD12" s="22">
        <f>'[5]Dia 29 (b)'!$V18</f>
        <v>7.2270633704680289</v>
      </c>
      <c r="AE12" s="22">
        <f>'[5]Dia 30 (b)'!$V18</f>
        <v>10.796819132083506</v>
      </c>
      <c r="AF12" s="23">
        <f>'[5]Dia 31 (b)'!$V18</f>
        <v>11.624884524139731</v>
      </c>
      <c r="AG12" s="19"/>
      <c r="AH12" s="20"/>
      <c r="AI12" s="21"/>
    </row>
    <row r="13" spans="1:35" ht="15.75">
      <c r="A13" s="16">
        <v>10</v>
      </c>
      <c r="B13" s="22">
        <f>'[5]Dia 1 (b)'!$V19</f>
        <v>16.042874324705785</v>
      </c>
      <c r="C13" s="22">
        <f>'[5]Dia 2 (b)'!$V19</f>
        <v>15.949988802639863</v>
      </c>
      <c r="D13" s="22">
        <f>'[5]Dia 3 (b)'!$V19</f>
        <v>18.158256657881733</v>
      </c>
      <c r="E13" s="22">
        <f>'[5]Dia 4 (b)'!$V19</f>
        <v>17.418359468712126</v>
      </c>
      <c r="F13" s="22">
        <f>'[5]Dia 5 (b)'!$V19</f>
        <v>15.780905709492272</v>
      </c>
      <c r="G13" s="22">
        <f>'[5]Dia 6 (b)'!$V19</f>
        <v>13.854803753385044</v>
      </c>
      <c r="H13" s="22">
        <f>'[5]Dia 7 (b)'!$V19</f>
        <v>16.509324656023551</v>
      </c>
      <c r="I13" s="22">
        <f>'[5]Dia 8 (b)'!$V19</f>
        <v>15.304988996279727</v>
      </c>
      <c r="J13" s="22">
        <f>'[5]Dia 9 (b)'!$V19</f>
        <v>15.236831958142387</v>
      </c>
      <c r="K13" s="22">
        <f>'[5]Dia 10 (b)'!$V19</f>
        <v>17.10502658810335</v>
      </c>
      <c r="L13" s="22">
        <f>'[5]Dia 11 (b)'!$V19</f>
        <v>15.377733295654426</v>
      </c>
      <c r="M13" s="22">
        <f>'[5]Dia 12 (b)'!$V19</f>
        <v>14.125370519162955</v>
      </c>
      <c r="N13" s="22">
        <f>'[5]Dia 13 (b)'!$V19</f>
        <v>13.530185813555908</v>
      </c>
      <c r="O13" s="22">
        <f>'[5]Dia 14 (b)'!$V19</f>
        <v>16.811258049775375</v>
      </c>
      <c r="P13" s="22">
        <f>'[5]Dia 15 (b)'!$V19</f>
        <v>15.516816043852595</v>
      </c>
      <c r="Q13" s="22">
        <f>'[5]Dia 16 (b)'!$V19</f>
        <v>16.843321404608879</v>
      </c>
      <c r="R13" s="22">
        <f>'[5]Dia 17 (b)'!$V19</f>
        <v>15.017118443482895</v>
      </c>
      <c r="S13" s="22">
        <f>'[5]Dia 18 (b)'!$V19</f>
        <v>16.867792461067758</v>
      </c>
      <c r="T13" s="22">
        <f>'[5]Dia 19 (b)'!$V19</f>
        <v>16.618262492942549</v>
      </c>
      <c r="U13" s="22">
        <f>'[5]Dia 20 (b)'!$V19</f>
        <v>19.898142355247149</v>
      </c>
      <c r="V13" s="22">
        <f>'[5]Dia 21 (b)'!$V19</f>
        <v>15.865033466334323</v>
      </c>
      <c r="W13" s="22">
        <f>'[5]Dia 22 (b)'!$V19</f>
        <v>17.012043977175075</v>
      </c>
      <c r="X13" s="22">
        <f>'[5]Dia 23 (b)'!$V19</f>
        <v>13.711042936059505</v>
      </c>
      <c r="Y13" s="22">
        <f>'[5]Dia 24 (b)'!$V19</f>
        <v>15.337458006769824</v>
      </c>
      <c r="Z13" s="22">
        <f>'[5]Dia 25 (b)'!$V19</f>
        <v>15.296907181818106</v>
      </c>
      <c r="AA13" s="22">
        <f>'[5]Dia 26 (b)'!$V19</f>
        <v>14.166146981858146</v>
      </c>
      <c r="AB13" s="22">
        <f>'[5]Dia 27 (b)'!$V19</f>
        <v>15.679030668174681</v>
      </c>
      <c r="AC13" s="22">
        <f>'[5]Dia 28 (b)'!$V19</f>
        <v>15.161442165141382</v>
      </c>
      <c r="AD13" s="22">
        <f>'[5]Dia 29 (b)'!$V19</f>
        <v>7.1489998839848914</v>
      </c>
      <c r="AE13" s="22">
        <f>'[5]Dia 30 (b)'!$V19</f>
        <v>10.471282037083274</v>
      </c>
      <c r="AF13" s="23">
        <f>'[5]Dia 31 (b)'!$V19</f>
        <v>11.404603450267746</v>
      </c>
      <c r="AG13" s="19"/>
      <c r="AH13" s="20"/>
      <c r="AI13" s="21"/>
    </row>
    <row r="14" spans="1:35" ht="15.75">
      <c r="A14" s="16">
        <v>11</v>
      </c>
      <c r="B14" s="22">
        <f>'[5]Dia 1 (b)'!$V20</f>
        <v>14.418057672742833</v>
      </c>
      <c r="C14" s="22">
        <f>'[5]Dia 2 (b)'!$V20</f>
        <v>15.505982715962427</v>
      </c>
      <c r="D14" s="22">
        <f>'[5]Dia 3 (b)'!$V20</f>
        <v>17.201288182539766</v>
      </c>
      <c r="E14" s="22">
        <f>'[5]Dia 4 (b)'!$V20</f>
        <v>16.288966767898767</v>
      </c>
      <c r="F14" s="22">
        <f>'[5]Dia 5 (b)'!$V20</f>
        <v>14.672833694141278</v>
      </c>
      <c r="G14" s="22">
        <f>'[5]Dia 6 (b)'!$V20</f>
        <v>11.802796959286532</v>
      </c>
      <c r="H14" s="22">
        <f>'[5]Dia 7 (b)'!$V20</f>
        <v>16.446382632012767</v>
      </c>
      <c r="I14" s="22">
        <f>'[5]Dia 8 (b)'!$V20</f>
        <v>14.676040375099817</v>
      </c>
      <c r="J14" s="22">
        <f>'[5]Dia 9 (b)'!$V20</f>
        <v>15.819649476169282</v>
      </c>
      <c r="K14" s="22">
        <f>'[5]Dia 10 (b)'!$V20</f>
        <v>17.165157910767192</v>
      </c>
      <c r="L14" s="22">
        <f>'[5]Dia 11 (b)'!$V20</f>
        <v>15.280884807289981</v>
      </c>
      <c r="M14" s="22">
        <f>'[5]Dia 12 (b)'!$V20</f>
        <v>14.372193867572369</v>
      </c>
      <c r="N14" s="22">
        <f>'[5]Dia 13 (b)'!$V20</f>
        <v>11.972485130733519</v>
      </c>
      <c r="O14" s="22">
        <f>'[5]Dia 14 (b)'!$V20</f>
        <v>17.47669057032536</v>
      </c>
      <c r="P14" s="22">
        <f>'[5]Dia 15 (b)'!$V20</f>
        <v>15.138421021886744</v>
      </c>
      <c r="Q14" s="22">
        <f>'[5]Dia 16 (b)'!$V20</f>
        <v>17.220187332482158</v>
      </c>
      <c r="R14" s="22">
        <f>'[5]Dia 17 (b)'!$V20</f>
        <v>14.909196975313334</v>
      </c>
      <c r="S14" s="22">
        <f>'[5]Dia 18 (b)'!$V20</f>
        <v>16.728182290131357</v>
      </c>
      <c r="T14" s="22">
        <f>'[5]Dia 19 (b)'!$V20</f>
        <v>16.572549610289304</v>
      </c>
      <c r="U14" s="22">
        <f>'[5]Dia 20 (b)'!$V20</f>
        <v>19.18511150928455</v>
      </c>
      <c r="V14" s="22">
        <f>'[5]Dia 21 (b)'!$V20</f>
        <v>15.913915883852706</v>
      </c>
      <c r="W14" s="22">
        <f>'[5]Dia 22 (b)'!$V20</f>
        <v>16.347813498775285</v>
      </c>
      <c r="X14" s="22">
        <f>'[5]Dia 23 (b)'!$V20</f>
        <v>12.458440153431752</v>
      </c>
      <c r="Y14" s="22">
        <f>'[5]Dia 24 (b)'!$V20</f>
        <v>16.697593563240943</v>
      </c>
      <c r="Z14" s="22">
        <f>'[5]Dia 25 (b)'!$V20</f>
        <v>14.414494286128539</v>
      </c>
      <c r="AA14" s="22">
        <f>'[5]Dia 26 (b)'!$V20</f>
        <v>15.021806661591986</v>
      </c>
      <c r="AB14" s="22">
        <f>'[5]Dia 27 (b)'!$V20</f>
        <v>15.667807149592324</v>
      </c>
      <c r="AC14" s="22">
        <f>'[5]Dia 28 (b)'!$V20</f>
        <v>15.546020945811584</v>
      </c>
      <c r="AD14" s="22">
        <f>'[5]Dia 29 (b)'!$V20</f>
        <v>6.1479107512740496</v>
      </c>
      <c r="AE14" s="22">
        <f>'[5]Dia 30 (b)'!$V20</f>
        <v>9.304222953767189</v>
      </c>
      <c r="AF14" s="23">
        <f>'[5]Dia 31 (b)'!$V20</f>
        <v>10.952191430200095</v>
      </c>
      <c r="AG14" s="19"/>
      <c r="AH14" s="20"/>
      <c r="AI14" s="21"/>
    </row>
    <row r="15" spans="1:35" ht="15.75">
      <c r="A15" s="16">
        <v>12</v>
      </c>
      <c r="B15" s="22">
        <f>'[5]Dia 1 (b)'!$V21</f>
        <v>14.47071000526773</v>
      </c>
      <c r="C15" s="22">
        <f>'[5]Dia 2 (b)'!$V21</f>
        <v>15.473861079927151</v>
      </c>
      <c r="D15" s="22">
        <f>'[5]Dia 3 (b)'!$V21</f>
        <v>20.58255963545065</v>
      </c>
      <c r="E15" s="22">
        <f>'[5]Dia 4 (b)'!$V21</f>
        <v>14.203861347107514</v>
      </c>
      <c r="F15" s="22">
        <f>'[5]Dia 5 (b)'!$V21</f>
        <v>10.183816109376616</v>
      </c>
      <c r="G15" s="22">
        <f>'[5]Dia 6 (b)'!$V21</f>
        <v>11.764562847372758</v>
      </c>
      <c r="H15" s="22">
        <f>'[5]Dia 7 (b)'!$V21</f>
        <v>14.065014075587746</v>
      </c>
      <c r="I15" s="22">
        <f>'[5]Dia 8 (b)'!$V21</f>
        <v>14.5354409302942</v>
      </c>
      <c r="J15" s="22">
        <f>'[5]Dia 9 (b)'!$V21</f>
        <v>15.112297308312547</v>
      </c>
      <c r="K15" s="22">
        <f>'[5]Dia 10 (b)'!$V21</f>
        <v>16.936619093694961</v>
      </c>
      <c r="L15" s="22">
        <f>'[5]Dia 11 (b)'!$V21</f>
        <v>14.53845288440705</v>
      </c>
      <c r="M15" s="22">
        <f>'[5]Dia 12 (b)'!$V21</f>
        <v>11.501685234825072</v>
      </c>
      <c r="N15" s="22">
        <f>'[5]Dia 13 (b)'!$V21</f>
        <v>11.299361726777169</v>
      </c>
      <c r="O15" s="22">
        <f>'[5]Dia 14 (b)'!$V21</f>
        <v>17.815010934299121</v>
      </c>
      <c r="P15" s="22">
        <f>'[5]Dia 15 (b)'!$V21</f>
        <v>15.298197837309063</v>
      </c>
      <c r="Q15" s="22">
        <f>'[5]Dia 16 (b)'!$V21</f>
        <v>17.238479523317434</v>
      </c>
      <c r="R15" s="22">
        <f>'[5]Dia 17 (b)'!$V21</f>
        <v>14.917520698327912</v>
      </c>
      <c r="S15" s="22">
        <f>'[5]Dia 18 (b)'!$V21</f>
        <v>14.439059701690036</v>
      </c>
      <c r="T15" s="22">
        <f>'[5]Dia 19 (b)'!$V21</f>
        <v>17.304388844877177</v>
      </c>
      <c r="U15" s="22">
        <f>'[5]Dia 20 (b)'!$V21</f>
        <v>17.97596822462355</v>
      </c>
      <c r="V15" s="22">
        <f>'[5]Dia 21 (b)'!$V21</f>
        <v>16.018320937781866</v>
      </c>
      <c r="W15" s="22">
        <f>'[5]Dia 22 (b)'!$V21</f>
        <v>16.581990718971372</v>
      </c>
      <c r="X15" s="22">
        <f>'[5]Dia 23 (b)'!$V21</f>
        <v>13.181357379542762</v>
      </c>
      <c r="Y15" s="22">
        <f>'[5]Dia 24 (b)'!$V21</f>
        <v>15.717086470619194</v>
      </c>
      <c r="Z15" s="22">
        <f>'[5]Dia 25 (b)'!$V21</f>
        <v>14.548435465310371</v>
      </c>
      <c r="AA15" s="22">
        <f>'[5]Dia 26 (b)'!$V21</f>
        <v>14.693224002022818</v>
      </c>
      <c r="AB15" s="22">
        <f>'[5]Dia 27 (b)'!$V21</f>
        <v>15.977059047887014</v>
      </c>
      <c r="AC15" s="22">
        <f>'[5]Dia 28 (b)'!$V21</f>
        <v>15.546486215486823</v>
      </c>
      <c r="AD15" s="22">
        <f>'[5]Dia 29 (b)'!$V21</f>
        <v>7.2032579476923475</v>
      </c>
      <c r="AE15" s="22">
        <f>'[5]Dia 30 (b)'!$V21</f>
        <v>8.8353158922194321</v>
      </c>
      <c r="AF15" s="23">
        <f>'[5]Dia 31 (b)'!$V21</f>
        <v>11.121796394817455</v>
      </c>
      <c r="AG15" s="19"/>
      <c r="AH15" s="20"/>
      <c r="AI15" s="21"/>
    </row>
    <row r="16" spans="1:35" ht="15.75">
      <c r="A16" s="16">
        <v>13</v>
      </c>
      <c r="B16" s="22">
        <f>'[5]Dia 1 (b)'!$V22</f>
        <v>13.387829854564053</v>
      </c>
      <c r="C16" s="22">
        <f>'[5]Dia 2 (b)'!$V22</f>
        <v>13.096216057965274</v>
      </c>
      <c r="D16" s="22">
        <f>'[5]Dia 3 (b)'!$V22</f>
        <v>17.145894730231955</v>
      </c>
      <c r="E16" s="22">
        <f>'[5]Dia 4 (b)'!$V22</f>
        <v>12.955226661695944</v>
      </c>
      <c r="F16" s="22">
        <f>'[5]Dia 5 (b)'!$V22</f>
        <v>8.6337775402356289</v>
      </c>
      <c r="G16" s="22">
        <f>'[5]Dia 6 (b)'!$V22</f>
        <v>8.656649181049735</v>
      </c>
      <c r="H16" s="22">
        <f>'[5]Dia 7 (b)'!$V22</f>
        <v>13.454730458317849</v>
      </c>
      <c r="I16" s="22">
        <f>'[5]Dia 8 (b)'!$V22</f>
        <v>14.569313708369354</v>
      </c>
      <c r="J16" s="22">
        <f>'[5]Dia 9 (b)'!$V22</f>
        <v>13.535308915093367</v>
      </c>
      <c r="K16" s="22">
        <f>'[5]Dia 10 (b)'!$V22</f>
        <v>15.703059967337014</v>
      </c>
      <c r="L16" s="22">
        <f>'[5]Dia 11 (b)'!$V22</f>
        <v>13.302798834101672</v>
      </c>
      <c r="M16" s="22">
        <f>'[5]Dia 12 (b)'!$V22</f>
        <v>12.215312036648227</v>
      </c>
      <c r="N16" s="22">
        <f>'[5]Dia 13 (b)'!$V22</f>
        <v>12.151284461070363</v>
      </c>
      <c r="O16" s="22">
        <f>'[5]Dia 14 (b)'!$V22</f>
        <v>18.331690197424138</v>
      </c>
      <c r="P16" s="22">
        <f>'[5]Dia 15 (b)'!$V22</f>
        <v>15.188288999886753</v>
      </c>
      <c r="Q16" s="22">
        <f>'[5]Dia 16 (b)'!$V22</f>
        <v>16.924815745268614</v>
      </c>
      <c r="R16" s="22">
        <f>'[5]Dia 17 (b)'!$V22</f>
        <v>12.974656498091329</v>
      </c>
      <c r="S16" s="22">
        <f>'[5]Dia 18 (b)'!$V22</f>
        <v>12.986439469400192</v>
      </c>
      <c r="T16" s="22">
        <f>'[5]Dia 19 (b)'!$V22</f>
        <v>16.704507404494596</v>
      </c>
      <c r="U16" s="22">
        <f>'[5]Dia 20 (b)'!$V22</f>
        <v>19.565001106192156</v>
      </c>
      <c r="V16" s="22">
        <f>'[5]Dia 21 (b)'!$V22</f>
        <v>16.570672799645301</v>
      </c>
      <c r="W16" s="22">
        <f>'[5]Dia 22 (b)'!$V22</f>
        <v>16.793294930415513</v>
      </c>
      <c r="X16" s="22">
        <f>'[5]Dia 23 (b)'!$V22</f>
        <v>12.422034847110563</v>
      </c>
      <c r="Y16" s="22">
        <f>'[5]Dia 24 (b)'!$V22</f>
        <v>17.260921520471136</v>
      </c>
      <c r="Z16" s="22">
        <f>'[5]Dia 25 (b)'!$V22</f>
        <v>14.317404832388368</v>
      </c>
      <c r="AA16" s="22">
        <f>'[5]Dia 26 (b)'!$V22</f>
        <v>14.046807316765429</v>
      </c>
      <c r="AB16" s="22">
        <f>'[5]Dia 27 (b)'!$V22</f>
        <v>16.181376318848084</v>
      </c>
      <c r="AC16" s="22">
        <f>'[5]Dia 28 (b)'!$V22</f>
        <v>14.996356978134045</v>
      </c>
      <c r="AD16" s="22">
        <f>'[5]Dia 29 (b)'!$V22</f>
        <v>7.3021271215001837</v>
      </c>
      <c r="AE16" s="22">
        <f>'[5]Dia 30 (b)'!$V22</f>
        <v>7.9705306255948214</v>
      </c>
      <c r="AF16" s="23">
        <f>'[5]Dia 31 (b)'!$V22</f>
        <v>11.991417590227151</v>
      </c>
      <c r="AG16" s="19"/>
      <c r="AH16" s="20"/>
      <c r="AI16" s="21"/>
    </row>
    <row r="17" spans="1:35" ht="15.75">
      <c r="A17" s="16">
        <v>14</v>
      </c>
      <c r="B17" s="22">
        <f>'[5]Dia 1 (b)'!$V23</f>
        <v>13.97936955937457</v>
      </c>
      <c r="C17" s="22">
        <f>'[5]Dia 2 (b)'!$V23</f>
        <v>13.054470871212297</v>
      </c>
      <c r="D17" s="22">
        <f>'[5]Dia 3 (b)'!$V23</f>
        <v>15.599965652268237</v>
      </c>
      <c r="E17" s="22">
        <f>'[5]Dia 4 (b)'!$V23</f>
        <v>13.582595295721797</v>
      </c>
      <c r="F17" s="22">
        <f>'[5]Dia 5 (b)'!$V23</f>
        <v>7.4678673107725908</v>
      </c>
      <c r="G17" s="22">
        <f>'[5]Dia 6 (b)'!$V23</f>
        <v>9.9949007489394415</v>
      </c>
      <c r="H17" s="22">
        <f>'[5]Dia 7 (b)'!$V23</f>
        <v>11.624667637705436</v>
      </c>
      <c r="I17" s="22">
        <f>'[5]Dia 8 (b)'!$V23</f>
        <v>13.82159243761328</v>
      </c>
      <c r="J17" s="22">
        <f>'[5]Dia 9 (b)'!$V23</f>
        <v>13.404682036439956</v>
      </c>
      <c r="K17" s="22">
        <f>'[5]Dia 10 (b)'!$V23</f>
        <v>15.365762300415206</v>
      </c>
      <c r="L17" s="22">
        <f>'[5]Dia 11 (b)'!$V23</f>
        <v>11.312288928641493</v>
      </c>
      <c r="M17" s="22">
        <f>'[5]Dia 12 (b)'!$V23</f>
        <v>12.090882781218589</v>
      </c>
      <c r="N17" s="22">
        <f>'[5]Dia 13 (b)'!$V23</f>
        <v>10.89418932662087</v>
      </c>
      <c r="O17" s="22">
        <f>'[5]Dia 14 (b)'!$V23</f>
        <v>17.330855895937656</v>
      </c>
      <c r="P17" s="22">
        <f>'[5]Dia 15 (b)'!$V23</f>
        <v>15.021984669498826</v>
      </c>
      <c r="Q17" s="22">
        <f>'[5]Dia 16 (b)'!$V23</f>
        <v>17.176303979952106</v>
      </c>
      <c r="R17" s="22">
        <f>'[5]Dia 17 (b)'!$V23</f>
        <v>12.519638495389012</v>
      </c>
      <c r="S17" s="22">
        <f>'[5]Dia 18 (b)'!$V23</f>
        <v>12.823406270899886</v>
      </c>
      <c r="T17" s="22">
        <f>'[5]Dia 19 (b)'!$V23</f>
        <v>17.032858530369033</v>
      </c>
      <c r="U17" s="22">
        <f>'[5]Dia 20 (b)'!$V23</f>
        <v>19.070756512871515</v>
      </c>
      <c r="V17" s="22">
        <f>'[5]Dia 21 (b)'!$V23</f>
        <v>17.275649168804005</v>
      </c>
      <c r="W17" s="22">
        <f>'[5]Dia 22 (b)'!$V23</f>
        <v>14.70918337753786</v>
      </c>
      <c r="X17" s="22">
        <f>'[5]Dia 23 (b)'!$V23</f>
        <v>11.415565592389015</v>
      </c>
      <c r="Y17" s="22">
        <f>'[5]Dia 24 (b)'!$V23</f>
        <v>15.652049096149993</v>
      </c>
      <c r="Z17" s="22">
        <f>'[5]Dia 25 (b)'!$V23</f>
        <v>13.796485223688979</v>
      </c>
      <c r="AA17" s="22">
        <f>'[5]Dia 26 (b)'!$V23</f>
        <v>14.522010027922589</v>
      </c>
      <c r="AB17" s="22">
        <f>'[5]Dia 27 (b)'!$V23</f>
        <v>16.288102097770018</v>
      </c>
      <c r="AC17" s="22">
        <f>'[5]Dia 28 (b)'!$V23</f>
        <v>14.095175247623006</v>
      </c>
      <c r="AD17" s="22">
        <f>'[5]Dia 29 (b)'!$V23</f>
        <v>7.2991134176174892</v>
      </c>
      <c r="AE17" s="22">
        <f>'[5]Dia 30 (b)'!$V23</f>
        <v>9.5682400066927151</v>
      </c>
      <c r="AF17" s="23">
        <f>'[5]Dia 31 (b)'!$V23</f>
        <v>12.352847337846816</v>
      </c>
      <c r="AG17" s="19"/>
      <c r="AH17" s="20"/>
      <c r="AI17" s="21"/>
    </row>
    <row r="18" spans="1:35" ht="15.75">
      <c r="A18" s="16">
        <v>15</v>
      </c>
      <c r="B18" s="22">
        <f>'[5]Dia 1 (b)'!$V24</f>
        <v>13.486833882829981</v>
      </c>
      <c r="C18" s="22">
        <f>'[5]Dia 2 (b)'!$V24</f>
        <v>13.259830939451863</v>
      </c>
      <c r="D18" s="22">
        <f>'[5]Dia 3 (b)'!$V24</f>
        <v>14.616169549555524</v>
      </c>
      <c r="E18" s="22">
        <f>'[5]Dia 4 (b)'!$V24</f>
        <v>12.109787372126135</v>
      </c>
      <c r="F18" s="22">
        <f>'[5]Dia 5 (b)'!$V24</f>
        <v>7.7305134097353099</v>
      </c>
      <c r="G18" s="22">
        <f>'[5]Dia 6 (b)'!$V24</f>
        <v>10.878412214574189</v>
      </c>
      <c r="H18" s="22">
        <f>'[5]Dia 7 (b)'!$V24</f>
        <v>12.078278238304929</v>
      </c>
      <c r="I18" s="22">
        <f>'[5]Dia 8 (b)'!$V24</f>
        <v>14.79405317622126</v>
      </c>
      <c r="J18" s="22">
        <f>'[5]Dia 9 (b)'!$V24</f>
        <v>17.553844316379145</v>
      </c>
      <c r="K18" s="22">
        <f>'[5]Dia 10 (b)'!$V24</f>
        <v>15.930936399699457</v>
      </c>
      <c r="L18" s="22">
        <f>'[5]Dia 11 (b)'!$V24</f>
        <v>12.154942043110124</v>
      </c>
      <c r="M18" s="22">
        <f>'[5]Dia 12 (b)'!$V24</f>
        <v>11.182518889086916</v>
      </c>
      <c r="N18" s="22">
        <f>'[5]Dia 13 (b)'!$V24</f>
        <v>11.411260872158785</v>
      </c>
      <c r="O18" s="22">
        <f>'[5]Dia 14 (b)'!$V24</f>
        <v>16.910010692993662</v>
      </c>
      <c r="P18" s="22">
        <f>'[5]Dia 15 (b)'!$V24</f>
        <v>15.022271912983591</v>
      </c>
      <c r="Q18" s="22">
        <f>'[5]Dia 16 (b)'!$V24</f>
        <v>17.271112779757889</v>
      </c>
      <c r="R18" s="22">
        <f>'[5]Dia 17 (b)'!$V24</f>
        <v>12.305649322654352</v>
      </c>
      <c r="S18" s="22">
        <f>'[5]Dia 18 (b)'!$V24</f>
        <v>13.213577356143748</v>
      </c>
      <c r="T18" s="22">
        <f>'[5]Dia 19 (b)'!$V24</f>
        <v>17.033187290677599</v>
      </c>
      <c r="U18" s="22">
        <f>'[5]Dia 20 (b)'!$V24</f>
        <v>17.779760632087086</v>
      </c>
      <c r="V18" s="22">
        <f>'[5]Dia 21 (b)'!$V24</f>
        <v>17.864647740850049</v>
      </c>
      <c r="W18" s="22">
        <f>'[5]Dia 22 (b)'!$V24</f>
        <v>13.534498333639695</v>
      </c>
      <c r="X18" s="22">
        <f>'[5]Dia 23 (b)'!$V24</f>
        <v>10.997379316684711</v>
      </c>
      <c r="Y18" s="22">
        <f>'[5]Dia 24 (b)'!$V24</f>
        <v>16.544687965339179</v>
      </c>
      <c r="Z18" s="22">
        <f>'[5]Dia 25 (b)'!$V24</f>
        <v>13.884571748339487</v>
      </c>
      <c r="AA18" s="22">
        <f>'[5]Dia 26 (b)'!$V24</f>
        <v>14.223922696451433</v>
      </c>
      <c r="AB18" s="22">
        <f>'[5]Dia 27 (b)'!$V24</f>
        <v>16.80269311770909</v>
      </c>
      <c r="AC18" s="22">
        <f>'[5]Dia 28 (b)'!$V24</f>
        <v>13.919622352508304</v>
      </c>
      <c r="AD18" s="22">
        <f>'[5]Dia 29 (b)'!$V24</f>
        <v>8.7821804426521819</v>
      </c>
      <c r="AE18" s="22">
        <f>'[5]Dia 30 (b)'!$V24</f>
        <v>9.1986837842850786</v>
      </c>
      <c r="AF18" s="23">
        <f>'[5]Dia 31 (b)'!$V24</f>
        <v>11.247446423766167</v>
      </c>
      <c r="AG18" s="19"/>
      <c r="AH18" s="20"/>
      <c r="AI18" s="21"/>
    </row>
    <row r="19" spans="1:35" ht="15.75">
      <c r="A19" s="16">
        <v>16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8"/>
      <c r="AG19" s="19"/>
      <c r="AH19" s="20"/>
      <c r="AI19" s="21"/>
    </row>
    <row r="20" spans="1:35" ht="15.75">
      <c r="A20" s="16">
        <v>17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8"/>
      <c r="AG20" s="19"/>
      <c r="AH20" s="20"/>
      <c r="AI20" s="21"/>
    </row>
    <row r="21" spans="1:35" ht="15.75">
      <c r="A21" s="16">
        <v>18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8"/>
      <c r="AG21" s="19"/>
      <c r="AH21" s="20"/>
      <c r="AI21" s="21"/>
    </row>
    <row r="22" spans="1:35" ht="15.75">
      <c r="A22" s="16">
        <v>19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8"/>
      <c r="AG22" s="19"/>
      <c r="AH22" s="20"/>
      <c r="AI22" s="21"/>
    </row>
    <row r="23" spans="1:35" ht="15.75">
      <c r="A23" s="16">
        <v>20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8"/>
      <c r="AG23" s="19"/>
      <c r="AH23" s="20"/>
      <c r="AI23" s="21"/>
    </row>
    <row r="24" spans="1:35" ht="15.75">
      <c r="A24" s="16">
        <v>21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8"/>
      <c r="AG24" s="19"/>
      <c r="AH24" s="20"/>
      <c r="AI24" s="21"/>
    </row>
    <row r="25" spans="1:35" ht="15.75">
      <c r="A25" s="16">
        <v>22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8"/>
      <c r="AG25" s="19"/>
      <c r="AH25" s="20"/>
      <c r="AI25" s="21"/>
    </row>
    <row r="26" spans="1:35" ht="15.75">
      <c r="A26" s="16">
        <v>23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8"/>
      <c r="AG26" s="19"/>
      <c r="AH26" s="20"/>
      <c r="AI26" s="21"/>
    </row>
    <row r="27" spans="1:35" ht="16.5" thickBot="1">
      <c r="A27" s="16">
        <v>24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8"/>
      <c r="AG27" s="19"/>
      <c r="AH27" s="20"/>
      <c r="AI27" s="21"/>
    </row>
    <row r="28" spans="1:35" ht="16.5" thickTop="1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6"/>
      <c r="AG28" s="19"/>
      <c r="AH28" s="20"/>
      <c r="AI28" s="21"/>
    </row>
    <row r="29" spans="1:35" ht="15.75">
      <c r="A29" s="27"/>
      <c r="B29" s="28" t="s">
        <v>5</v>
      </c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30"/>
      <c r="AG29" s="19"/>
      <c r="AH29" s="20"/>
      <c r="AI29" s="21"/>
    </row>
    <row r="30" spans="1:35" ht="15.75">
      <c r="A30" s="31" t="s">
        <v>6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0"/>
    </row>
    <row r="31" spans="1:35" ht="15.75">
      <c r="A31" s="31" t="s">
        <v>7</v>
      </c>
      <c r="B31" s="33">
        <f>AVERAGE(B4:B27)</f>
        <v>15.310908832353432</v>
      </c>
      <c r="C31" s="33">
        <f t="shared" ref="C31:AF31" si="0">AVERAGE(C4:C27)</f>
        <v>15.397368157579539</v>
      </c>
      <c r="D31" s="33">
        <f t="shared" si="0"/>
        <v>17.765864192156076</v>
      </c>
      <c r="E31" s="33">
        <f t="shared" si="0"/>
        <v>15.60292166596728</v>
      </c>
      <c r="F31" s="33">
        <f t="shared" si="0"/>
        <v>12.810176933624923</v>
      </c>
      <c r="G31" s="33">
        <f t="shared" si="0"/>
        <v>12.845363354944588</v>
      </c>
      <c r="H31" s="33">
        <f t="shared" si="0"/>
        <v>14.878928310754677</v>
      </c>
      <c r="I31" s="33">
        <f t="shared" si="0"/>
        <v>15.363582158723567</v>
      </c>
      <c r="J31" s="33">
        <f t="shared" si="0"/>
        <v>15.60903238802147</v>
      </c>
      <c r="K31" s="33">
        <f t="shared" si="0"/>
        <v>17.023930176012879</v>
      </c>
      <c r="L31" s="33">
        <f t="shared" si="0"/>
        <v>15.125216142024154</v>
      </c>
      <c r="M31" s="33">
        <f t="shared" si="0"/>
        <v>13.496891926371552</v>
      </c>
      <c r="N31" s="33">
        <f t="shared" si="0"/>
        <v>12.281657495520115</v>
      </c>
      <c r="O31" s="33">
        <f t="shared" si="0"/>
        <v>17.581493774724734</v>
      </c>
      <c r="P31" s="33">
        <f>AVERAGE(P4:P27)</f>
        <v>15.224268369027818</v>
      </c>
      <c r="Q31" s="33">
        <f t="shared" si="0"/>
        <v>16.837459905087673</v>
      </c>
      <c r="R31" s="33">
        <f t="shared" si="0"/>
        <v>14.95511969948674</v>
      </c>
      <c r="S31" s="33">
        <f t="shared" si="0"/>
        <v>15.549445547811786</v>
      </c>
      <c r="T31" s="33">
        <f t="shared" si="0"/>
        <v>16.916015444338282</v>
      </c>
      <c r="U31" s="33">
        <f t="shared" si="0"/>
        <v>18.998259684061537</v>
      </c>
      <c r="V31" s="33">
        <f t="shared" si="0"/>
        <v>16.125040530185014</v>
      </c>
      <c r="W31" s="33">
        <f t="shared" si="0"/>
        <v>16.229092754780734</v>
      </c>
      <c r="X31" s="33">
        <f t="shared" si="0"/>
        <v>13.295359258861083</v>
      </c>
      <c r="Y31" s="33">
        <f t="shared" si="0"/>
        <v>15.518329125267492</v>
      </c>
      <c r="Z31" s="33">
        <f t="shared" si="0"/>
        <v>14.61287511418741</v>
      </c>
      <c r="AA31" s="33">
        <f t="shared" si="0"/>
        <v>14.253293232669835</v>
      </c>
      <c r="AB31" s="33">
        <f t="shared" si="0"/>
        <v>15.788730598844646</v>
      </c>
      <c r="AC31" s="33">
        <f t="shared" si="0"/>
        <v>15.381096600452796</v>
      </c>
      <c r="AD31" s="33">
        <f t="shared" si="0"/>
        <v>7.6432153632325184</v>
      </c>
      <c r="AE31" s="33">
        <f t="shared" si="0"/>
        <v>9.5699983904309409</v>
      </c>
      <c r="AF31" s="34">
        <f t="shared" si="0"/>
        <v>11.565675845596907</v>
      </c>
    </row>
    <row r="32" spans="1:35" ht="15">
      <c r="A32" s="35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7"/>
    </row>
    <row r="33" spans="1:32" ht="15">
      <c r="A33" s="35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7"/>
    </row>
    <row r="34" spans="1:32" ht="15.75">
      <c r="A34" s="31" t="s">
        <v>8</v>
      </c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7"/>
    </row>
    <row r="35" spans="1:32" ht="15.75">
      <c r="A35" s="31" t="s">
        <v>7</v>
      </c>
      <c r="B35" s="33">
        <f>MAX(B4:B27)</f>
        <v>17.613035654779228</v>
      </c>
      <c r="C35" s="33">
        <f t="shared" ref="C35:AF35" si="1">MAX(C4:C27)</f>
        <v>18.959645730416895</v>
      </c>
      <c r="D35" s="33">
        <f t="shared" si="1"/>
        <v>20.58255963545065</v>
      </c>
      <c r="E35" s="33">
        <f t="shared" si="1"/>
        <v>18.153120280333965</v>
      </c>
      <c r="F35" s="33">
        <f t="shared" si="1"/>
        <v>17.657409611048486</v>
      </c>
      <c r="G35" s="33">
        <f t="shared" si="1"/>
        <v>16.426417764932278</v>
      </c>
      <c r="H35" s="33">
        <f t="shared" si="1"/>
        <v>17.08845555082684</v>
      </c>
      <c r="I35" s="33">
        <f t="shared" si="1"/>
        <v>17.221946271641347</v>
      </c>
      <c r="J35" s="33">
        <f t="shared" si="1"/>
        <v>18.292456911072659</v>
      </c>
      <c r="K35" s="33">
        <f t="shared" si="1"/>
        <v>18.761426252744055</v>
      </c>
      <c r="L35" s="33">
        <f t="shared" si="1"/>
        <v>18.906077078888291</v>
      </c>
      <c r="M35" s="33">
        <f t="shared" si="1"/>
        <v>15.993584149711031</v>
      </c>
      <c r="N35" s="33">
        <f t="shared" si="1"/>
        <v>13.530185813555908</v>
      </c>
      <c r="O35" s="33">
        <f t="shared" si="1"/>
        <v>18.331690197424138</v>
      </c>
      <c r="P35" s="33">
        <f>MAX(P4:P27)</f>
        <v>15.516816043852595</v>
      </c>
      <c r="Q35" s="33">
        <f t="shared" si="1"/>
        <v>17.271112779757889</v>
      </c>
      <c r="R35" s="33">
        <f t="shared" si="1"/>
        <v>17.874887622247936</v>
      </c>
      <c r="S35" s="33">
        <f t="shared" si="1"/>
        <v>17.977313613939167</v>
      </c>
      <c r="T35" s="33">
        <f t="shared" si="1"/>
        <v>17.304388844877177</v>
      </c>
      <c r="U35" s="33">
        <f t="shared" si="1"/>
        <v>19.898142355247149</v>
      </c>
      <c r="V35" s="33">
        <f t="shared" si="1"/>
        <v>17.864647740850049</v>
      </c>
      <c r="W35" s="33">
        <f t="shared" si="1"/>
        <v>17.486204119259209</v>
      </c>
      <c r="X35" s="33">
        <f t="shared" si="1"/>
        <v>16.133465270775297</v>
      </c>
      <c r="Y35" s="33">
        <f t="shared" si="1"/>
        <v>17.260921520471136</v>
      </c>
      <c r="Z35" s="33">
        <f t="shared" si="1"/>
        <v>15.366476194612028</v>
      </c>
      <c r="AA35" s="33">
        <f t="shared" si="1"/>
        <v>15.021806661591986</v>
      </c>
      <c r="AB35" s="33">
        <f t="shared" si="1"/>
        <v>16.80269311770909</v>
      </c>
      <c r="AC35" s="33">
        <f t="shared" si="1"/>
        <v>16.698453604440072</v>
      </c>
      <c r="AD35" s="33">
        <f t="shared" si="1"/>
        <v>8.8496373475672954</v>
      </c>
      <c r="AE35" s="33">
        <f t="shared" si="1"/>
        <v>10.919377103401859</v>
      </c>
      <c r="AF35" s="34">
        <f t="shared" si="1"/>
        <v>12.352847337846816</v>
      </c>
    </row>
    <row r="36" spans="1:32" ht="15">
      <c r="A36" s="35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7"/>
    </row>
    <row r="37" spans="1:32" ht="15">
      <c r="A37" s="35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7"/>
    </row>
    <row r="38" spans="1:32" ht="15.75">
      <c r="A38" s="31" t="s">
        <v>9</v>
      </c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7"/>
    </row>
    <row r="39" spans="1:32" ht="15.75">
      <c r="A39" s="31" t="s">
        <v>7</v>
      </c>
      <c r="B39" s="33">
        <f>MIN(B4:B27)</f>
        <v>13.387829854564053</v>
      </c>
      <c r="C39" s="33">
        <f t="shared" ref="C39:AF39" si="2">MIN(C4:C27)</f>
        <v>13.054470871212297</v>
      </c>
      <c r="D39" s="33">
        <f t="shared" si="2"/>
        <v>14.616169549555524</v>
      </c>
      <c r="E39" s="33">
        <f t="shared" si="2"/>
        <v>12.109787372126135</v>
      </c>
      <c r="F39" s="33">
        <f t="shared" si="2"/>
        <v>7.4678673107725908</v>
      </c>
      <c r="G39" s="33">
        <f t="shared" si="2"/>
        <v>8.656649181049735</v>
      </c>
      <c r="H39" s="33">
        <f t="shared" si="2"/>
        <v>11.624667637705436</v>
      </c>
      <c r="I39" s="33">
        <f t="shared" si="2"/>
        <v>13.82159243761328</v>
      </c>
      <c r="J39" s="33">
        <f t="shared" si="2"/>
        <v>13.404682036439956</v>
      </c>
      <c r="K39" s="33">
        <f t="shared" si="2"/>
        <v>15.365762300415206</v>
      </c>
      <c r="L39" s="33">
        <f t="shared" si="2"/>
        <v>11.312288928641493</v>
      </c>
      <c r="M39" s="33">
        <f t="shared" si="2"/>
        <v>11.182518889086916</v>
      </c>
      <c r="N39" s="33">
        <f t="shared" si="2"/>
        <v>10.89418932662087</v>
      </c>
      <c r="O39" s="33">
        <f t="shared" si="2"/>
        <v>16.811258049775375</v>
      </c>
      <c r="P39" s="33">
        <f>MIN(P4:P27)</f>
        <v>15.021984669498826</v>
      </c>
      <c r="Q39" s="33">
        <f t="shared" si="2"/>
        <v>16.031291540355248</v>
      </c>
      <c r="R39" s="33">
        <f t="shared" si="2"/>
        <v>12.305649322654352</v>
      </c>
      <c r="S39" s="33">
        <f t="shared" si="2"/>
        <v>12.823406270899886</v>
      </c>
      <c r="T39" s="33">
        <f t="shared" si="2"/>
        <v>16.572549610289304</v>
      </c>
      <c r="U39" s="33">
        <f t="shared" si="2"/>
        <v>17.779760632087086</v>
      </c>
      <c r="V39" s="33">
        <f t="shared" si="2"/>
        <v>14.853152087204903</v>
      </c>
      <c r="W39" s="33">
        <f t="shared" si="2"/>
        <v>13.534498333639695</v>
      </c>
      <c r="X39" s="33">
        <f t="shared" si="2"/>
        <v>10.997379316684711</v>
      </c>
      <c r="Y39" s="33">
        <f t="shared" si="2"/>
        <v>13.393074231561107</v>
      </c>
      <c r="Z39" s="33">
        <f t="shared" si="2"/>
        <v>13.796485223688979</v>
      </c>
      <c r="AA39" s="33">
        <f t="shared" si="2"/>
        <v>13.862258503232798</v>
      </c>
      <c r="AB39" s="33">
        <f t="shared" si="2"/>
        <v>15.032890499453677</v>
      </c>
      <c r="AC39" s="33">
        <f t="shared" si="2"/>
        <v>13.919622352508304</v>
      </c>
      <c r="AD39" s="33">
        <f t="shared" si="2"/>
        <v>6.1479107512740496</v>
      </c>
      <c r="AE39" s="33">
        <f t="shared" si="2"/>
        <v>7.9705306255948214</v>
      </c>
      <c r="AF39" s="34">
        <f t="shared" si="2"/>
        <v>10.952191430200095</v>
      </c>
    </row>
    <row r="40" spans="1:32" ht="15">
      <c r="A40" s="35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38"/>
    </row>
    <row r="41" spans="1:32" ht="15">
      <c r="A41" s="35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38"/>
    </row>
    <row r="42" spans="1:32" ht="15.75">
      <c r="A42" s="31" t="s">
        <v>10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38"/>
    </row>
    <row r="43" spans="1:32" ht="15.75">
      <c r="A43" s="31" t="s">
        <v>7</v>
      </c>
      <c r="B43" s="39">
        <f>B35-B39</f>
        <v>4.2252058002151749</v>
      </c>
      <c r="C43" s="39">
        <f t="shared" ref="C43:AF43" si="3">C35-C39</f>
        <v>5.9051748592045978</v>
      </c>
      <c r="D43" s="39">
        <f t="shared" si="3"/>
        <v>5.9663900858951262</v>
      </c>
      <c r="E43" s="39">
        <f t="shared" si="3"/>
        <v>6.0433329082078302</v>
      </c>
      <c r="F43" s="39">
        <f t="shared" si="3"/>
        <v>10.189542300275896</v>
      </c>
      <c r="G43" s="39">
        <f t="shared" si="3"/>
        <v>7.7697685838825432</v>
      </c>
      <c r="H43" s="39">
        <f t="shared" si="3"/>
        <v>5.4637879131214042</v>
      </c>
      <c r="I43" s="39">
        <f t="shared" si="3"/>
        <v>3.400353834028067</v>
      </c>
      <c r="J43" s="39">
        <f t="shared" si="3"/>
        <v>4.8877748746327025</v>
      </c>
      <c r="K43" s="39">
        <f t="shared" si="3"/>
        <v>3.3956639523288494</v>
      </c>
      <c r="L43" s="39">
        <f t="shared" si="3"/>
        <v>7.5937881502467981</v>
      </c>
      <c r="M43" s="39">
        <f t="shared" si="3"/>
        <v>4.8110652606241153</v>
      </c>
      <c r="N43" s="39">
        <f t="shared" si="3"/>
        <v>2.6359964869350385</v>
      </c>
      <c r="O43" s="39">
        <f t="shared" si="3"/>
        <v>1.5204321476487621</v>
      </c>
      <c r="P43" s="39">
        <f>P35-P39</f>
        <v>0.49483137435376889</v>
      </c>
      <c r="Q43" s="39">
        <f t="shared" si="3"/>
        <v>1.2398212394026409</v>
      </c>
      <c r="R43" s="39">
        <f t="shared" si="3"/>
        <v>5.5692382995935841</v>
      </c>
      <c r="S43" s="39">
        <f t="shared" si="3"/>
        <v>5.1539073430392808</v>
      </c>
      <c r="T43" s="39">
        <f t="shared" si="3"/>
        <v>0.73183923458787348</v>
      </c>
      <c r="U43" s="39">
        <f t="shared" si="3"/>
        <v>2.1183817231600628</v>
      </c>
      <c r="V43" s="39">
        <f t="shared" si="3"/>
        <v>3.0114956536451469</v>
      </c>
      <c r="W43" s="39">
        <f t="shared" si="3"/>
        <v>3.9517057856195148</v>
      </c>
      <c r="X43" s="39">
        <f t="shared" si="3"/>
        <v>5.1360859540905857</v>
      </c>
      <c r="Y43" s="39">
        <f t="shared" si="3"/>
        <v>3.8678472889100295</v>
      </c>
      <c r="Z43" s="39">
        <f t="shared" si="3"/>
        <v>1.5699909709230493</v>
      </c>
      <c r="AA43" s="39">
        <f t="shared" si="3"/>
        <v>1.159548158359188</v>
      </c>
      <c r="AB43" s="39">
        <f t="shared" si="3"/>
        <v>1.7698026182554134</v>
      </c>
      <c r="AC43" s="39">
        <f t="shared" si="3"/>
        <v>2.7788312519317682</v>
      </c>
      <c r="AD43" s="39">
        <f t="shared" si="3"/>
        <v>2.7017265962932457</v>
      </c>
      <c r="AE43" s="39">
        <f t="shared" si="3"/>
        <v>2.9488464778070371</v>
      </c>
      <c r="AF43" s="34">
        <f t="shared" si="3"/>
        <v>1.4006559076467209</v>
      </c>
    </row>
    <row r="44" spans="1:32">
      <c r="A44" s="27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38"/>
    </row>
    <row r="45" spans="1:32">
      <c r="A45" s="27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38"/>
    </row>
    <row r="46" spans="1:32" ht="15.75">
      <c r="A46" s="27"/>
      <c r="B46" s="1"/>
      <c r="C46" s="1"/>
      <c r="D46" s="1"/>
      <c r="E46" s="1"/>
      <c r="F46" s="1"/>
      <c r="G46" s="1"/>
      <c r="H46" s="1"/>
      <c r="I46" s="40" t="s">
        <v>6</v>
      </c>
      <c r="J46" s="41"/>
      <c r="K46" s="41"/>
      <c r="L46" s="42" t="s">
        <v>8</v>
      </c>
      <c r="M46" s="43"/>
      <c r="N46" s="43"/>
      <c r="O46" s="42" t="s">
        <v>9</v>
      </c>
      <c r="P46" s="43"/>
      <c r="Q46" s="43"/>
      <c r="R46" s="42" t="s">
        <v>10</v>
      </c>
      <c r="S46" s="44"/>
      <c r="T46" s="41"/>
      <c r="U46" s="43" t="s">
        <v>6</v>
      </c>
      <c r="V46" s="43"/>
      <c r="W46" s="43" t="s">
        <v>6</v>
      </c>
      <c r="X46" s="43"/>
      <c r="Y46" s="43" t="s">
        <v>11</v>
      </c>
      <c r="Z46" s="43"/>
      <c r="AA46" s="1"/>
      <c r="AB46" s="1"/>
      <c r="AC46" s="1"/>
      <c r="AD46" s="1"/>
      <c r="AE46" s="1"/>
      <c r="AF46" s="38"/>
    </row>
    <row r="47" spans="1:32" ht="15.75">
      <c r="A47" s="27"/>
      <c r="B47" s="1"/>
      <c r="C47" s="1"/>
      <c r="D47" s="1"/>
      <c r="E47" s="1"/>
      <c r="F47" s="1"/>
      <c r="G47" s="1"/>
      <c r="H47" s="1"/>
      <c r="I47" s="45" t="s">
        <v>12</v>
      </c>
      <c r="J47" s="41"/>
      <c r="K47" s="41"/>
      <c r="L47" s="43" t="s">
        <v>12</v>
      </c>
      <c r="M47" s="43"/>
      <c r="N47" s="43"/>
      <c r="O47" s="43" t="s">
        <v>12</v>
      </c>
      <c r="P47" s="43"/>
      <c r="Q47" s="43"/>
      <c r="R47" s="43" t="s">
        <v>12</v>
      </c>
      <c r="S47" s="44"/>
      <c r="T47" s="41"/>
      <c r="U47" s="43" t="s">
        <v>13</v>
      </c>
      <c r="V47" s="43"/>
      <c r="W47" s="43" t="s">
        <v>14</v>
      </c>
      <c r="X47" s="43"/>
      <c r="Y47" s="43" t="s">
        <v>15</v>
      </c>
      <c r="Z47" s="43"/>
      <c r="AA47" s="1"/>
      <c r="AB47" s="1"/>
      <c r="AC47" s="1"/>
      <c r="AD47" s="1"/>
      <c r="AE47" s="1"/>
      <c r="AF47" s="38"/>
    </row>
    <row r="48" spans="1:32" ht="15">
      <c r="A48" s="27"/>
      <c r="B48" s="1"/>
      <c r="C48" s="1"/>
      <c r="D48" s="1"/>
      <c r="E48" s="1"/>
      <c r="F48" s="1"/>
      <c r="G48" s="1"/>
      <c r="H48" s="1"/>
      <c r="I48" s="29"/>
      <c r="J48" s="1"/>
      <c r="K48" s="1"/>
      <c r="L48" s="36"/>
      <c r="M48" s="36"/>
      <c r="N48" s="36"/>
      <c r="O48" s="36"/>
      <c r="P48" s="36"/>
      <c r="Q48" s="36"/>
      <c r="R48" s="36"/>
      <c r="S48" s="36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38"/>
    </row>
    <row r="49" spans="1:35" s="52" customFormat="1" ht="15.75" thickBot="1">
      <c r="A49" s="46"/>
      <c r="B49" s="47"/>
      <c r="C49" s="47"/>
      <c r="D49" s="47"/>
      <c r="E49" s="47"/>
      <c r="F49" s="47"/>
      <c r="G49" s="47"/>
      <c r="H49" s="47"/>
      <c r="I49" s="48">
        <f>AVERAGE(B31:AF31)</f>
        <v>14.824406805583939</v>
      </c>
      <c r="J49" s="47"/>
      <c r="K49" s="47"/>
      <c r="L49" s="48">
        <f>MAX(B35:AF35)</f>
        <v>20.58255963545065</v>
      </c>
      <c r="M49" s="49"/>
      <c r="N49" s="49"/>
      <c r="O49" s="48">
        <f>MIN(B39:AF39)</f>
        <v>6.1479107512740496</v>
      </c>
      <c r="P49" s="49"/>
      <c r="Q49" s="49"/>
      <c r="R49" s="48">
        <f>L49-O49</f>
        <v>14.4346488841766</v>
      </c>
      <c r="S49" s="49"/>
      <c r="T49" s="47"/>
      <c r="U49" s="48">
        <f>AVERAGE(B35:AF35)</f>
        <v>16.713458134879758</v>
      </c>
      <c r="V49" s="50"/>
      <c r="W49" s="48">
        <f>AVERAGE(B39:AF39)</f>
        <v>12.861431262787315</v>
      </c>
      <c r="X49" s="50"/>
      <c r="Y49" s="48">
        <f>U49-W49</f>
        <v>3.8520268720924431</v>
      </c>
      <c r="Z49" s="47"/>
      <c r="AA49" s="47"/>
      <c r="AB49" s="47"/>
      <c r="AC49" s="47"/>
      <c r="AD49" s="47"/>
      <c r="AE49" s="47"/>
      <c r="AF49" s="51"/>
    </row>
    <row r="50" spans="1:35" ht="13.5" thickTop="1">
      <c r="AI50" s="53"/>
    </row>
  </sheetData>
  <pageMargins left="0.78740157499999996" right="0.78740157499999996" top="0.984251969" bottom="0.984251969" header="0.49212598499999999" footer="0.49212598499999999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AI50"/>
  <sheetViews>
    <sheetView zoomScale="75" zoomScaleNormal="75" workbookViewId="0">
      <selection activeCell="E23" sqref="E23"/>
    </sheetView>
  </sheetViews>
  <sheetFormatPr defaultRowHeight="12.75"/>
  <cols>
    <col min="33" max="33" width="9.140625" style="10"/>
    <col min="34" max="34" width="9.140625" style="55"/>
  </cols>
  <sheetData>
    <row r="1" spans="1:35" ht="18">
      <c r="A1" s="1"/>
      <c r="B1" s="2" t="s">
        <v>20</v>
      </c>
      <c r="C1" s="3"/>
      <c r="D1" s="4"/>
      <c r="E1" s="5"/>
      <c r="F1" s="1"/>
      <c r="G1" s="1"/>
      <c r="H1" s="1"/>
      <c r="I1" s="1"/>
      <c r="J1" s="6"/>
      <c r="K1" s="6"/>
      <c r="L1" s="7" t="s">
        <v>1</v>
      </c>
      <c r="M1" s="8" t="s">
        <v>2</v>
      </c>
      <c r="N1" s="9" t="s">
        <v>3</v>
      </c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5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5" ht="16.5" thickBot="1">
      <c r="A3" s="11" t="s">
        <v>4</v>
      </c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2">
        <v>8</v>
      </c>
      <c r="J3" s="12">
        <v>9</v>
      </c>
      <c r="K3" s="12">
        <v>10</v>
      </c>
      <c r="L3" s="12">
        <v>11</v>
      </c>
      <c r="M3" s="12">
        <v>12</v>
      </c>
      <c r="N3" s="12">
        <v>13</v>
      </c>
      <c r="O3" s="12">
        <v>14</v>
      </c>
      <c r="P3" s="12">
        <v>15</v>
      </c>
      <c r="Q3" s="12">
        <v>16</v>
      </c>
      <c r="R3" s="12">
        <v>17</v>
      </c>
      <c r="S3" s="12">
        <v>18</v>
      </c>
      <c r="T3" s="12">
        <v>19</v>
      </c>
      <c r="U3" s="12">
        <v>20</v>
      </c>
      <c r="V3" s="12">
        <v>21</v>
      </c>
      <c r="W3" s="12">
        <v>22</v>
      </c>
      <c r="X3" s="12">
        <v>23</v>
      </c>
      <c r="Y3" s="12">
        <v>24</v>
      </c>
      <c r="Z3" s="13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5"/>
    </row>
    <row r="4" spans="1:35" ht="15.75">
      <c r="A4" s="16">
        <v>1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8"/>
      <c r="AG4" s="19"/>
      <c r="AI4" s="21"/>
    </row>
    <row r="5" spans="1:35" ht="15.75">
      <c r="A5" s="16">
        <v>2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8"/>
      <c r="AG5" s="19"/>
      <c r="AI5" s="21"/>
    </row>
    <row r="6" spans="1:35" ht="15.75">
      <c r="A6" s="16">
        <v>3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8"/>
      <c r="AG6" s="19"/>
      <c r="AI6" s="21"/>
    </row>
    <row r="7" spans="1:35" ht="15.75">
      <c r="A7" s="16">
        <v>4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8"/>
      <c r="AG7" s="19"/>
      <c r="AI7" s="21"/>
    </row>
    <row r="8" spans="1:35" ht="15.75">
      <c r="A8" s="16">
        <v>5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8"/>
      <c r="AG8" s="19"/>
      <c r="AI8" s="21"/>
    </row>
    <row r="9" spans="1:35" ht="15.75">
      <c r="A9" s="16">
        <v>6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8"/>
      <c r="AG9" s="19"/>
      <c r="AI9" s="21"/>
    </row>
    <row r="10" spans="1:35" ht="15.75">
      <c r="A10" s="16">
        <v>7</v>
      </c>
      <c r="B10" s="22">
        <f>'[6]Dia 1 (b)'!$V16</f>
        <v>11.006647631236133</v>
      </c>
      <c r="C10" s="22">
        <f>'[6]Dia 2 (b)'!$V16</f>
        <v>12.137906175004575</v>
      </c>
      <c r="D10" s="22">
        <f>'[6]Dia 3 (b)'!$V16</f>
        <v>13.868880775652597</v>
      </c>
      <c r="E10" s="22">
        <f>'[6]Dia 4 (b)'!$V16</f>
        <v>15.280075735603315</v>
      </c>
      <c r="F10" s="22">
        <f>'[6]Dia 5 (b)'!$V16</f>
        <v>14.251975710962977</v>
      </c>
      <c r="G10" s="22">
        <f>'[6]Dia 6 (b)'!$V16</f>
        <v>14.384316338871484</v>
      </c>
      <c r="H10" s="22">
        <f>'[6]Dia 7 (b)'!$V16</f>
        <v>13.152723649405855</v>
      </c>
      <c r="I10" s="22">
        <f>'[6]Dia 8 (b)'!$V16</f>
        <v>12.275878907248469</v>
      </c>
      <c r="J10" s="22">
        <f>'[6]Dia 9 (b)'!$V16</f>
        <v>13.761464317840183</v>
      </c>
      <c r="K10" s="22">
        <f>'[6]Dia 10 (b)'!$V16</f>
        <v>12.434693568938687</v>
      </c>
      <c r="L10" s="22">
        <f>'[6]Dia 11 (b)'!$V16</f>
        <v>13.47838370389757</v>
      </c>
      <c r="M10" s="22">
        <f>'[6]Dia 12 (b)'!$V16</f>
        <v>12.68375698180056</v>
      </c>
      <c r="N10" s="22">
        <f>'[6]Dia 13 (b)'!$V16</f>
        <v>12.697539266825689</v>
      </c>
      <c r="O10" s="22">
        <f>'[6]Dia 14 (b)'!$V16</f>
        <v>8.5814119797233115</v>
      </c>
      <c r="P10" s="22">
        <f>'[6]Dia 15 (b)'!$V16</f>
        <v>12.823797539088407</v>
      </c>
      <c r="Q10" s="22">
        <f>'[6]Dia 16 (b)'!$V16</f>
        <v>13.67986121114672</v>
      </c>
      <c r="R10" s="22">
        <f>'[6]Dia 17 (b)'!$V16</f>
        <v>11.546376334669423</v>
      </c>
      <c r="S10" s="22">
        <f>'[6]Dia 18 (b)'!$V16</f>
        <v>10.138643627681919</v>
      </c>
      <c r="T10" s="22">
        <f>'[6]Dia 19 (b)'!$V16</f>
        <v>10.193818984453195</v>
      </c>
      <c r="U10" s="22">
        <f>'[6]Dia 20 (b)'!$V16</f>
        <v>10.429144873030085</v>
      </c>
      <c r="V10" s="22">
        <f>'[6]Dia 21 (b)'!$V16</f>
        <v>9.8091385063829417</v>
      </c>
      <c r="W10" s="22">
        <f>'[6]Dia 22 (b)'!$V16</f>
        <v>11.530537295327782</v>
      </c>
      <c r="X10" s="22">
        <f>'[6]Dia 23 (b)'!$V16</f>
        <v>12.314942063029363</v>
      </c>
      <c r="Y10" s="22">
        <f>'[6]Dia 24 (b)'!$V16</f>
        <v>12.738927094243206</v>
      </c>
      <c r="Z10" s="22">
        <f>'[6]Dia 25 (b)'!$V16</f>
        <v>16.849725459420874</v>
      </c>
      <c r="AA10" s="22">
        <f>'[6]Dia 26 (b)'!$V16</f>
        <v>14.586087107800902</v>
      </c>
      <c r="AB10" s="22">
        <f>'[6]Dia 27 (b)'!$V16</f>
        <v>16.185073279961543</v>
      </c>
      <c r="AC10" s="22">
        <f>'[6]Dia 28 (b)'!$V16</f>
        <v>12.812229278173357</v>
      </c>
      <c r="AD10" s="22">
        <f>'[6]Dia 29 (b)'!$V16</f>
        <v>13.923187055647617</v>
      </c>
      <c r="AE10" s="22">
        <f>'[6]Dia 30 (b)'!$V16</f>
        <v>11.464438710750938</v>
      </c>
      <c r="AF10" s="23"/>
      <c r="AG10" s="19"/>
      <c r="AI10" s="21"/>
    </row>
    <row r="11" spans="1:35" ht="15.75">
      <c r="A11" s="16">
        <v>8</v>
      </c>
      <c r="B11" s="22">
        <f>'[6]Dia 1 (b)'!$V17</f>
        <v>11.261846019647123</v>
      </c>
      <c r="C11" s="22">
        <f>'[6]Dia 2 (b)'!$V17</f>
        <v>12.854854322675131</v>
      </c>
      <c r="D11" s="22">
        <f>'[6]Dia 3 (b)'!$V17</f>
        <v>14.149216627605099</v>
      </c>
      <c r="E11" s="22">
        <f>'[6]Dia 4 (b)'!$V17</f>
        <v>15.224464098217863</v>
      </c>
      <c r="F11" s="22">
        <f>'[6]Dia 5 (b)'!$V17</f>
        <v>14.48665089622874</v>
      </c>
      <c r="G11" s="22">
        <f>'[6]Dia 6 (b)'!$V17</f>
        <v>14.484874934092012</v>
      </c>
      <c r="H11" s="22">
        <f>'[6]Dia 7 (b)'!$V17</f>
        <v>15.032558352136766</v>
      </c>
      <c r="I11" s="22">
        <f>'[6]Dia 8 (b)'!$V17</f>
        <v>14.404877813084031</v>
      </c>
      <c r="J11" s="22">
        <f>'[6]Dia 9 (b)'!$V17</f>
        <v>15.144913750388158</v>
      </c>
      <c r="K11" s="22">
        <f>'[6]Dia 10 (b)'!$V17</f>
        <v>14.016177167841608</v>
      </c>
      <c r="L11" s="22">
        <f>'[6]Dia 11 (b)'!$V17</f>
        <v>15.225183121523166</v>
      </c>
      <c r="M11" s="22">
        <f>'[6]Dia 12 (b)'!$V17</f>
        <v>14.442700604481068</v>
      </c>
      <c r="N11" s="22">
        <f>'[6]Dia 13 (b)'!$V17</f>
        <v>13.709688538478403</v>
      </c>
      <c r="O11" s="22">
        <f>'[6]Dia 14 (b)'!$V17</f>
        <v>10.279296933625309</v>
      </c>
      <c r="P11" s="22">
        <f>'[6]Dia 15 (b)'!$V17</f>
        <v>13.912922892842447</v>
      </c>
      <c r="Q11" s="22">
        <f>'[6]Dia 16 (b)'!$V17</f>
        <v>16.191449376822739</v>
      </c>
      <c r="R11" s="22">
        <f>'[6]Dia 17 (b)'!$V17</f>
        <v>12.86527965664636</v>
      </c>
      <c r="S11" s="22">
        <f>'[6]Dia 18 (b)'!$V17</f>
        <v>10.903806849139798</v>
      </c>
      <c r="T11" s="22">
        <f>'[6]Dia 19 (b)'!$V17</f>
        <v>11.649013107468797</v>
      </c>
      <c r="U11" s="22">
        <f>'[6]Dia 20 (b)'!$V17</f>
        <v>13.06896088400608</v>
      </c>
      <c r="V11" s="22">
        <f>'[6]Dia 21 (b)'!$V17</f>
        <v>10.595256161281572</v>
      </c>
      <c r="W11" s="22">
        <f>'[6]Dia 22 (b)'!$V17</f>
        <v>11.867288468353618</v>
      </c>
      <c r="X11" s="22">
        <f>'[6]Dia 23 (b)'!$V17</f>
        <v>14.037133263175654</v>
      </c>
      <c r="Y11" s="22">
        <f>'[6]Dia 24 (b)'!$V17</f>
        <v>14.81208939878338</v>
      </c>
      <c r="Z11" s="22">
        <f>'[6]Dia 25 (b)'!$V17</f>
        <v>16.542924993740893</v>
      </c>
      <c r="AA11" s="22">
        <f>'[6]Dia 26 (b)'!$V17</f>
        <v>15.665273964970028</v>
      </c>
      <c r="AB11" s="22">
        <f>'[6]Dia 27 (b)'!$V17</f>
        <v>16.493871508388757</v>
      </c>
      <c r="AC11" s="22">
        <f>'[6]Dia 28 (b)'!$V17</f>
        <v>15.13495580772909</v>
      </c>
      <c r="AD11" s="22">
        <f>'[6]Dia 29 (b)'!$V17</f>
        <v>15.273155497976953</v>
      </c>
      <c r="AE11" s="22">
        <f>'[6]Dia 30 (b)'!$V17</f>
        <v>11.221743890713682</v>
      </c>
      <c r="AF11" s="23"/>
      <c r="AG11" s="19"/>
      <c r="AI11" s="21"/>
    </row>
    <row r="12" spans="1:35" ht="15.75">
      <c r="A12" s="16">
        <v>9</v>
      </c>
      <c r="B12" s="22">
        <f>'[6]Dia 1 (b)'!$V18</f>
        <v>11.516019909723829</v>
      </c>
      <c r="C12" s="22">
        <f>'[6]Dia 2 (b)'!$V18</f>
        <v>12.037774589972338</v>
      </c>
      <c r="D12" s="22">
        <f>'[6]Dia 3 (b)'!$V18</f>
        <v>14.157299775353998</v>
      </c>
      <c r="E12" s="22">
        <f>'[6]Dia 4 (b)'!$V18</f>
        <v>15.317015428280135</v>
      </c>
      <c r="F12" s="22">
        <f>'[6]Dia 5 (b)'!$V18</f>
        <v>14.774138411240168</v>
      </c>
      <c r="G12" s="22">
        <f>'[6]Dia 6 (b)'!$V18</f>
        <v>14.875253456299488</v>
      </c>
      <c r="H12" s="22">
        <f>'[6]Dia 7 (b)'!$V18</f>
        <v>15.805833559432275</v>
      </c>
      <c r="I12" s="22">
        <f>'[6]Dia 8 (b)'!$V18</f>
        <v>13.393982283647452</v>
      </c>
      <c r="J12" s="22">
        <f>'[6]Dia 9 (b)'!$V18</f>
        <v>14.657312402646886</v>
      </c>
      <c r="K12" s="22">
        <f>'[6]Dia 10 (b)'!$V18</f>
        <v>13.769262901772757</v>
      </c>
      <c r="L12" s="22">
        <f>'[6]Dia 11 (b)'!$V18</f>
        <v>14.979944716625223</v>
      </c>
      <c r="M12" s="22">
        <f>'[6]Dia 12 (b)'!$V18</f>
        <v>13.434947945470981</v>
      </c>
      <c r="N12" s="22">
        <f>'[6]Dia 13 (b)'!$V18</f>
        <v>12.92216157721516</v>
      </c>
      <c r="O12" s="22">
        <f>'[6]Dia 14 (b)'!$V18</f>
        <v>9.5530587487530916</v>
      </c>
      <c r="P12" s="22">
        <f>'[6]Dia 15 (b)'!$V18</f>
        <v>13.52722993513256</v>
      </c>
      <c r="Q12" s="22">
        <f>'[6]Dia 16 (b)'!$V18</f>
        <v>14.356612651246282</v>
      </c>
      <c r="R12" s="22">
        <f>'[6]Dia 17 (b)'!$V18</f>
        <v>12.361248946797529</v>
      </c>
      <c r="S12" s="22">
        <f>'[6]Dia 18 (b)'!$V18</f>
        <v>9.9061088633920509</v>
      </c>
      <c r="T12" s="22">
        <f>'[6]Dia 19 (b)'!$V18</f>
        <v>11.009712562127021</v>
      </c>
      <c r="U12" s="22">
        <f>'[6]Dia 20 (b)'!$V18</f>
        <v>11.943917595621457</v>
      </c>
      <c r="V12" s="22">
        <f>'[6]Dia 21 (b)'!$V18</f>
        <v>10.146899707346071</v>
      </c>
      <c r="W12" s="22">
        <f>'[6]Dia 22 (b)'!$V18</f>
        <v>11.749090213507728</v>
      </c>
      <c r="X12" s="22">
        <f>'[6]Dia 23 (b)'!$V18</f>
        <v>12.094166984720458</v>
      </c>
      <c r="Y12" s="22">
        <f>'[6]Dia 24 (b)'!$V18</f>
        <v>13.357476869863801</v>
      </c>
      <c r="Z12" s="22">
        <f>'[6]Dia 25 (b)'!$V18</f>
        <v>15.920390901815736</v>
      </c>
      <c r="AA12" s="22">
        <f>'[6]Dia 26 (b)'!$V18</f>
        <v>15.541368429703267</v>
      </c>
      <c r="AB12" s="22">
        <f>'[6]Dia 27 (b)'!$V18</f>
        <v>16.129892319380602</v>
      </c>
      <c r="AC12" s="22">
        <f>'[6]Dia 28 (b)'!$V18</f>
        <v>15.760954869076819</v>
      </c>
      <c r="AD12" s="22">
        <f>'[6]Dia 29 (b)'!$V18</f>
        <v>15.011461192374664</v>
      </c>
      <c r="AE12" s="22">
        <f>'[6]Dia 30 (b)'!$V18</f>
        <v>10.692328431065384</v>
      </c>
      <c r="AF12" s="23"/>
      <c r="AG12" s="19"/>
      <c r="AI12" s="21"/>
    </row>
    <row r="13" spans="1:35" ht="15.75">
      <c r="A13" s="16">
        <v>10</v>
      </c>
      <c r="B13" s="22">
        <f>'[6]Dia 1 (b)'!$V19</f>
        <v>11.765705672617891</v>
      </c>
      <c r="C13" s="22">
        <f>'[6]Dia 2 (b)'!$V19</f>
        <v>11.357735073974876</v>
      </c>
      <c r="D13" s="22">
        <f>'[6]Dia 3 (b)'!$V19</f>
        <v>14.235630555607431</v>
      </c>
      <c r="E13" s="22">
        <f>'[6]Dia 4 (b)'!$V19</f>
        <v>15.085688404203985</v>
      </c>
      <c r="F13" s="22">
        <f>'[6]Dia 5 (b)'!$V19</f>
        <v>14.632033487539143</v>
      </c>
      <c r="G13" s="22">
        <f>'[6]Dia 6 (b)'!$V19</f>
        <v>15.060747697575232</v>
      </c>
      <c r="H13" s="22">
        <f>'[6]Dia 7 (b)'!$V19</f>
        <v>15.199700034626924</v>
      </c>
      <c r="I13" s="22">
        <f>'[6]Dia 8 (b)'!$V19</f>
        <v>13.098395148457326</v>
      </c>
      <c r="J13" s="22">
        <f>'[6]Dia 9 (b)'!$V19</f>
        <v>14.928316626329854</v>
      </c>
      <c r="K13" s="22">
        <f>'[6]Dia 10 (b)'!$V19</f>
        <v>12.144427605888195</v>
      </c>
      <c r="L13" s="22">
        <f>'[6]Dia 11 (b)'!$V19</f>
        <v>14.644549811608776</v>
      </c>
      <c r="M13" s="22">
        <f>'[6]Dia 12 (b)'!$V19</f>
        <v>13.582598723482093</v>
      </c>
      <c r="N13" s="22">
        <f>'[6]Dia 13 (b)'!$V19</f>
        <v>11.859979473959411</v>
      </c>
      <c r="O13" s="22">
        <f>'[6]Dia 14 (b)'!$V19</f>
        <v>9.5280713395064787</v>
      </c>
      <c r="P13" s="22">
        <f>'[6]Dia 15 (b)'!$V19</f>
        <v>13.634559456736394</v>
      </c>
      <c r="Q13" s="22">
        <f>'[6]Dia 16 (b)'!$V19</f>
        <v>14.180877044223747</v>
      </c>
      <c r="R13" s="22">
        <f>'[6]Dia 17 (b)'!$V19</f>
        <v>11.101507124332404</v>
      </c>
      <c r="S13" s="22">
        <f>'[6]Dia 18 (b)'!$V19</f>
        <v>8.5754501241595342</v>
      </c>
      <c r="T13" s="22">
        <f>'[6]Dia 19 (b)'!$V19</f>
        <v>9.3834032402004652</v>
      </c>
      <c r="U13" s="22">
        <f>'[6]Dia 20 (b)'!$V19</f>
        <v>10.040383275657723</v>
      </c>
      <c r="V13" s="22">
        <f>'[6]Dia 21 (b)'!$V19</f>
        <v>9.9489902277939564</v>
      </c>
      <c r="W13" s="22">
        <f>'[6]Dia 22 (b)'!$V19</f>
        <v>11.333124128881504</v>
      </c>
      <c r="X13" s="22">
        <f>'[6]Dia 23 (b)'!$V19</f>
        <v>11.771805117192486</v>
      </c>
      <c r="Y13" s="22">
        <f>'[6]Dia 24 (b)'!$V19</f>
        <v>11.686299486682778</v>
      </c>
      <c r="Z13" s="22">
        <f>'[6]Dia 25 (b)'!$V19</f>
        <v>15.968740679141437</v>
      </c>
      <c r="AA13" s="22">
        <f>'[6]Dia 26 (b)'!$V19</f>
        <v>15.284433298380062</v>
      </c>
      <c r="AB13" s="22">
        <f>'[6]Dia 27 (b)'!$V19</f>
        <v>16.134061412711215</v>
      </c>
      <c r="AC13" s="22">
        <f>'[6]Dia 28 (b)'!$V19</f>
        <v>15.217939380824774</v>
      </c>
      <c r="AD13" s="22">
        <f>'[6]Dia 29 (b)'!$V19</f>
        <v>15.21331104309448</v>
      </c>
      <c r="AE13" s="22">
        <f>'[6]Dia 30 (b)'!$V19</f>
        <v>10.975525302620259</v>
      </c>
      <c r="AF13" s="23"/>
      <c r="AG13" s="19"/>
      <c r="AI13" s="21"/>
    </row>
    <row r="14" spans="1:35" ht="15.75">
      <c r="A14" s="16">
        <v>11</v>
      </c>
      <c r="B14" s="22">
        <f>'[6]Dia 1 (b)'!$V20</f>
        <v>11.048677425479632</v>
      </c>
      <c r="C14" s="22">
        <f>'[6]Dia 2 (b)'!$V20</f>
        <v>12.787913612270358</v>
      </c>
      <c r="D14" s="22">
        <f>'[6]Dia 3 (b)'!$V20</f>
        <v>13.449369103965566</v>
      </c>
      <c r="E14" s="22">
        <f>'[6]Dia 4 (b)'!$V20</f>
        <v>15.514114323078752</v>
      </c>
      <c r="F14" s="22">
        <f>'[6]Dia 5 (b)'!$V20</f>
        <v>14.488552961682222</v>
      </c>
      <c r="G14" s="22">
        <f>'[6]Dia 6 (b)'!$V20</f>
        <v>14.253081860574772</v>
      </c>
      <c r="H14" s="22">
        <f>'[6]Dia 7 (b)'!$V20</f>
        <v>14.695083310013636</v>
      </c>
      <c r="I14" s="22">
        <f>'[6]Dia 8 (b)'!$V20</f>
        <v>13.138831356937487</v>
      </c>
      <c r="J14" s="22">
        <f>'[6]Dia 9 (b)'!$V20</f>
        <v>13.3949489437883</v>
      </c>
      <c r="K14" s="22">
        <f>'[6]Dia 10 (b)'!$V20</f>
        <v>12.706549986579596</v>
      </c>
      <c r="L14" s="22">
        <f>'[6]Dia 11 (b)'!$V20</f>
        <v>14.559361161417289</v>
      </c>
      <c r="M14" s="22">
        <f>'[6]Dia 12 (b)'!$V20</f>
        <v>13.332517396931392</v>
      </c>
      <c r="N14" s="22">
        <f>'[6]Dia 13 (b)'!$V20</f>
        <v>11.02677953637402</v>
      </c>
      <c r="O14" s="22">
        <f>'[6]Dia 14 (b)'!$V20</f>
        <v>9.5008877481146268</v>
      </c>
      <c r="P14" s="22">
        <f>'[6]Dia 15 (b)'!$V20</f>
        <v>14.147215666243877</v>
      </c>
      <c r="Q14" s="22">
        <f>'[6]Dia 16 (b)'!$V20</f>
        <v>12.966247781854463</v>
      </c>
      <c r="R14" s="22">
        <f>'[6]Dia 17 (b)'!$V20</f>
        <v>11.946756973274084</v>
      </c>
      <c r="S14" s="22">
        <f>'[6]Dia 18 (b)'!$V20</f>
        <v>8.1475706910475498</v>
      </c>
      <c r="T14" s="22">
        <f>'[6]Dia 19 (b)'!$V20</f>
        <v>10.209981630085025</v>
      </c>
      <c r="U14" s="22">
        <f>'[6]Dia 20 (b)'!$V20</f>
        <v>8.7247734058326731</v>
      </c>
      <c r="V14" s="22">
        <f>'[6]Dia 21 (b)'!$V20</f>
        <v>9.6700783847160334</v>
      </c>
      <c r="W14" s="22">
        <f>'[6]Dia 22 (b)'!$V20</f>
        <v>10.329464307445063</v>
      </c>
      <c r="X14" s="22">
        <f>'[6]Dia 23 (b)'!$V20</f>
        <v>11.47088865461658</v>
      </c>
      <c r="Y14" s="22">
        <f>'[6]Dia 24 (b)'!$V20</f>
        <v>11.404930066874757</v>
      </c>
      <c r="Z14" s="22">
        <f>'[6]Dia 25 (b)'!$V20</f>
        <v>16.746953950576305</v>
      </c>
      <c r="AA14" s="22">
        <f>'[6]Dia 26 (b)'!$V20</f>
        <v>15.397134136415637</v>
      </c>
      <c r="AB14" s="22">
        <f>'[6]Dia 27 (b)'!$V20</f>
        <v>16.025828918893364</v>
      </c>
      <c r="AC14" s="22">
        <f>'[6]Dia 28 (b)'!$V20</f>
        <v>14.312685407288011</v>
      </c>
      <c r="AD14" s="22">
        <f>'[6]Dia 29 (b)'!$V20</f>
        <v>14.653260109132633</v>
      </c>
      <c r="AE14" s="22">
        <f>'[6]Dia 30 (b)'!$V20</f>
        <v>11.323921109986307</v>
      </c>
      <c r="AF14" s="23"/>
      <c r="AG14" s="19"/>
      <c r="AI14" s="21"/>
    </row>
    <row r="15" spans="1:35" ht="15.75">
      <c r="A15" s="16">
        <v>12</v>
      </c>
      <c r="B15" s="22">
        <f>'[6]Dia 1 (b)'!$V21</f>
        <v>11.012814105330563</v>
      </c>
      <c r="C15" s="22">
        <f>'[6]Dia 2 (b)'!$V21</f>
        <v>11.481661011432841</v>
      </c>
      <c r="D15" s="22">
        <f>'[6]Dia 3 (b)'!$V21</f>
        <v>13.385189615380066</v>
      </c>
      <c r="E15" s="22">
        <f>'[6]Dia 4 (b)'!$V21</f>
        <v>15.070678291122032</v>
      </c>
      <c r="F15" s="22">
        <f>'[6]Dia 5 (b)'!$V21</f>
        <v>14.644690170752558</v>
      </c>
      <c r="G15" s="22">
        <f>'[6]Dia 6 (b)'!$V21</f>
        <v>14.055825784370921</v>
      </c>
      <c r="H15" s="22">
        <f>'[6]Dia 7 (b)'!$V21</f>
        <v>12.632023757116411</v>
      </c>
      <c r="I15" s="22">
        <f>'[6]Dia 8 (b)'!$V21</f>
        <v>12.824752423278186</v>
      </c>
      <c r="J15" s="22">
        <f>'[6]Dia 9 (b)'!$V21</f>
        <v>13.59329335715039</v>
      </c>
      <c r="K15" s="22">
        <f>'[6]Dia 10 (b)'!$V21</f>
        <v>13.854781394995516</v>
      </c>
      <c r="L15" s="22">
        <f>'[6]Dia 11 (b)'!$V21</f>
        <v>11.981755986882842</v>
      </c>
      <c r="M15" s="22">
        <f>'[6]Dia 12 (b)'!$V21</f>
        <v>12.254075963199453</v>
      </c>
      <c r="N15" s="22">
        <f>'[6]Dia 13 (b)'!$V21</f>
        <v>10.154378464081631</v>
      </c>
      <c r="O15" s="22">
        <f>'[6]Dia 14 (b)'!$V21</f>
        <v>10.28305252958441</v>
      </c>
      <c r="P15" s="22">
        <f>'[6]Dia 15 (b)'!$V21</f>
        <v>12.84700629548184</v>
      </c>
      <c r="Q15" s="22">
        <f>'[6]Dia 16 (b)'!$V21</f>
        <v>13.927945928960842</v>
      </c>
      <c r="R15" s="22">
        <f>'[6]Dia 17 (b)'!$V21</f>
        <v>11.409187059964712</v>
      </c>
      <c r="S15" s="22">
        <f>'[6]Dia 18 (b)'!$V21</f>
        <v>9.5215237563531545</v>
      </c>
      <c r="T15" s="22">
        <f>'[6]Dia 19 (b)'!$V21</f>
        <v>9.9990974856029595</v>
      </c>
      <c r="U15" s="22">
        <f>'[6]Dia 20 (b)'!$V21</f>
        <v>5.4495569402843289</v>
      </c>
      <c r="V15" s="22">
        <f>'[6]Dia 21 (b)'!$V21</f>
        <v>9.4717889908906994</v>
      </c>
      <c r="W15" s="22">
        <f>'[6]Dia 22 (b)'!$V21</f>
        <v>9.4060093566047041</v>
      </c>
      <c r="X15" s="22">
        <f>'[6]Dia 23 (b)'!$V21</f>
        <v>10.918259575427134</v>
      </c>
      <c r="Y15" s="22">
        <f>'[6]Dia 24 (b)'!$V21</f>
        <v>12.288558630335984</v>
      </c>
      <c r="Z15" s="22">
        <f>'[6]Dia 25 (b)'!$V21</f>
        <v>16.019858741027612</v>
      </c>
      <c r="AA15" s="22">
        <f>'[6]Dia 26 (b)'!$V21</f>
        <v>13.505837591489572</v>
      </c>
      <c r="AB15" s="22">
        <f>'[6]Dia 27 (b)'!$V21</f>
        <v>15.44600032530728</v>
      </c>
      <c r="AC15" s="22">
        <f>'[6]Dia 28 (b)'!$V21</f>
        <v>14.216703201595475</v>
      </c>
      <c r="AD15" s="22">
        <f>'[6]Dia 29 (b)'!$V21</f>
        <v>13.95513391244693</v>
      </c>
      <c r="AE15" s="22">
        <f>'[6]Dia 30 (b)'!$V21</f>
        <v>11.048492574646016</v>
      </c>
      <c r="AF15" s="23"/>
      <c r="AG15" s="19"/>
      <c r="AI15" s="21"/>
    </row>
    <row r="16" spans="1:35" ht="15.75">
      <c r="A16" s="16">
        <v>13</v>
      </c>
      <c r="B16" s="22">
        <f>'[6]Dia 1 (b)'!$V22</f>
        <v>9.2297548172625934</v>
      </c>
      <c r="C16" s="22">
        <f>'[6]Dia 2 (b)'!$V22</f>
        <v>12.57542339658243</v>
      </c>
      <c r="D16" s="22">
        <f>'[6]Dia 3 (b)'!$V22</f>
        <v>12.698272661382155</v>
      </c>
      <c r="E16" s="22">
        <f>'[6]Dia 4 (b)'!$V22</f>
        <v>15.764302939065226</v>
      </c>
      <c r="F16" s="22">
        <f>'[6]Dia 5 (b)'!$V22</f>
        <v>13.820156694246576</v>
      </c>
      <c r="G16" s="22">
        <f>'[6]Dia 6 (b)'!$V22</f>
        <v>12.832322518018664</v>
      </c>
      <c r="H16" s="22">
        <f>'[6]Dia 7 (b)'!$V22</f>
        <v>10.275204164456227</v>
      </c>
      <c r="I16" s="22">
        <f>'[6]Dia 8 (b)'!$V22</f>
        <v>12.443006265126282</v>
      </c>
      <c r="J16" s="22">
        <f>'[6]Dia 9 (b)'!$V22</f>
        <v>12.594518816218654</v>
      </c>
      <c r="K16" s="22">
        <f>'[6]Dia 10 (b)'!$V22</f>
        <v>13.12654357598986</v>
      </c>
      <c r="L16" s="22">
        <f>'[6]Dia 11 (b)'!$V22</f>
        <v>10.821737857279443</v>
      </c>
      <c r="M16" s="22">
        <f>'[6]Dia 12 (b)'!$V22</f>
        <v>10.906445192309713</v>
      </c>
      <c r="N16" s="22">
        <f>'[6]Dia 13 (b)'!$V22</f>
        <v>8.1318080164522204</v>
      </c>
      <c r="O16" s="22">
        <f>'[6]Dia 14 (b)'!$V22</f>
        <v>9.9155379682287119</v>
      </c>
      <c r="P16" s="22">
        <f>'[6]Dia 15 (b)'!$V22</f>
        <v>12.463737161054965</v>
      </c>
      <c r="Q16" s="22">
        <f>'[6]Dia 16 (b)'!$V22</f>
        <v>11.804405072209555</v>
      </c>
      <c r="R16" s="22">
        <f>'[6]Dia 17 (b)'!$V22</f>
        <v>10.645472894535505</v>
      </c>
      <c r="S16" s="22">
        <f>'[6]Dia 18 (b)'!$V22</f>
        <v>8.331417847710485</v>
      </c>
      <c r="T16" s="22">
        <f>'[6]Dia 19 (b)'!$V22</f>
        <v>10.632633635065707</v>
      </c>
      <c r="U16" s="22">
        <f>'[6]Dia 20 (b)'!$V22</f>
        <v>4.0240743893808659</v>
      </c>
      <c r="V16" s="22">
        <f>'[6]Dia 21 (b)'!$V22</f>
        <v>8.2714908829114702</v>
      </c>
      <c r="W16" s="22">
        <f>'[6]Dia 22 (b)'!$V22</f>
        <v>8.6538615763723392</v>
      </c>
      <c r="X16" s="22">
        <f>'[6]Dia 23 (b)'!$V22</f>
        <v>11.06031889381917</v>
      </c>
      <c r="Y16" s="22">
        <f>'[6]Dia 24 (b)'!$V22</f>
        <v>11.898749951396161</v>
      </c>
      <c r="Z16" s="22">
        <f>'[6]Dia 25 (b)'!$V22</f>
        <v>16.696392740339867</v>
      </c>
      <c r="AA16" s="22">
        <f>'[6]Dia 26 (b)'!$V22</f>
        <v>13.41303530544508</v>
      </c>
      <c r="AB16" s="22">
        <f>'[6]Dia 27 (b)'!$V22</f>
        <v>15.438901383030586</v>
      </c>
      <c r="AC16" s="22">
        <f>'[6]Dia 28 (b)'!$V22</f>
        <v>12.094494180442917</v>
      </c>
      <c r="AD16" s="22">
        <f>'[6]Dia 29 (b)'!$V22</f>
        <v>15.464918119945175</v>
      </c>
      <c r="AE16" s="22">
        <f>'[6]Dia 30 (b)'!$V22</f>
        <v>10.524096600416014</v>
      </c>
      <c r="AF16" s="23"/>
      <c r="AG16" s="19"/>
      <c r="AI16" s="21"/>
    </row>
    <row r="17" spans="1:35" ht="15.75">
      <c r="A17" s="16">
        <v>14</v>
      </c>
      <c r="B17" s="22">
        <f>'[6]Dia 1 (b)'!$V23</f>
        <v>9.3259657427306291</v>
      </c>
      <c r="C17" s="22">
        <f>'[6]Dia 2 (b)'!$V23</f>
        <v>11.127547553913997</v>
      </c>
      <c r="D17" s="22">
        <f>'[6]Dia 3 (b)'!$V23</f>
        <v>11.789303114681566</v>
      </c>
      <c r="E17" s="22">
        <f>'[6]Dia 4 (b)'!$V23</f>
        <v>14.625478369176305</v>
      </c>
      <c r="F17" s="22">
        <f>'[6]Dia 5 (b)'!$V23</f>
        <v>12.904428371491528</v>
      </c>
      <c r="G17" s="22">
        <f>'[6]Dia 6 (b)'!$V23</f>
        <v>10.581165341021189</v>
      </c>
      <c r="H17" s="22">
        <f>'[6]Dia 7 (b)'!$V23</f>
        <v>8.6538881672734718</v>
      </c>
      <c r="I17" s="22">
        <f>'[6]Dia 8 (b)'!$V23</f>
        <v>11.649507886800082</v>
      </c>
      <c r="J17" s="22">
        <f>'[6]Dia 9 (b)'!$V23</f>
        <v>13.062140918506346</v>
      </c>
      <c r="K17" s="22">
        <f>'[6]Dia 10 (b)'!$V23</f>
        <v>12.013408410728253</v>
      </c>
      <c r="L17" s="22">
        <f>'[6]Dia 11 (b)'!$V23</f>
        <v>11.516077198154804</v>
      </c>
      <c r="M17" s="22">
        <f>'[6]Dia 12 (b)'!$V23</f>
        <v>9.516454217642357</v>
      </c>
      <c r="N17" s="22">
        <f>'[6]Dia 13 (b)'!$V23</f>
        <v>7.2330364828460034</v>
      </c>
      <c r="O17" s="22">
        <f>'[6]Dia 14 (b)'!$V23</f>
        <v>9.0149696741669043</v>
      </c>
      <c r="P17" s="22">
        <f>'[6]Dia 15 (b)'!$V23</f>
        <v>11.734251094152846</v>
      </c>
      <c r="Q17" s="22">
        <f>'[6]Dia 16 (b)'!$V23</f>
        <v>9.9701678865972934</v>
      </c>
      <c r="R17" s="22">
        <f>'[6]Dia 17 (b)'!$V23</f>
        <v>11.413827936450565</v>
      </c>
      <c r="S17" s="22">
        <f>'[6]Dia 18 (b)'!$V23</f>
        <v>9.0483023039328607</v>
      </c>
      <c r="T17" s="22">
        <f>'[6]Dia 19 (b)'!$V23</f>
        <v>9.380213867016721</v>
      </c>
      <c r="U17" s="22">
        <f>'[6]Dia 20 (b)'!$V23</f>
        <v>2.6988264558291823</v>
      </c>
      <c r="V17" s="22">
        <f>'[6]Dia 21 (b)'!$V23</f>
        <v>6.0591656961501714</v>
      </c>
      <c r="W17" s="22">
        <f>'[6]Dia 22 (b)'!$V23</f>
        <v>9.1070277107356894</v>
      </c>
      <c r="X17" s="22">
        <f>'[6]Dia 23 (b)'!$V23</f>
        <v>10.994557357534271</v>
      </c>
      <c r="Y17" s="22">
        <f>'[6]Dia 24 (b)'!$V23</f>
        <v>10.932373733537261</v>
      </c>
      <c r="Z17" s="22">
        <f>'[6]Dia 25 (b)'!$V23</f>
        <v>16.696547280410019</v>
      </c>
      <c r="AA17" s="22">
        <f>'[6]Dia 26 (b)'!$V23</f>
        <v>12.643072887436112</v>
      </c>
      <c r="AB17" s="22">
        <f>'[6]Dia 27 (b)'!$V23</f>
        <v>16.264329199888646</v>
      </c>
      <c r="AC17" s="22">
        <f>'[6]Dia 28 (b)'!$V23</f>
        <v>11.82987248757809</v>
      </c>
      <c r="AD17" s="22">
        <f>'[6]Dia 29 (b)'!$V23</f>
        <v>14.834628967403683</v>
      </c>
      <c r="AE17" s="22">
        <f>'[6]Dia 30 (b)'!$V23</f>
        <v>10.356761389273988</v>
      </c>
      <c r="AF17" s="23"/>
      <c r="AG17" s="19"/>
      <c r="AI17" s="21"/>
    </row>
    <row r="18" spans="1:35" ht="15.75">
      <c r="A18" s="16">
        <v>15</v>
      </c>
      <c r="B18" s="22">
        <f>'[6]Dia 1 (b)'!$V24</f>
        <v>9.2117778953422977</v>
      </c>
      <c r="C18" s="22">
        <f>'[6]Dia 2 (b)'!$V24</f>
        <v>10.007486917315545</v>
      </c>
      <c r="D18" s="22">
        <f>'[6]Dia 3 (b)'!$V24</f>
        <v>13.45758903289671</v>
      </c>
      <c r="E18" s="22">
        <f>'[6]Dia 4 (b)'!$V24</f>
        <v>14.382368396739762</v>
      </c>
      <c r="F18" s="22">
        <f>'[6]Dia 5 (b)'!$V24</f>
        <v>12.58733107425536</v>
      </c>
      <c r="G18" s="22">
        <f>'[6]Dia 6 (b)'!$V24</f>
        <v>10.564414128714773</v>
      </c>
      <c r="H18" s="22">
        <f>'[6]Dia 7 (b)'!$V24</f>
        <v>8.9487229745295895</v>
      </c>
      <c r="I18" s="22">
        <f>'[6]Dia 8 (b)'!$V24</f>
        <v>11.035915167843116</v>
      </c>
      <c r="J18" s="22">
        <f>'[6]Dia 9 (b)'!$V24</f>
        <v>12.216068543457824</v>
      </c>
      <c r="K18" s="22">
        <f>'[6]Dia 10 (b)'!$V24</f>
        <v>12.490110586467624</v>
      </c>
      <c r="L18" s="22">
        <f>'[6]Dia 11 (b)'!$V24</f>
        <v>15.727099659004413</v>
      </c>
      <c r="M18" s="22">
        <f>'[6]Dia 12 (b)'!$V24</f>
        <v>8.6851516365040169</v>
      </c>
      <c r="N18" s="22">
        <f>'[6]Dia 13 (b)'!$V24</f>
        <v>6.9557909269088691</v>
      </c>
      <c r="O18" s="22">
        <f>'[6]Dia 14 (b)'!$V24</f>
        <v>10.692240909478715</v>
      </c>
      <c r="P18" s="22">
        <f>'[6]Dia 15 (b)'!$V24</f>
        <v>10.6829635189169</v>
      </c>
      <c r="Q18" s="22">
        <f>'[6]Dia 16 (b)'!$V24</f>
        <v>10.848936464344625</v>
      </c>
      <c r="R18" s="22">
        <f>'[6]Dia 17 (b)'!$V24</f>
        <v>11.27728878244819</v>
      </c>
      <c r="S18" s="22">
        <f>'[6]Dia 18 (b)'!$V24</f>
        <v>7.5872168742236639</v>
      </c>
      <c r="T18" s="22">
        <f>'[6]Dia 19 (b)'!$V24</f>
        <v>8.3931898005539036</v>
      </c>
      <c r="U18" s="22">
        <f>'[6]Dia 20 (b)'!$V24</f>
        <v>1.814196805826247</v>
      </c>
      <c r="V18" s="22">
        <f>'[6]Dia 21 (b)'!$V24</f>
        <v>5.3198103954651055</v>
      </c>
      <c r="W18" s="22">
        <f>'[6]Dia 22 (b)'!$V24</f>
        <v>8.7223385167735934</v>
      </c>
      <c r="X18" s="22">
        <f>'[6]Dia 23 (b)'!$V24</f>
        <v>10.500201249042778</v>
      </c>
      <c r="Y18" s="22">
        <f>'[6]Dia 24 (b)'!$V24</f>
        <v>11.078240162547694</v>
      </c>
      <c r="Z18" s="22">
        <f>'[6]Dia 25 (b)'!$V24</f>
        <v>16.748049601393141</v>
      </c>
      <c r="AA18" s="22">
        <f>'[6]Dia 26 (b)'!$V24</f>
        <v>12.702908941962924</v>
      </c>
      <c r="AB18" s="22">
        <f>'[6]Dia 27 (b)'!$V24</f>
        <v>15.739488146291198</v>
      </c>
      <c r="AC18" s="22">
        <f>'[6]Dia 28 (b)'!$V24</f>
        <v>10.815988737394717</v>
      </c>
      <c r="AD18" s="22">
        <f>'[6]Dia 29 (b)'!$V24</f>
        <v>15.924680854553545</v>
      </c>
      <c r="AE18" s="22">
        <f>'[6]Dia 30 (b)'!$V24</f>
        <v>10.179625334063729</v>
      </c>
      <c r="AF18" s="23"/>
      <c r="AG18" s="19"/>
      <c r="AI18" s="21"/>
    </row>
    <row r="19" spans="1:35" ht="15.75">
      <c r="A19" s="16">
        <v>16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8"/>
      <c r="AG19" s="19"/>
      <c r="AI19" s="21"/>
    </row>
    <row r="20" spans="1:35" ht="15.75">
      <c r="A20" s="16">
        <v>17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8"/>
      <c r="AG20" s="19"/>
      <c r="AI20" s="21"/>
    </row>
    <row r="21" spans="1:35" ht="15.75">
      <c r="A21" s="16">
        <v>18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8"/>
      <c r="AG21" s="19"/>
      <c r="AI21" s="21"/>
    </row>
    <row r="22" spans="1:35" ht="15.75">
      <c r="A22" s="16">
        <v>19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8"/>
      <c r="AG22" s="19"/>
      <c r="AI22" s="21"/>
    </row>
    <row r="23" spans="1:35" ht="15.75">
      <c r="A23" s="16">
        <v>20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8"/>
      <c r="AG23" s="19"/>
      <c r="AI23" s="21"/>
    </row>
    <row r="24" spans="1:35" ht="15.75">
      <c r="A24" s="16">
        <v>21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8"/>
      <c r="AG24" s="19"/>
      <c r="AI24" s="21"/>
    </row>
    <row r="25" spans="1:35" ht="15.75">
      <c r="A25" s="16">
        <v>22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8"/>
      <c r="AG25" s="19"/>
      <c r="AI25" s="21"/>
    </row>
    <row r="26" spans="1:35" ht="15.75">
      <c r="A26" s="16">
        <v>23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8"/>
      <c r="AG26" s="19"/>
      <c r="AI26" s="21"/>
    </row>
    <row r="27" spans="1:35" ht="16.5" thickBot="1">
      <c r="A27" s="16">
        <v>24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8"/>
      <c r="AG27" s="19"/>
      <c r="AI27" s="21"/>
    </row>
    <row r="28" spans="1:35" ht="15.75" thickTop="1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6"/>
      <c r="AG28" s="19"/>
      <c r="AI28" s="21"/>
    </row>
    <row r="29" spans="1:35" ht="15">
      <c r="A29" s="27"/>
      <c r="B29" s="28" t="s">
        <v>5</v>
      </c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30"/>
      <c r="AG29" s="19"/>
      <c r="AI29" s="21"/>
    </row>
    <row r="30" spans="1:35" ht="15.75">
      <c r="A30" s="31" t="s">
        <v>6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0"/>
      <c r="AH30"/>
    </row>
    <row r="31" spans="1:35" ht="15.75">
      <c r="A31" s="31" t="s">
        <v>7</v>
      </c>
      <c r="B31" s="33">
        <f>AVERAGE(B4:B27)</f>
        <v>10.597689913263409</v>
      </c>
      <c r="C31" s="33">
        <f t="shared" ref="C31:AE31" si="0">AVERAGE(C4:C27)</f>
        <v>11.818700294793567</v>
      </c>
      <c r="D31" s="33">
        <f t="shared" si="0"/>
        <v>13.465639029169465</v>
      </c>
      <c r="E31" s="33">
        <f t="shared" si="0"/>
        <v>15.140465109498599</v>
      </c>
      <c r="F31" s="33">
        <f t="shared" si="0"/>
        <v>14.065550864266585</v>
      </c>
      <c r="G31" s="33">
        <f t="shared" si="0"/>
        <v>13.454666895504282</v>
      </c>
      <c r="H31" s="33">
        <f t="shared" si="0"/>
        <v>12.710637552110128</v>
      </c>
      <c r="I31" s="33">
        <f t="shared" si="0"/>
        <v>12.696127472491382</v>
      </c>
      <c r="J31" s="33">
        <f t="shared" si="0"/>
        <v>13.705886408480731</v>
      </c>
      <c r="K31" s="33">
        <f t="shared" si="0"/>
        <v>12.950661688800231</v>
      </c>
      <c r="L31" s="33">
        <f t="shared" si="0"/>
        <v>13.659343690710394</v>
      </c>
      <c r="M31" s="33">
        <f t="shared" si="0"/>
        <v>12.09318318464685</v>
      </c>
      <c r="N31" s="33">
        <f t="shared" si="0"/>
        <v>10.521240253682381</v>
      </c>
      <c r="O31" s="33">
        <f t="shared" si="0"/>
        <v>9.7053919812423946</v>
      </c>
      <c r="P31" s="33">
        <f>AVERAGE(P4:P27)</f>
        <v>12.863742617738914</v>
      </c>
      <c r="Q31" s="33">
        <f t="shared" si="0"/>
        <v>13.102944824156253</v>
      </c>
      <c r="R31" s="33">
        <f t="shared" si="0"/>
        <v>11.618549523235419</v>
      </c>
      <c r="S31" s="33">
        <f t="shared" si="0"/>
        <v>9.1288934375156678</v>
      </c>
      <c r="T31" s="33">
        <f t="shared" si="0"/>
        <v>10.094562701397088</v>
      </c>
      <c r="U31" s="33">
        <f t="shared" si="0"/>
        <v>7.5770927361631824</v>
      </c>
      <c r="V31" s="33">
        <f t="shared" si="0"/>
        <v>8.8102909947708916</v>
      </c>
      <c r="W31" s="33">
        <f t="shared" si="0"/>
        <v>10.299860174889112</v>
      </c>
      <c r="X31" s="33">
        <f t="shared" si="0"/>
        <v>11.684697017617545</v>
      </c>
      <c r="Y31" s="33">
        <f t="shared" si="0"/>
        <v>12.244182821585001</v>
      </c>
      <c r="Z31" s="33">
        <f t="shared" si="0"/>
        <v>16.465509371985096</v>
      </c>
      <c r="AA31" s="33">
        <f t="shared" si="0"/>
        <v>14.304350184844841</v>
      </c>
      <c r="AB31" s="33">
        <f t="shared" si="0"/>
        <v>15.984160721539244</v>
      </c>
      <c r="AC31" s="33">
        <f t="shared" si="0"/>
        <v>13.577313705567029</v>
      </c>
      <c r="AD31" s="33">
        <f t="shared" si="0"/>
        <v>14.917081861397296</v>
      </c>
      <c r="AE31" s="33">
        <f t="shared" si="0"/>
        <v>10.86521481594848</v>
      </c>
      <c r="AF31" s="34"/>
      <c r="AH31"/>
    </row>
    <row r="32" spans="1:35" ht="15">
      <c r="A32" s="35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7"/>
      <c r="AH32"/>
    </row>
    <row r="33" spans="1:34" ht="15">
      <c r="A33" s="35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7"/>
      <c r="AH33"/>
    </row>
    <row r="34" spans="1:34" ht="15.75">
      <c r="A34" s="31" t="s">
        <v>8</v>
      </c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7"/>
      <c r="AH34"/>
    </row>
    <row r="35" spans="1:34" ht="15.75">
      <c r="A35" s="31" t="s">
        <v>7</v>
      </c>
      <c r="B35" s="33">
        <f>MAX(B4:B27)</f>
        <v>11.765705672617891</v>
      </c>
      <c r="C35" s="33">
        <f t="shared" ref="C35:AE35" si="1">MAX(C4:C27)</f>
        <v>12.854854322675131</v>
      </c>
      <c r="D35" s="33">
        <f t="shared" si="1"/>
        <v>14.235630555607431</v>
      </c>
      <c r="E35" s="33">
        <f t="shared" si="1"/>
        <v>15.764302939065226</v>
      </c>
      <c r="F35" s="33">
        <f t="shared" si="1"/>
        <v>14.774138411240168</v>
      </c>
      <c r="G35" s="33">
        <f t="shared" si="1"/>
        <v>15.060747697575232</v>
      </c>
      <c r="H35" s="33">
        <f t="shared" si="1"/>
        <v>15.805833559432275</v>
      </c>
      <c r="I35" s="33">
        <f t="shared" si="1"/>
        <v>14.404877813084031</v>
      </c>
      <c r="J35" s="33">
        <f t="shared" si="1"/>
        <v>15.144913750388158</v>
      </c>
      <c r="K35" s="33">
        <f t="shared" si="1"/>
        <v>14.016177167841608</v>
      </c>
      <c r="L35" s="33">
        <f t="shared" si="1"/>
        <v>15.727099659004413</v>
      </c>
      <c r="M35" s="33">
        <f t="shared" si="1"/>
        <v>14.442700604481068</v>
      </c>
      <c r="N35" s="33">
        <f t="shared" si="1"/>
        <v>13.709688538478403</v>
      </c>
      <c r="O35" s="33">
        <f t="shared" si="1"/>
        <v>10.692240909478715</v>
      </c>
      <c r="P35" s="33">
        <f>MAX(P4:P27)</f>
        <v>14.147215666243877</v>
      </c>
      <c r="Q35" s="33">
        <f t="shared" si="1"/>
        <v>16.191449376822739</v>
      </c>
      <c r="R35" s="33">
        <f t="shared" si="1"/>
        <v>12.86527965664636</v>
      </c>
      <c r="S35" s="33">
        <f t="shared" si="1"/>
        <v>10.903806849139798</v>
      </c>
      <c r="T35" s="33">
        <f t="shared" si="1"/>
        <v>11.649013107468797</v>
      </c>
      <c r="U35" s="33">
        <f t="shared" si="1"/>
        <v>13.06896088400608</v>
      </c>
      <c r="V35" s="33">
        <f t="shared" si="1"/>
        <v>10.595256161281572</v>
      </c>
      <c r="W35" s="33">
        <f t="shared" si="1"/>
        <v>11.867288468353618</v>
      </c>
      <c r="X35" s="33">
        <f t="shared" si="1"/>
        <v>14.037133263175654</v>
      </c>
      <c r="Y35" s="33">
        <f t="shared" si="1"/>
        <v>14.81208939878338</v>
      </c>
      <c r="Z35" s="33">
        <f t="shared" si="1"/>
        <v>16.849725459420874</v>
      </c>
      <c r="AA35" s="33">
        <f t="shared" si="1"/>
        <v>15.665273964970028</v>
      </c>
      <c r="AB35" s="33">
        <f t="shared" si="1"/>
        <v>16.493871508388757</v>
      </c>
      <c r="AC35" s="33">
        <f t="shared" si="1"/>
        <v>15.760954869076819</v>
      </c>
      <c r="AD35" s="33">
        <f t="shared" si="1"/>
        <v>15.924680854553545</v>
      </c>
      <c r="AE35" s="33">
        <f t="shared" si="1"/>
        <v>11.464438710750938</v>
      </c>
      <c r="AF35" s="34"/>
      <c r="AH35"/>
    </row>
    <row r="36" spans="1:34" ht="15">
      <c r="A36" s="35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7"/>
      <c r="AH36"/>
    </row>
    <row r="37" spans="1:34" ht="15">
      <c r="A37" s="35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7"/>
      <c r="AH37"/>
    </row>
    <row r="38" spans="1:34" ht="15.75">
      <c r="A38" s="31" t="s">
        <v>9</v>
      </c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7"/>
      <c r="AH38"/>
    </row>
    <row r="39" spans="1:34" ht="15.75">
      <c r="A39" s="31" t="s">
        <v>7</v>
      </c>
      <c r="B39" s="33">
        <f>MIN(B4:B27)</f>
        <v>9.2117778953422977</v>
      </c>
      <c r="C39" s="33">
        <f t="shared" ref="C39:AE39" si="2">MIN(C4:C27)</f>
        <v>10.007486917315545</v>
      </c>
      <c r="D39" s="33">
        <f t="shared" si="2"/>
        <v>11.789303114681566</v>
      </c>
      <c r="E39" s="33">
        <f t="shared" si="2"/>
        <v>14.382368396739762</v>
      </c>
      <c r="F39" s="33">
        <f t="shared" si="2"/>
        <v>12.58733107425536</v>
      </c>
      <c r="G39" s="33">
        <f t="shared" si="2"/>
        <v>10.564414128714773</v>
      </c>
      <c r="H39" s="33">
        <f t="shared" si="2"/>
        <v>8.6538881672734718</v>
      </c>
      <c r="I39" s="33">
        <f t="shared" si="2"/>
        <v>11.035915167843116</v>
      </c>
      <c r="J39" s="33">
        <f t="shared" si="2"/>
        <v>12.216068543457824</v>
      </c>
      <c r="K39" s="33">
        <f t="shared" si="2"/>
        <v>12.013408410728253</v>
      </c>
      <c r="L39" s="33">
        <f t="shared" si="2"/>
        <v>10.821737857279443</v>
      </c>
      <c r="M39" s="33">
        <f t="shared" si="2"/>
        <v>8.6851516365040169</v>
      </c>
      <c r="N39" s="33">
        <f t="shared" si="2"/>
        <v>6.9557909269088691</v>
      </c>
      <c r="O39" s="33">
        <f t="shared" si="2"/>
        <v>8.5814119797233115</v>
      </c>
      <c r="P39" s="33">
        <f>MIN(P4:P27)</f>
        <v>10.6829635189169</v>
      </c>
      <c r="Q39" s="33">
        <f t="shared" si="2"/>
        <v>9.9701678865972934</v>
      </c>
      <c r="R39" s="33">
        <f t="shared" si="2"/>
        <v>10.645472894535505</v>
      </c>
      <c r="S39" s="33">
        <f t="shared" si="2"/>
        <v>7.5872168742236639</v>
      </c>
      <c r="T39" s="33">
        <f t="shared" si="2"/>
        <v>8.3931898005539036</v>
      </c>
      <c r="U39" s="33">
        <f t="shared" si="2"/>
        <v>1.814196805826247</v>
      </c>
      <c r="V39" s="33">
        <f t="shared" si="2"/>
        <v>5.3198103954651055</v>
      </c>
      <c r="W39" s="33">
        <f t="shared" si="2"/>
        <v>8.6538615763723392</v>
      </c>
      <c r="X39" s="33">
        <f t="shared" si="2"/>
        <v>10.500201249042778</v>
      </c>
      <c r="Y39" s="33">
        <f t="shared" si="2"/>
        <v>10.932373733537261</v>
      </c>
      <c r="Z39" s="33">
        <f t="shared" si="2"/>
        <v>15.920390901815736</v>
      </c>
      <c r="AA39" s="33">
        <f t="shared" si="2"/>
        <v>12.643072887436112</v>
      </c>
      <c r="AB39" s="33">
        <f t="shared" si="2"/>
        <v>15.438901383030586</v>
      </c>
      <c r="AC39" s="33">
        <f t="shared" si="2"/>
        <v>10.815988737394717</v>
      </c>
      <c r="AD39" s="33">
        <f t="shared" si="2"/>
        <v>13.923187055647617</v>
      </c>
      <c r="AE39" s="33">
        <f t="shared" si="2"/>
        <v>10.179625334063729</v>
      </c>
      <c r="AF39" s="34"/>
      <c r="AH39"/>
    </row>
    <row r="40" spans="1:34" ht="15">
      <c r="A40" s="35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38"/>
      <c r="AH40"/>
    </row>
    <row r="41" spans="1:34" ht="15">
      <c r="A41" s="35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38"/>
      <c r="AH41"/>
    </row>
    <row r="42" spans="1:34" ht="15.75">
      <c r="A42" s="31" t="s">
        <v>10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38"/>
      <c r="AH42"/>
    </row>
    <row r="43" spans="1:34" ht="15.75">
      <c r="A43" s="31" t="s">
        <v>7</v>
      </c>
      <c r="B43" s="39">
        <f>B35-B39</f>
        <v>2.5539277772755931</v>
      </c>
      <c r="C43" s="39">
        <f t="shared" ref="C43:AE43" si="3">C35-C39</f>
        <v>2.8473674053595861</v>
      </c>
      <c r="D43" s="39">
        <f t="shared" si="3"/>
        <v>2.4463274409258648</v>
      </c>
      <c r="E43" s="39">
        <f t="shared" si="3"/>
        <v>1.3819345423254639</v>
      </c>
      <c r="F43" s="39">
        <f t="shared" si="3"/>
        <v>2.186807336984808</v>
      </c>
      <c r="G43" s="39">
        <f t="shared" si="3"/>
        <v>4.4963335688604591</v>
      </c>
      <c r="H43" s="39">
        <f t="shared" si="3"/>
        <v>7.1519453921588028</v>
      </c>
      <c r="I43" s="39">
        <f t="shared" si="3"/>
        <v>3.3689626452409147</v>
      </c>
      <c r="J43" s="39">
        <f t="shared" si="3"/>
        <v>2.9288452069303332</v>
      </c>
      <c r="K43" s="39">
        <f t="shared" si="3"/>
        <v>2.0027687571133548</v>
      </c>
      <c r="L43" s="39">
        <f t="shared" si="3"/>
        <v>4.9053618017249701</v>
      </c>
      <c r="M43" s="39">
        <f t="shared" si="3"/>
        <v>5.7575489679770513</v>
      </c>
      <c r="N43" s="39">
        <f t="shared" si="3"/>
        <v>6.7538976115695339</v>
      </c>
      <c r="O43" s="39">
        <f t="shared" si="3"/>
        <v>2.110828929755403</v>
      </c>
      <c r="P43" s="39">
        <f>P35-P39</f>
        <v>3.4642521473269774</v>
      </c>
      <c r="Q43" s="39">
        <f t="shared" si="3"/>
        <v>6.2212814902254454</v>
      </c>
      <c r="R43" s="39">
        <f t="shared" si="3"/>
        <v>2.2198067621108546</v>
      </c>
      <c r="S43" s="39">
        <f t="shared" si="3"/>
        <v>3.3165899749161341</v>
      </c>
      <c r="T43" s="39">
        <f t="shared" si="3"/>
        <v>3.255823306914893</v>
      </c>
      <c r="U43" s="39">
        <f t="shared" si="3"/>
        <v>11.254764078179832</v>
      </c>
      <c r="V43" s="39">
        <f t="shared" si="3"/>
        <v>5.2754457658164666</v>
      </c>
      <c r="W43" s="39">
        <f t="shared" si="3"/>
        <v>3.2134268919812783</v>
      </c>
      <c r="X43" s="39">
        <f t="shared" si="3"/>
        <v>3.5369320141328764</v>
      </c>
      <c r="Y43" s="39">
        <f t="shared" si="3"/>
        <v>3.8797156652461187</v>
      </c>
      <c r="Z43" s="39">
        <f t="shared" si="3"/>
        <v>0.92933455760513795</v>
      </c>
      <c r="AA43" s="39">
        <f t="shared" si="3"/>
        <v>3.0222010775339161</v>
      </c>
      <c r="AB43" s="39">
        <f t="shared" si="3"/>
        <v>1.0549701253581709</v>
      </c>
      <c r="AC43" s="39">
        <f t="shared" si="3"/>
        <v>4.9449661316821025</v>
      </c>
      <c r="AD43" s="39">
        <f t="shared" si="3"/>
        <v>2.001493798905928</v>
      </c>
      <c r="AE43" s="39">
        <f t="shared" si="3"/>
        <v>1.2848133766872092</v>
      </c>
      <c r="AF43" s="34"/>
      <c r="AH43"/>
    </row>
    <row r="44" spans="1:34">
      <c r="A44" s="27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38"/>
      <c r="AH44"/>
    </row>
    <row r="45" spans="1:34">
      <c r="A45" s="27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38"/>
      <c r="AH45"/>
    </row>
    <row r="46" spans="1:34" ht="15.75">
      <c r="A46" s="27"/>
      <c r="B46" s="1"/>
      <c r="C46" s="1"/>
      <c r="D46" s="1"/>
      <c r="E46" s="1"/>
      <c r="F46" s="1"/>
      <c r="G46" s="1"/>
      <c r="H46" s="1"/>
      <c r="I46" s="40" t="s">
        <v>6</v>
      </c>
      <c r="J46" s="41"/>
      <c r="K46" s="41"/>
      <c r="L46" s="42" t="s">
        <v>8</v>
      </c>
      <c r="M46" s="43"/>
      <c r="N46" s="43"/>
      <c r="O46" s="42" t="s">
        <v>9</v>
      </c>
      <c r="P46" s="43"/>
      <c r="Q46" s="43"/>
      <c r="R46" s="42" t="s">
        <v>10</v>
      </c>
      <c r="S46" s="44"/>
      <c r="T46" s="41"/>
      <c r="U46" s="43" t="s">
        <v>6</v>
      </c>
      <c r="V46" s="43"/>
      <c r="W46" s="43" t="s">
        <v>6</v>
      </c>
      <c r="X46" s="43"/>
      <c r="Y46" s="43" t="s">
        <v>11</v>
      </c>
      <c r="Z46" s="43"/>
      <c r="AA46" s="1"/>
      <c r="AB46" s="1"/>
      <c r="AC46" s="1"/>
      <c r="AD46" s="1"/>
      <c r="AE46" s="1"/>
      <c r="AF46" s="38"/>
      <c r="AH46"/>
    </row>
    <row r="47" spans="1:34" ht="15.75">
      <c r="A47" s="27"/>
      <c r="B47" s="1"/>
      <c r="C47" s="1"/>
      <c r="D47" s="1"/>
      <c r="E47" s="1"/>
      <c r="F47" s="1"/>
      <c r="G47" s="1"/>
      <c r="H47" s="1"/>
      <c r="I47" s="45" t="s">
        <v>12</v>
      </c>
      <c r="J47" s="41"/>
      <c r="K47" s="41"/>
      <c r="L47" s="43" t="s">
        <v>12</v>
      </c>
      <c r="M47" s="43"/>
      <c r="N47" s="43"/>
      <c r="O47" s="43" t="s">
        <v>12</v>
      </c>
      <c r="P47" s="43"/>
      <c r="Q47" s="43"/>
      <c r="R47" s="43" t="s">
        <v>12</v>
      </c>
      <c r="S47" s="44"/>
      <c r="T47" s="41"/>
      <c r="U47" s="43" t="s">
        <v>13</v>
      </c>
      <c r="V47" s="43"/>
      <c r="W47" s="43" t="s">
        <v>14</v>
      </c>
      <c r="X47" s="43"/>
      <c r="Y47" s="43" t="s">
        <v>15</v>
      </c>
      <c r="Z47" s="43"/>
      <c r="AA47" s="1"/>
      <c r="AB47" s="1"/>
      <c r="AC47" s="1"/>
      <c r="AD47" s="1"/>
      <c r="AE47" s="1"/>
      <c r="AF47" s="38"/>
      <c r="AH47"/>
    </row>
    <row r="48" spans="1:34" ht="15">
      <c r="A48" s="27"/>
      <c r="B48" s="1"/>
      <c r="C48" s="1"/>
      <c r="D48" s="1"/>
      <c r="E48" s="1"/>
      <c r="F48" s="1"/>
      <c r="G48" s="1"/>
      <c r="H48" s="1"/>
      <c r="I48" s="29"/>
      <c r="J48" s="1"/>
      <c r="K48" s="1"/>
      <c r="L48" s="36"/>
      <c r="M48" s="36"/>
      <c r="N48" s="36"/>
      <c r="O48" s="36"/>
      <c r="P48" s="36"/>
      <c r="Q48" s="36"/>
      <c r="R48" s="36"/>
      <c r="S48" s="36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38"/>
      <c r="AH48"/>
    </row>
    <row r="49" spans="1:35" s="52" customFormat="1" ht="15.75" thickBot="1">
      <c r="A49" s="46"/>
      <c r="B49" s="47"/>
      <c r="C49" s="47"/>
      <c r="D49" s="47"/>
      <c r="E49" s="47"/>
      <c r="F49" s="47"/>
      <c r="G49" s="47"/>
      <c r="H49" s="47"/>
      <c r="I49" s="48">
        <f>AVERAGE(B31:AF31)</f>
        <v>12.33745439496705</v>
      </c>
      <c r="J49" s="47"/>
      <c r="K49" s="47"/>
      <c r="L49" s="48">
        <f>MAX(B35:AF35)</f>
        <v>16.849725459420874</v>
      </c>
      <c r="M49" s="49"/>
      <c r="N49" s="49"/>
      <c r="O49" s="48">
        <f>MIN(B39:AF39)</f>
        <v>1.814196805826247</v>
      </c>
      <c r="P49" s="49"/>
      <c r="Q49" s="49"/>
      <c r="R49" s="48">
        <f>L49-O49</f>
        <v>15.035528653594627</v>
      </c>
      <c r="S49" s="49"/>
      <c r="T49" s="47"/>
      <c r="U49" s="48">
        <f>AVERAGE(B35:AF35)</f>
        <v>14.023178326668418</v>
      </c>
      <c r="V49" s="50"/>
      <c r="W49" s="48">
        <f>AVERAGE(B39:AF39)</f>
        <v>10.364222508374239</v>
      </c>
      <c r="X49" s="50"/>
      <c r="Y49" s="48">
        <f>U49-W49</f>
        <v>3.6589558182941797</v>
      </c>
      <c r="Z49" s="47"/>
      <c r="AA49" s="47"/>
      <c r="AB49" s="47"/>
      <c r="AC49" s="47"/>
      <c r="AD49" s="47"/>
      <c r="AE49" s="47"/>
      <c r="AF49" s="51"/>
    </row>
    <row r="50" spans="1:35" ht="13.5" thickTop="1">
      <c r="AI50" s="53"/>
    </row>
  </sheetData>
  <pageMargins left="0.78740157499999996" right="0.78740157499999996" top="0.984251969" bottom="0.984251969" header="0.49212598499999999" footer="0.49212598499999999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AI50"/>
  <sheetViews>
    <sheetView zoomScale="75" zoomScaleNormal="75" workbookViewId="0">
      <selection activeCell="E23" sqref="E23"/>
    </sheetView>
  </sheetViews>
  <sheetFormatPr defaultRowHeight="12.75"/>
  <cols>
    <col min="2" max="32" width="9.140625" customWidth="1"/>
    <col min="33" max="33" width="9.140625" style="10"/>
    <col min="34" max="34" width="12.7109375" customWidth="1"/>
  </cols>
  <sheetData>
    <row r="1" spans="1:35" ht="18">
      <c r="A1" s="1"/>
      <c r="B1" s="2" t="s">
        <v>21</v>
      </c>
      <c r="C1" s="3"/>
      <c r="D1" s="4"/>
      <c r="E1" s="5"/>
      <c r="F1" s="1"/>
      <c r="G1" s="1"/>
      <c r="H1" s="1"/>
      <c r="I1" s="1"/>
      <c r="J1" s="6"/>
      <c r="K1" s="6"/>
      <c r="L1" s="7" t="s">
        <v>1</v>
      </c>
      <c r="M1" s="8" t="s">
        <v>2</v>
      </c>
      <c r="N1" s="9" t="s">
        <v>3</v>
      </c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5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5" ht="16.5" thickBot="1">
      <c r="A3" s="11" t="s">
        <v>4</v>
      </c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2">
        <v>8</v>
      </c>
      <c r="J3" s="12">
        <v>9</v>
      </c>
      <c r="K3" s="12">
        <v>10</v>
      </c>
      <c r="L3" s="12">
        <v>11</v>
      </c>
      <c r="M3" s="12">
        <v>12</v>
      </c>
      <c r="N3" s="12">
        <v>13</v>
      </c>
      <c r="O3" s="12">
        <v>14</v>
      </c>
      <c r="P3" s="12">
        <v>15</v>
      </c>
      <c r="Q3" s="12">
        <v>16</v>
      </c>
      <c r="R3" s="12">
        <v>17</v>
      </c>
      <c r="S3" s="12">
        <v>18</v>
      </c>
      <c r="T3" s="12">
        <v>19</v>
      </c>
      <c r="U3" s="12">
        <v>20</v>
      </c>
      <c r="V3" s="12">
        <v>21</v>
      </c>
      <c r="W3" s="12">
        <v>22</v>
      </c>
      <c r="X3" s="12">
        <v>23</v>
      </c>
      <c r="Y3" s="12">
        <v>24</v>
      </c>
      <c r="Z3" s="13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5">
        <v>31</v>
      </c>
    </row>
    <row r="4" spans="1:35" ht="15.75">
      <c r="A4" s="16">
        <v>1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8"/>
      <c r="AG4" s="19"/>
      <c r="AH4" s="20"/>
      <c r="AI4" s="21"/>
    </row>
    <row r="5" spans="1:35" ht="15.75">
      <c r="A5" s="16">
        <v>2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8"/>
      <c r="AG5" s="19"/>
      <c r="AH5" s="20"/>
      <c r="AI5" s="21"/>
    </row>
    <row r="6" spans="1:35" ht="15.75">
      <c r="A6" s="16">
        <v>3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8"/>
      <c r="AG6" s="19"/>
      <c r="AH6" s="20"/>
      <c r="AI6" s="21"/>
    </row>
    <row r="7" spans="1:35" ht="15.75">
      <c r="A7" s="16">
        <v>4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8"/>
      <c r="AG7" s="19"/>
      <c r="AH7" s="20"/>
      <c r="AI7" s="21"/>
    </row>
    <row r="8" spans="1:35" ht="15.75">
      <c r="A8" s="16">
        <v>5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8"/>
      <c r="AG8" s="19"/>
      <c r="AH8" s="20"/>
      <c r="AI8" s="21"/>
    </row>
    <row r="9" spans="1:35" ht="15.75">
      <c r="A9" s="16">
        <v>6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8"/>
      <c r="AG9" s="19"/>
      <c r="AH9" s="20"/>
      <c r="AI9" s="21"/>
    </row>
    <row r="10" spans="1:35" ht="15.75">
      <c r="A10" s="16">
        <v>7</v>
      </c>
      <c r="B10" s="22">
        <f>'[7]Dia 1 (b)'!$V16</f>
        <v>10.706834319111037</v>
      </c>
      <c r="C10" s="22">
        <f>'[7]Dia 2 (b)'!$V16</f>
        <v>11.392291958599193</v>
      </c>
      <c r="D10" s="22">
        <f>'[7]Dia 3 (b)'!$V16</f>
        <v>13.377821695162815</v>
      </c>
      <c r="E10" s="22">
        <f>'[7]Dia 4 (b)'!$V16</f>
        <v>13.60160540270256</v>
      </c>
      <c r="F10" s="22">
        <f>'[7]Dia 5 (b)'!$V16</f>
        <v>13.587502703636625</v>
      </c>
      <c r="G10" s="22">
        <f>'[7]Dia 6 (b)'!$V16</f>
        <v>13.253993697946076</v>
      </c>
      <c r="H10" s="22">
        <f>'[7]Dia 7 (b)'!$V16</f>
        <v>13.478600984792815</v>
      </c>
      <c r="I10" s="22">
        <f>'[7]Dia 8 (b)'!$V16</f>
        <v>12.155643505772412</v>
      </c>
      <c r="J10" s="22">
        <f>'[7]Dia 9 (b)'!$V16</f>
        <v>11.766543726822434</v>
      </c>
      <c r="K10" s="22">
        <f>'[7]Dia 10 (b)'!$V16</f>
        <v>14.485642063280219</v>
      </c>
      <c r="L10" s="22">
        <f>'[7]Dia 11 (b)'!$V16</f>
        <v>15.739631241245393</v>
      </c>
      <c r="M10" s="22">
        <f>'[7]Dia 12 (b)'!$V16</f>
        <v>14.411650677664994</v>
      </c>
      <c r="N10" s="22">
        <f>'[7]Dia 13 (b)'!$V16</f>
        <v>12.040403059731354</v>
      </c>
      <c r="O10" s="22">
        <f>'[7]Dia 14 (b)'!$V16</f>
        <v>14.150612241401571</v>
      </c>
      <c r="P10" s="22">
        <f>'[7]Dia 15 (b)'!$V16</f>
        <v>12.137874199475677</v>
      </c>
      <c r="Q10" s="22">
        <f>'[7]Dia 16 (b)'!$V16</f>
        <v>13.137658967212865</v>
      </c>
      <c r="R10" s="22">
        <f>'[7]Dia 17 (b)'!$V16</f>
        <v>11.900019278299579</v>
      </c>
      <c r="S10" s="22">
        <f>'[7]Dia 18 (b)'!$V16</f>
        <v>11.970246092319803</v>
      </c>
      <c r="T10" s="22">
        <f>'[7]Dia 19 (b)'!$V16</f>
        <v>10.942361871072015</v>
      </c>
      <c r="U10" s="22">
        <f>'[7]Dia 20 (b)'!$V16</f>
        <v>12.30483716520575</v>
      </c>
      <c r="V10" s="22">
        <f>'[7]Dia 21 (b)'!$V16</f>
        <v>11.183145657697642</v>
      </c>
      <c r="W10" s="22">
        <f>'[7]Dia 22 (b)'!$V16</f>
        <v>10.281158669944277</v>
      </c>
      <c r="X10" s="22">
        <f>'[7]Dia 23 (b)'!$V16</f>
        <v>7.8646670042178428</v>
      </c>
      <c r="Y10" s="22">
        <f>'[7]Dia 24 (b)'!$V16</f>
        <v>8.3164877017164898</v>
      </c>
      <c r="Z10" s="22">
        <f>'[7]Dia 25 (b)'!$V16</f>
        <v>10.367454073308235</v>
      </c>
      <c r="AA10" s="22">
        <f>'[7]Dia 26 (b)'!$V16</f>
        <v>10.060783705825791</v>
      </c>
      <c r="AB10" s="22">
        <f>'[7]Dia 27 (b)'!$V16</f>
        <v>10.265222793583064</v>
      </c>
      <c r="AC10" s="22">
        <f>'[7]Dia 28 (b)'!$V16</f>
        <v>11.045557827235102</v>
      </c>
      <c r="AD10" s="22">
        <f>'[7]Dia 29 (b)'!$V16</f>
        <v>12.060602613964619</v>
      </c>
      <c r="AE10" s="22">
        <f>'[7]Dia 30 (b)'!$V16</f>
        <v>12.137759843788801</v>
      </c>
      <c r="AF10" s="23">
        <f>'[7]Dia 31 (b)'!$V16</f>
        <v>11.981227071872471</v>
      </c>
      <c r="AG10" s="19"/>
      <c r="AH10" s="20"/>
      <c r="AI10" s="21"/>
    </row>
    <row r="11" spans="1:35" ht="15.75">
      <c r="A11" s="16">
        <v>8</v>
      </c>
      <c r="B11" s="22">
        <f>'[7]Dia 1 (b)'!$V17</f>
        <v>10.907064664431159</v>
      </c>
      <c r="C11" s="22">
        <f>'[7]Dia 2 (b)'!$V17</f>
        <v>11.528742883394408</v>
      </c>
      <c r="D11" s="22">
        <f>'[7]Dia 3 (b)'!$V17</f>
        <v>13.821348521946588</v>
      </c>
      <c r="E11" s="22">
        <f>'[7]Dia 4 (b)'!$V17</f>
        <v>13.618168118931075</v>
      </c>
      <c r="F11" s="22">
        <f>'[7]Dia 5 (b)'!$V17</f>
        <v>14.244376169393496</v>
      </c>
      <c r="G11" s="22">
        <f>'[7]Dia 6 (b)'!$V17</f>
        <v>13.253443597040295</v>
      </c>
      <c r="H11" s="22">
        <f>'[7]Dia 7 (b)'!$V17</f>
        <v>13.562397109133641</v>
      </c>
      <c r="I11" s="22">
        <f>'[7]Dia 8 (b)'!$V17</f>
        <v>12.492311180222607</v>
      </c>
      <c r="J11" s="22">
        <f>'[7]Dia 9 (b)'!$V17</f>
        <v>11.768113946337817</v>
      </c>
      <c r="K11" s="22">
        <f>'[7]Dia 10 (b)'!$V17</f>
        <v>14.686898658196164</v>
      </c>
      <c r="L11" s="22">
        <f>'[7]Dia 11 (b)'!$V17</f>
        <v>15.428714842037676</v>
      </c>
      <c r="M11" s="22">
        <f>'[7]Dia 12 (b)'!$V17</f>
        <v>14.773334071010355</v>
      </c>
      <c r="N11" s="22">
        <f>'[7]Dia 13 (b)'!$V17</f>
        <v>11.802939220528023</v>
      </c>
      <c r="O11" s="22">
        <f>'[7]Dia 14 (b)'!$V17</f>
        <v>14.398449135078669</v>
      </c>
      <c r="P11" s="22">
        <f>'[7]Dia 15 (b)'!$V17</f>
        <v>12.987965740369839</v>
      </c>
      <c r="Q11" s="22">
        <f>'[7]Dia 16 (b)'!$V17</f>
        <v>13.394798985437939</v>
      </c>
      <c r="R11" s="22">
        <f>'[7]Dia 17 (b)'!$V17</f>
        <v>13.214230642840265</v>
      </c>
      <c r="S11" s="22">
        <f>'[7]Dia 18 (b)'!$V17</f>
        <v>14.571384300610143</v>
      </c>
      <c r="T11" s="22">
        <f>'[7]Dia 19 (b)'!$V17</f>
        <v>10.937038791876683</v>
      </c>
      <c r="U11" s="22">
        <f>'[7]Dia 20 (b)'!$V17</f>
        <v>12.672241843902789</v>
      </c>
      <c r="V11" s="22">
        <f>'[7]Dia 21 (b)'!$V17</f>
        <v>11.465071603718716</v>
      </c>
      <c r="W11" s="22">
        <f>'[7]Dia 22 (b)'!$V17</f>
        <v>12.96453724648846</v>
      </c>
      <c r="X11" s="22">
        <f>'[7]Dia 23 (b)'!$V17</f>
        <v>10.878885940426525</v>
      </c>
      <c r="Y11" s="22">
        <f>'[7]Dia 24 (b)'!$V17</f>
        <v>7.9495193084046845</v>
      </c>
      <c r="Z11" s="22">
        <f>'[7]Dia 25 (b)'!$V17</f>
        <v>12.031300352063077</v>
      </c>
      <c r="AA11" s="22">
        <f>'[7]Dia 26 (b)'!$V17</f>
        <v>12.309820371014569</v>
      </c>
      <c r="AB11" s="22">
        <f>'[7]Dia 27 (b)'!$V17</f>
        <v>11.991663581456205</v>
      </c>
      <c r="AC11" s="22">
        <f>'[7]Dia 28 (b)'!$V17</f>
        <v>12.0143357584311</v>
      </c>
      <c r="AD11" s="22">
        <f>'[7]Dia 29 (b)'!$V17</f>
        <v>13.718485226713565</v>
      </c>
      <c r="AE11" s="22">
        <f>'[7]Dia 30 (b)'!$V17</f>
        <v>12.506828139866954</v>
      </c>
      <c r="AF11" s="23">
        <f>'[7]Dia 31 (b)'!$V17</f>
        <v>12.249415290168296</v>
      </c>
      <c r="AG11" s="19"/>
      <c r="AH11" s="20"/>
      <c r="AI11" s="21"/>
    </row>
    <row r="12" spans="1:35" ht="15.75">
      <c r="A12" s="16">
        <v>9</v>
      </c>
      <c r="B12" s="22">
        <f>'[7]Dia 1 (b)'!$V18</f>
        <v>11.357708447326159</v>
      </c>
      <c r="C12" s="22">
        <f>'[7]Dia 2 (b)'!$V18</f>
        <v>11.578789442729088</v>
      </c>
      <c r="D12" s="22">
        <f>'[7]Dia 3 (b)'!$V18</f>
        <v>13.854953708449184</v>
      </c>
      <c r="E12" s="22">
        <f>'[7]Dia 4 (b)'!$V18</f>
        <v>13.211324078113282</v>
      </c>
      <c r="F12" s="22">
        <f>'[7]Dia 5 (b)'!$V18</f>
        <v>13.453853120921995</v>
      </c>
      <c r="G12" s="22">
        <f>'[7]Dia 6 (b)'!$V18</f>
        <v>13.153393139935478</v>
      </c>
      <c r="H12" s="22">
        <f>'[7]Dia 7 (b)'!$V18</f>
        <v>13.343500573347137</v>
      </c>
      <c r="I12" s="22">
        <f>'[7]Dia 8 (b)'!$V18</f>
        <v>12.63400699021874</v>
      </c>
      <c r="J12" s="22">
        <f>'[7]Dia 9 (b)'!$V18</f>
        <v>11.971713425773647</v>
      </c>
      <c r="K12" s="22">
        <f>'[7]Dia 10 (b)'!$V18</f>
        <v>15.740121515966806</v>
      </c>
      <c r="L12" s="22">
        <f>'[7]Dia 11 (b)'!$V18</f>
        <v>15.428441821570082</v>
      </c>
      <c r="M12" s="22">
        <f>'[7]Dia 12 (b)'!$V18</f>
        <v>15.637541168452136</v>
      </c>
      <c r="N12" s="22">
        <f>'[7]Dia 13 (b)'!$V18</f>
        <v>12.292084251422532</v>
      </c>
      <c r="O12" s="22">
        <f>'[7]Dia 14 (b)'!$V18</f>
        <v>14.728918877340975</v>
      </c>
      <c r="P12" s="22">
        <f>'[7]Dia 15 (b)'!$V18</f>
        <v>13.537133966958365</v>
      </c>
      <c r="Q12" s="22">
        <f>'[7]Dia 16 (b)'!$V18</f>
        <v>13.722491617708164</v>
      </c>
      <c r="R12" s="22">
        <f>'[7]Dia 17 (b)'!$V18</f>
        <v>13.40801252116904</v>
      </c>
      <c r="S12" s="22">
        <f>'[7]Dia 18 (b)'!$V18</f>
        <v>14.771878948715459</v>
      </c>
      <c r="T12" s="22">
        <f>'[7]Dia 19 (b)'!$V18</f>
        <v>10.826317275788902</v>
      </c>
      <c r="U12" s="22">
        <f>'[7]Dia 20 (b)'!$V18</f>
        <v>12.810047812889474</v>
      </c>
      <c r="V12" s="22">
        <f>'[7]Dia 21 (b)'!$V18</f>
        <v>11.547387213758006</v>
      </c>
      <c r="W12" s="22">
        <f>'[7]Dia 22 (b)'!$V18</f>
        <v>13.424431585913421</v>
      </c>
      <c r="X12" s="22">
        <f>'[7]Dia 23 (b)'!$V18</f>
        <v>11.266289078634729</v>
      </c>
      <c r="Y12" s="22">
        <f>'[7]Dia 24 (b)'!$V18</f>
        <v>7.4014837979569803</v>
      </c>
      <c r="Z12" s="22">
        <f>'[7]Dia 25 (b)'!$V18</f>
        <v>11.050598852135375</v>
      </c>
      <c r="AA12" s="22">
        <f>'[7]Dia 26 (b)'!$V18</f>
        <v>11.159770566766424</v>
      </c>
      <c r="AB12" s="22">
        <f>'[7]Dia 27 (b)'!$V18</f>
        <v>10.415732815825322</v>
      </c>
      <c r="AC12" s="22">
        <f>'[7]Dia 28 (b)'!$V18</f>
        <v>12.012691522576336</v>
      </c>
      <c r="AD12" s="22">
        <f>'[7]Dia 29 (b)'!$V18</f>
        <v>14.529396384577904</v>
      </c>
      <c r="AE12" s="22">
        <f>'[7]Dia 30 (b)'!$V18</f>
        <v>12.746194805451314</v>
      </c>
      <c r="AF12" s="23">
        <f>'[7]Dia 31 (b)'!$V18</f>
        <v>12.269588513768872</v>
      </c>
      <c r="AG12" s="19"/>
      <c r="AH12" s="20"/>
      <c r="AI12" s="21"/>
    </row>
    <row r="13" spans="1:35" ht="15.75">
      <c r="A13" s="16">
        <v>10</v>
      </c>
      <c r="B13" s="22">
        <f>'[7]Dia 1 (b)'!$V19</f>
        <v>11.849261775853259</v>
      </c>
      <c r="C13" s="22">
        <f>'[7]Dia 2 (b)'!$V19</f>
        <v>11.70082705859738</v>
      </c>
      <c r="D13" s="22">
        <f>'[7]Dia 3 (b)'!$V19</f>
        <v>14.251837366080393</v>
      </c>
      <c r="E13" s="22">
        <f>'[7]Dia 4 (b)'!$V19</f>
        <v>12.385761179511688</v>
      </c>
      <c r="F13" s="22">
        <f>'[7]Dia 5 (b)'!$V19</f>
        <v>11.984271071252561</v>
      </c>
      <c r="G13" s="22">
        <f>'[7]Dia 6 (b)'!$V19</f>
        <v>13.072497461567105</v>
      </c>
      <c r="H13" s="22">
        <f>'[7]Dia 7 (b)'!$V19</f>
        <v>13.676799774114905</v>
      </c>
      <c r="I13" s="22">
        <f>'[7]Dia 8 (b)'!$V19</f>
        <v>13.47843739855425</v>
      </c>
      <c r="J13" s="22">
        <f>'[7]Dia 9 (b)'!$V19</f>
        <v>12.07334925781989</v>
      </c>
      <c r="K13" s="22">
        <f>'[7]Dia 10 (b)'!$V19</f>
        <v>15.919201882553793</v>
      </c>
      <c r="L13" s="22">
        <f>'[7]Dia 11 (b)'!$V19</f>
        <v>15.829046254498259</v>
      </c>
      <c r="M13" s="22">
        <f>'[7]Dia 12 (b)'!$V19</f>
        <v>16.242677881919828</v>
      </c>
      <c r="N13" s="22">
        <f>'[7]Dia 13 (b)'!$V19</f>
        <v>12.434746611011605</v>
      </c>
      <c r="O13" s="22">
        <f>'[7]Dia 14 (b)'!$V19</f>
        <v>14.504916278523238</v>
      </c>
      <c r="P13" s="22">
        <f>'[7]Dia 15 (b)'!$V19</f>
        <v>13.759193745774665</v>
      </c>
      <c r="Q13" s="22">
        <f>'[7]Dia 16 (b)'!$V19</f>
        <v>13.503703548050677</v>
      </c>
      <c r="R13" s="22">
        <f>'[7]Dia 17 (b)'!$V19</f>
        <v>13.492300203432761</v>
      </c>
      <c r="S13" s="22">
        <f>'[7]Dia 18 (b)'!$V19</f>
        <v>13.835091165914257</v>
      </c>
      <c r="T13" s="22">
        <f>'[7]Dia 19 (b)'!$V19</f>
        <v>11.206687793607584</v>
      </c>
      <c r="U13" s="22">
        <f>'[7]Dia 20 (b)'!$V19</f>
        <v>14.570843005817045</v>
      </c>
      <c r="V13" s="22">
        <f>'[7]Dia 21 (b)'!$V19</f>
        <v>11.962035712798597</v>
      </c>
      <c r="W13" s="22">
        <f>'[7]Dia 22 (b)'!$V19</f>
        <v>11.788884507812863</v>
      </c>
      <c r="X13" s="22">
        <f>'[7]Dia 23 (b)'!$V19</f>
        <v>7.6637989290113255</v>
      </c>
      <c r="Y13" s="22">
        <f>'[7]Dia 24 (b)'!$V19</f>
        <v>6.5978267033802798</v>
      </c>
      <c r="Z13" s="22">
        <f>'[7]Dia 25 (b)'!$V19</f>
        <v>10.615079264282338</v>
      </c>
      <c r="AA13" s="22">
        <f>'[7]Dia 26 (b)'!$V19</f>
        <v>11.093520223447628</v>
      </c>
      <c r="AB13" s="22">
        <f>'[7]Dia 27 (b)'!$V19</f>
        <v>10.276049417976969</v>
      </c>
      <c r="AC13" s="22">
        <f>'[7]Dia 28 (b)'!$V19</f>
        <v>10.997313165119127</v>
      </c>
      <c r="AD13" s="22">
        <f>'[7]Dia 29 (b)'!$V19</f>
        <v>12.467444075353677</v>
      </c>
      <c r="AE13" s="22">
        <f>'[7]Dia 30 (b)'!$V19</f>
        <v>13.113130445767657</v>
      </c>
      <c r="AF13" s="23">
        <f>'[7]Dia 31 (b)'!$V19</f>
        <v>12.476103009255288</v>
      </c>
      <c r="AG13" s="19"/>
      <c r="AH13" s="20"/>
      <c r="AI13" s="21"/>
    </row>
    <row r="14" spans="1:35" ht="15.75">
      <c r="A14" s="16">
        <v>11</v>
      </c>
      <c r="B14" s="22">
        <f>'[7]Dia 1 (b)'!$V20</f>
        <v>12.004899724245075</v>
      </c>
      <c r="C14" s="22">
        <f>'[7]Dia 2 (b)'!$V20</f>
        <v>10.869792482371428</v>
      </c>
      <c r="D14" s="22">
        <f>'[7]Dia 3 (b)'!$V20</f>
        <v>13.099507345197161</v>
      </c>
      <c r="E14" s="22">
        <f>'[7]Dia 4 (b)'!$V20</f>
        <v>12.636647966198169</v>
      </c>
      <c r="F14" s="22">
        <f>'[7]Dia 5 (b)'!$V20</f>
        <v>9.1527791771112117</v>
      </c>
      <c r="G14" s="22">
        <f>'[7]Dia 6 (b)'!$V20</f>
        <v>13.103198598308738</v>
      </c>
      <c r="H14" s="22">
        <f>'[7]Dia 7 (b)'!$V20</f>
        <v>13.381534255479444</v>
      </c>
      <c r="I14" s="22">
        <f>'[7]Dia 8 (b)'!$V20</f>
        <v>13.543726632951349</v>
      </c>
      <c r="J14" s="22">
        <f>'[7]Dia 9 (b)'!$V20</f>
        <v>12.007271158722963</v>
      </c>
      <c r="K14" s="22">
        <f>'[7]Dia 10 (b)'!$V20</f>
        <v>16.300416134275903</v>
      </c>
      <c r="L14" s="22">
        <f>'[7]Dia 11 (b)'!$V20</f>
        <v>16.232932246525571</v>
      </c>
      <c r="M14" s="22">
        <f>'[7]Dia 12 (b)'!$V20</f>
        <v>16.392478251554962</v>
      </c>
      <c r="N14" s="22">
        <f>'[7]Dia 13 (b)'!$V20</f>
        <v>12.450145176465883</v>
      </c>
      <c r="O14" s="22">
        <f>'[7]Dia 14 (b)'!$V20</f>
        <v>13.774424197246042</v>
      </c>
      <c r="P14" s="22">
        <f>'[7]Dia 15 (b)'!$V20</f>
        <v>13.823032567089099</v>
      </c>
      <c r="Q14" s="22">
        <f>'[7]Dia 16 (b)'!$V20</f>
        <v>13.955353037915204</v>
      </c>
      <c r="R14" s="22">
        <f>'[7]Dia 17 (b)'!$V20</f>
        <v>12.72857529094003</v>
      </c>
      <c r="S14" s="22">
        <f>'[7]Dia 18 (b)'!$V20</f>
        <v>13.098681949004936</v>
      </c>
      <c r="T14" s="22">
        <f>'[7]Dia 19 (b)'!$V20</f>
        <v>10.327092823866124</v>
      </c>
      <c r="U14" s="22">
        <f>'[7]Dia 20 (b)'!$V20</f>
        <v>10.762342144231789</v>
      </c>
      <c r="V14" s="22">
        <f>'[7]Dia 21 (b)'!$V20</f>
        <v>11.951978463561401</v>
      </c>
      <c r="W14" s="22">
        <f>'[7]Dia 22 (b)'!$V20</f>
        <v>9.413929500868683</v>
      </c>
      <c r="X14" s="22">
        <f>'[7]Dia 23 (b)'!$V20</f>
        <v>6.0552670477598625</v>
      </c>
      <c r="Y14" s="22">
        <f>'[7]Dia 24 (b)'!$V20</f>
        <v>6.2584981109731874</v>
      </c>
      <c r="Z14" s="22">
        <f>'[7]Dia 25 (b)'!$V20</f>
        <v>9.3787689275271653</v>
      </c>
      <c r="AA14" s="22">
        <f>'[7]Dia 26 (b)'!$V20</f>
        <v>10.334053812415704</v>
      </c>
      <c r="AB14" s="22">
        <f>'[7]Dia 27 (b)'!$V20</f>
        <v>10.213983691483261</v>
      </c>
      <c r="AC14" s="22">
        <f>'[7]Dia 28 (b)'!$V20</f>
        <v>11.053568142359188</v>
      </c>
      <c r="AD14" s="22">
        <f>'[7]Dia 29 (b)'!$V20</f>
        <v>13.665175002647832</v>
      </c>
      <c r="AE14" s="22">
        <f>'[7]Dia 30 (b)'!$V20</f>
        <v>13.354575244986554</v>
      </c>
      <c r="AF14" s="23">
        <f>'[7]Dia 31 (b)'!$V20</f>
        <v>12.654337981840158</v>
      </c>
      <c r="AG14" s="19"/>
      <c r="AH14" s="20"/>
      <c r="AI14" s="21"/>
    </row>
    <row r="15" spans="1:35" ht="15.75">
      <c r="A15" s="16">
        <v>12</v>
      </c>
      <c r="B15" s="22">
        <f>'[7]Dia 1 (b)'!$V21</f>
        <v>11.562207319236382</v>
      </c>
      <c r="C15" s="22">
        <f>'[7]Dia 2 (b)'!$V21</f>
        <v>11.180352927641808</v>
      </c>
      <c r="D15" s="22">
        <f>'[7]Dia 3 (b)'!$V21</f>
        <v>12.070628590159524</v>
      </c>
      <c r="E15" s="22">
        <f>'[7]Dia 4 (b)'!$V21</f>
        <v>12.030547719374892</v>
      </c>
      <c r="F15" s="22">
        <f>'[7]Dia 5 (b)'!$V21</f>
        <v>7.4577876109811854</v>
      </c>
      <c r="G15" s="22">
        <f>'[7]Dia 6 (b)'!$V21</f>
        <v>13.195471915542171</v>
      </c>
      <c r="H15" s="22">
        <f>'[7]Dia 7 (b)'!$V21</f>
        <v>13.590929864388052</v>
      </c>
      <c r="I15" s="22">
        <f>'[7]Dia 8 (b)'!$V21</f>
        <v>14.29253935652431</v>
      </c>
      <c r="J15" s="22">
        <f>'[7]Dia 9 (b)'!$V21</f>
        <v>12.416421161342857</v>
      </c>
      <c r="K15" s="22">
        <f>'[7]Dia 10 (b)'!$V21</f>
        <v>15.544714483468038</v>
      </c>
      <c r="L15" s="22">
        <f>'[7]Dia 11 (b)'!$V21</f>
        <v>16.179365163011642</v>
      </c>
      <c r="M15" s="22">
        <f>'[7]Dia 12 (b)'!$V21</f>
        <v>15.911423316722535</v>
      </c>
      <c r="N15" s="22">
        <f>'[7]Dia 13 (b)'!$V21</f>
        <v>12.425840736441183</v>
      </c>
      <c r="O15" s="22">
        <f>'[7]Dia 14 (b)'!$V21</f>
        <v>13.337292559266929</v>
      </c>
      <c r="P15" s="22">
        <f>'[7]Dia 15 (b)'!$V21</f>
        <v>13.687425473661769</v>
      </c>
      <c r="Q15" s="22">
        <f>'[7]Dia 16 (b)'!$V21</f>
        <v>14.017280764455984</v>
      </c>
      <c r="R15" s="22">
        <f>'[7]Dia 17 (b)'!$V21</f>
        <v>13.163433974809903</v>
      </c>
      <c r="S15" s="22">
        <f>'[7]Dia 18 (b)'!$V21</f>
        <v>11.033695359255642</v>
      </c>
      <c r="T15" s="22">
        <f>'[7]Dia 19 (b)'!$V21</f>
        <v>11.206249954053316</v>
      </c>
      <c r="U15" s="22">
        <f>'[7]Dia 20 (b)'!$V21</f>
        <v>10.916026228870843</v>
      </c>
      <c r="V15" s="22">
        <f>'[7]Dia 21 (b)'!$V21</f>
        <v>12.003906780419564</v>
      </c>
      <c r="W15" s="22">
        <f>'[7]Dia 22 (b)'!$V21</f>
        <v>8.9759989761521499</v>
      </c>
      <c r="X15" s="22">
        <f>'[7]Dia 23 (b)'!$V21</f>
        <v>2.3088090579965428</v>
      </c>
      <c r="Y15" s="22">
        <f>'[7]Dia 24 (b)'!$V21</f>
        <v>6.1066898504086886</v>
      </c>
      <c r="Z15" s="22">
        <f>'[7]Dia 25 (b)'!$V21</f>
        <v>7.7119624819128703</v>
      </c>
      <c r="AA15" s="22">
        <f>'[7]Dia 26 (b)'!$V21</f>
        <v>6.5205843789543909</v>
      </c>
      <c r="AB15" s="22">
        <f>'[7]Dia 27 (b)'!$V21</f>
        <v>9.0073535237365085</v>
      </c>
      <c r="AC15" s="22">
        <f>'[7]Dia 28 (b)'!$V21</f>
        <v>10.618183415505735</v>
      </c>
      <c r="AD15" s="22">
        <f>'[7]Dia 29 (b)'!$V21</f>
        <v>13.41215358914174</v>
      </c>
      <c r="AE15" s="22">
        <f>'[7]Dia 30 (b)'!$V21</f>
        <v>13.557407039471531</v>
      </c>
      <c r="AF15" s="23">
        <f>'[7]Dia 31 (b)'!$V21</f>
        <v>13.266969190717226</v>
      </c>
      <c r="AG15" s="19"/>
      <c r="AH15" s="20"/>
      <c r="AI15" s="21"/>
    </row>
    <row r="16" spans="1:35" ht="15.75">
      <c r="A16" s="16">
        <v>13</v>
      </c>
      <c r="B16" s="22">
        <f>'[7]Dia 1 (b)'!$V22</f>
        <v>12.194677960198899</v>
      </c>
      <c r="C16" s="22">
        <f>'[7]Dia 2 (b)'!$V22</f>
        <v>11.638216088941029</v>
      </c>
      <c r="D16" s="22">
        <f>'[7]Dia 3 (b)'!$V22</f>
        <v>9.8009608855734829</v>
      </c>
      <c r="E16" s="22">
        <f>'[7]Dia 4 (b)'!$V22</f>
        <v>11.558823470910353</v>
      </c>
      <c r="F16" s="22">
        <f>'[7]Dia 5 (b)'!$V22</f>
        <v>5.3554080078457416</v>
      </c>
      <c r="G16" s="22">
        <f>'[7]Dia 6 (b)'!$V22</f>
        <v>13.610604543219406</v>
      </c>
      <c r="H16" s="22">
        <f>'[7]Dia 7 (b)'!$V22</f>
        <v>12.728856371962562</v>
      </c>
      <c r="I16" s="22">
        <f>'[7]Dia 8 (b)'!$V22</f>
        <v>13.726345159285728</v>
      </c>
      <c r="J16" s="22">
        <f>'[7]Dia 9 (b)'!$V22</f>
        <v>12.416636594569059</v>
      </c>
      <c r="K16" s="22">
        <f>'[7]Dia 10 (b)'!$V22</f>
        <v>15.983301858210215</v>
      </c>
      <c r="L16" s="22">
        <f>'[7]Dia 11 (b)'!$V22</f>
        <v>16.842868766864076</v>
      </c>
      <c r="M16" s="22">
        <f>'[7]Dia 12 (b)'!$V22</f>
        <v>14.747269888238357</v>
      </c>
      <c r="N16" s="22">
        <f>'[7]Dia 13 (b)'!$V22</f>
        <v>12.597651676264828</v>
      </c>
      <c r="O16" s="22">
        <f>'[7]Dia 14 (b)'!$V22</f>
        <v>11.263656009734246</v>
      </c>
      <c r="P16" s="22">
        <f>'[7]Dia 15 (b)'!$V22</f>
        <v>13.861779649808952</v>
      </c>
      <c r="Q16" s="22">
        <f>'[7]Dia 16 (b)'!$V22</f>
        <v>13.22811227160123</v>
      </c>
      <c r="R16" s="22">
        <f>'[7]Dia 17 (b)'!$V22</f>
        <v>12.900198986236132</v>
      </c>
      <c r="S16" s="22">
        <f>'[7]Dia 18 (b)'!$V22</f>
        <v>10.671716613753421</v>
      </c>
      <c r="T16" s="22">
        <f>'[7]Dia 19 (b)'!$V22</f>
        <v>11.540724077177755</v>
      </c>
      <c r="U16" s="22">
        <f>'[7]Dia 20 (b)'!$V22</f>
        <v>10.100298580940539</v>
      </c>
      <c r="V16" s="22">
        <f>'[7]Dia 21 (b)'!$V22</f>
        <v>11.739133471893901</v>
      </c>
      <c r="W16" s="22">
        <f>'[7]Dia 22 (b)'!$V22</f>
        <v>9.252394213605271</v>
      </c>
      <c r="X16" s="22">
        <f>'[7]Dia 23 (b)'!$V22</f>
        <v>4.3609032700165198</v>
      </c>
      <c r="Y16" s="22">
        <f>'[7]Dia 24 (b)'!$V22</f>
        <v>6.8014425531125244</v>
      </c>
      <c r="Z16" s="22">
        <f>'[7]Dia 25 (b)'!$V22</f>
        <v>7.0646744791809875</v>
      </c>
      <c r="AA16" s="22">
        <f>'[7]Dia 26 (b)'!$V22</f>
        <v>7.9469967253625509</v>
      </c>
      <c r="AB16" s="22">
        <f>'[7]Dia 27 (b)'!$V22</f>
        <v>8.532660704942046</v>
      </c>
      <c r="AC16" s="22">
        <f>'[7]Dia 28 (b)'!$V22</f>
        <v>10.180435444036991</v>
      </c>
      <c r="AD16" s="22">
        <f>'[7]Dia 29 (b)'!$V22</f>
        <v>12.732514550036983</v>
      </c>
      <c r="AE16" s="22">
        <f>'[7]Dia 30 (b)'!$V22</f>
        <v>13.537217777313067</v>
      </c>
      <c r="AF16" s="23">
        <f>'[7]Dia 31 (b)'!$V22</f>
        <v>13.298542717711966</v>
      </c>
      <c r="AG16" s="19"/>
      <c r="AH16" s="20"/>
      <c r="AI16" s="21"/>
    </row>
    <row r="17" spans="1:35" ht="15.75">
      <c r="A17" s="16">
        <v>14</v>
      </c>
      <c r="B17" s="22">
        <f>'[7]Dia 1 (b)'!$V23</f>
        <v>12.125292943878227</v>
      </c>
      <c r="C17" s="22">
        <f>'[7]Dia 2 (b)'!$V23</f>
        <v>10.482192829924514</v>
      </c>
      <c r="D17" s="22">
        <f>'[7]Dia 3 (b)'!$V23</f>
        <v>9.1680816702916701</v>
      </c>
      <c r="E17" s="22">
        <f>'[7]Dia 4 (b)'!$V23</f>
        <v>10.442681344784363</v>
      </c>
      <c r="F17" s="22">
        <f>'[7]Dia 5 (b)'!$V23</f>
        <v>4.7472311712232091</v>
      </c>
      <c r="G17" s="22">
        <f>'[7]Dia 6 (b)'!$V23</f>
        <v>13.882660345772582</v>
      </c>
      <c r="H17" s="22">
        <f>'[7]Dia 7 (b)'!$V23</f>
        <v>10.994594252160303</v>
      </c>
      <c r="I17" s="22">
        <f>'[7]Dia 8 (b)'!$V23</f>
        <v>13.931848791648989</v>
      </c>
      <c r="J17" s="22">
        <f>'[7]Dia 9 (b)'!$V23</f>
        <v>12.557228838060979</v>
      </c>
      <c r="K17" s="22">
        <f>'[7]Dia 10 (b)'!$V23</f>
        <v>15.763711136351521</v>
      </c>
      <c r="L17" s="22">
        <f>'[7]Dia 11 (b)'!$V23</f>
        <v>17.01900322399786</v>
      </c>
      <c r="M17" s="22">
        <f>'[7]Dia 12 (b)'!$V23</f>
        <v>14.108625703242634</v>
      </c>
      <c r="N17" s="22">
        <f>'[7]Dia 13 (b)'!$V23</f>
        <v>12.501488176497698</v>
      </c>
      <c r="O17" s="22">
        <f>'[7]Dia 14 (b)'!$V23</f>
        <v>11.331881878623394</v>
      </c>
      <c r="P17" s="22">
        <f>'[7]Dia 15 (b)'!$V23</f>
        <v>12.995256438278059</v>
      </c>
      <c r="Q17" s="22">
        <f>'[7]Dia 16 (b)'!$V23</f>
        <v>13.334925714527877</v>
      </c>
      <c r="R17" s="22">
        <f>'[7]Dia 17 (b)'!$V23</f>
        <v>11.803695589172332</v>
      </c>
      <c r="S17" s="22">
        <f>'[7]Dia 18 (b)'!$V23</f>
        <v>10.685932517692887</v>
      </c>
      <c r="T17" s="22">
        <f>'[7]Dia 19 (b)'!$V23</f>
        <v>10.808339977405046</v>
      </c>
      <c r="U17" s="22">
        <f>'[7]Dia 20 (b)'!$V23</f>
        <v>6.5442163244113649</v>
      </c>
      <c r="V17" s="22">
        <f>'[7]Dia 21 (b)'!$V23</f>
        <v>11.332806482081157</v>
      </c>
      <c r="W17" s="22">
        <f>'[7]Dia 22 (b)'!$V23</f>
        <v>9.4926280586739065</v>
      </c>
      <c r="X17" s="22">
        <f>'[7]Dia 23 (b)'!$V23</f>
        <v>4.4355841019774997</v>
      </c>
      <c r="Y17" s="22">
        <f>'[7]Dia 24 (b)'!$V23</f>
        <v>6.4113382204916967</v>
      </c>
      <c r="Z17" s="22">
        <f>'[7]Dia 25 (b)'!$V23</f>
        <v>6.2061996810793145</v>
      </c>
      <c r="AA17" s="22">
        <f>'[7]Dia 26 (b)'!$V23</f>
        <v>7.9616492914632735</v>
      </c>
      <c r="AB17" s="22">
        <f>'[7]Dia 27 (b)'!$V23</f>
        <v>8.6016623028808645</v>
      </c>
      <c r="AC17" s="22">
        <f>'[7]Dia 28 (b)'!$V23</f>
        <v>9.3549924474214787</v>
      </c>
      <c r="AD17" s="22">
        <f>'[7]Dia 29 (b)'!$V23</f>
        <v>12.576877763824879</v>
      </c>
      <c r="AE17" s="22">
        <f>'[7]Dia 30 (b)'!$V23</f>
        <v>13.456341832540888</v>
      </c>
      <c r="AF17" s="23">
        <f>'[7]Dia 31 (b)'!$V23</f>
        <v>13.039545165659813</v>
      </c>
      <c r="AG17" s="19"/>
      <c r="AH17" s="20"/>
      <c r="AI17" s="21"/>
    </row>
    <row r="18" spans="1:35" ht="15.75">
      <c r="A18" s="16">
        <v>15</v>
      </c>
      <c r="B18" s="22">
        <f>'[7]Dia 1 (b)'!$V24</f>
        <v>11.769732640033482</v>
      </c>
      <c r="C18" s="22">
        <f>'[7]Dia 2 (b)'!$V24</f>
        <v>9.4645031857149231</v>
      </c>
      <c r="D18" s="22">
        <f>'[7]Dia 3 (b)'!$V24</f>
        <v>7.5998533678818632</v>
      </c>
      <c r="E18" s="22">
        <f>'[7]Dia 4 (b)'!$V24</f>
        <v>10.721436153271762</v>
      </c>
      <c r="F18" s="22">
        <f>'[7]Dia 5 (b)'!$V24</f>
        <v>4.7819254894378194</v>
      </c>
      <c r="G18" s="22">
        <f>'[7]Dia 6 (b)'!$V24</f>
        <v>13.218445760081204</v>
      </c>
      <c r="H18" s="22">
        <f>'[7]Dia 7 (b)'!$V24</f>
        <v>9.2556626220719753</v>
      </c>
      <c r="I18" s="22">
        <f>'[7]Dia 8 (b)'!$V24</f>
        <v>13.572559566679839</v>
      </c>
      <c r="J18" s="22">
        <f>'[7]Dia 9 (b)'!$V24</f>
        <v>13.029956538955576</v>
      </c>
      <c r="K18" s="22">
        <f>'[7]Dia 10 (b)'!$V24</f>
        <v>15.388029009524612</v>
      </c>
      <c r="L18" s="22">
        <f>'[7]Dia 11 (b)'!$V24</f>
        <v>17.12164707400677</v>
      </c>
      <c r="M18" s="22">
        <f>'[7]Dia 12 (b)'!$V24</f>
        <v>12.977081715526218</v>
      </c>
      <c r="N18" s="22">
        <f>'[7]Dia 13 (b)'!$V24</f>
        <v>12.151907238810935</v>
      </c>
      <c r="O18" s="22">
        <f>'[7]Dia 14 (b)'!$V24</f>
        <v>10.573657973267252</v>
      </c>
      <c r="P18" s="22">
        <f>'[7]Dia 15 (b)'!$V24</f>
        <v>14.527897091014205</v>
      </c>
      <c r="Q18" s="22">
        <f>'[7]Dia 16 (b)'!$V24</f>
        <v>13.937420493529002</v>
      </c>
      <c r="R18" s="22">
        <f>'[7]Dia 17 (b)'!$V24</f>
        <v>12.05463252491055</v>
      </c>
      <c r="S18" s="22">
        <f>'[7]Dia 18 (b)'!$V24</f>
        <v>14.812372477495117</v>
      </c>
      <c r="T18" s="22">
        <f>'[7]Dia 19 (b)'!$V24</f>
        <v>10.247729696827982</v>
      </c>
      <c r="U18" s="22">
        <f>'[7]Dia 20 (b)'!$V24</f>
        <v>6.3293727483183773</v>
      </c>
      <c r="V18" s="22">
        <f>'[7]Dia 21 (b)'!$V24</f>
        <v>10.595102635770266</v>
      </c>
      <c r="W18" s="22">
        <f>'[7]Dia 22 (b)'!$V24</f>
        <v>9.3391007611155228</v>
      </c>
      <c r="X18" s="22">
        <f>'[7]Dia 23 (b)'!$V24</f>
        <v>5.8707658975485622</v>
      </c>
      <c r="Y18" s="22">
        <f>'[7]Dia 24 (b)'!$V24</f>
        <v>5.1317184669748075</v>
      </c>
      <c r="Z18" s="22">
        <f>'[7]Dia 25 (b)'!$V24</f>
        <v>6.9704650416359408</v>
      </c>
      <c r="AA18" s="22">
        <f>'[7]Dia 26 (b)'!$V24</f>
        <v>8.3504824815109391</v>
      </c>
      <c r="AB18" s="22">
        <f>'[7]Dia 27 (b)'!$V24</f>
        <v>7.6868021668444237</v>
      </c>
      <c r="AC18" s="22">
        <f>'[7]Dia 28 (b)'!$V24</f>
        <v>8.3370428436757145</v>
      </c>
      <c r="AD18" s="22">
        <f>'[7]Dia 29 (b)'!$V24</f>
        <v>12.798034134162076</v>
      </c>
      <c r="AE18" s="22">
        <f>'[7]Dia 30 (b)'!$V24</f>
        <v>13.18798574344013</v>
      </c>
      <c r="AF18" s="23">
        <f>'[7]Dia 31 (b)'!$V24</f>
        <v>13.333637107215495</v>
      </c>
      <c r="AG18" s="19"/>
      <c r="AH18" s="20"/>
      <c r="AI18" s="21"/>
    </row>
    <row r="19" spans="1:35" ht="15.75">
      <c r="A19" s="16">
        <v>16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8"/>
      <c r="AG19" s="19"/>
      <c r="AH19" s="20"/>
      <c r="AI19" s="21"/>
    </row>
    <row r="20" spans="1:35" ht="15.75">
      <c r="A20" s="16">
        <v>17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8"/>
      <c r="AG20" s="19"/>
      <c r="AH20" s="20"/>
      <c r="AI20" s="21"/>
    </row>
    <row r="21" spans="1:35" ht="15.75">
      <c r="A21" s="16">
        <v>18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8"/>
      <c r="AG21" s="19"/>
      <c r="AH21" s="20"/>
      <c r="AI21" s="21"/>
    </row>
    <row r="22" spans="1:35" ht="15.75">
      <c r="A22" s="16">
        <v>19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8"/>
      <c r="AG22" s="19"/>
      <c r="AH22" s="20"/>
      <c r="AI22" s="21"/>
    </row>
    <row r="23" spans="1:35" ht="15.75">
      <c r="A23" s="16">
        <v>20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8"/>
      <c r="AG23" s="19"/>
      <c r="AH23" s="20"/>
      <c r="AI23" s="21"/>
    </row>
    <row r="24" spans="1:35" ht="15.75">
      <c r="A24" s="16">
        <v>21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8"/>
      <c r="AG24" s="19"/>
      <c r="AH24" s="20"/>
      <c r="AI24" s="21"/>
    </row>
    <row r="25" spans="1:35" ht="15.75">
      <c r="A25" s="16">
        <v>22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8"/>
      <c r="AG25" s="19"/>
      <c r="AH25" s="20"/>
      <c r="AI25" s="21"/>
    </row>
    <row r="26" spans="1:35" ht="15.75">
      <c r="A26" s="16">
        <v>23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8"/>
      <c r="AG26" s="19"/>
      <c r="AH26" s="20"/>
      <c r="AI26" s="21"/>
    </row>
    <row r="27" spans="1:35" ht="16.5" thickBot="1">
      <c r="A27" s="16">
        <v>24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8"/>
      <c r="AG27" s="19"/>
      <c r="AH27" s="20"/>
      <c r="AI27" s="21"/>
    </row>
    <row r="28" spans="1:35" ht="16.5" thickTop="1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6"/>
      <c r="AG28" s="19"/>
      <c r="AH28" s="20"/>
      <c r="AI28" s="21"/>
    </row>
    <row r="29" spans="1:35" ht="15.75">
      <c r="A29" s="27"/>
      <c r="B29" s="28" t="s">
        <v>5</v>
      </c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30"/>
      <c r="AG29" s="19"/>
      <c r="AH29" s="20"/>
      <c r="AI29" s="21"/>
    </row>
    <row r="30" spans="1:35" ht="15.75">
      <c r="A30" s="31" t="s">
        <v>6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0"/>
    </row>
    <row r="31" spans="1:35" ht="15.75">
      <c r="A31" s="31" t="s">
        <v>7</v>
      </c>
      <c r="B31" s="33">
        <f>AVERAGE(B4:B27)</f>
        <v>11.608631088257075</v>
      </c>
      <c r="C31" s="33">
        <f t="shared" ref="C31:AF31" si="0">AVERAGE(C4:C27)</f>
        <v>11.092856539768199</v>
      </c>
      <c r="D31" s="33">
        <f t="shared" si="0"/>
        <v>11.893888127860299</v>
      </c>
      <c r="E31" s="33">
        <f t="shared" si="0"/>
        <v>12.245221714866462</v>
      </c>
      <c r="F31" s="33">
        <f t="shared" si="0"/>
        <v>9.4183482802004264</v>
      </c>
      <c r="G31" s="33">
        <f t="shared" si="0"/>
        <v>13.304856562157006</v>
      </c>
      <c r="H31" s="33">
        <f t="shared" si="0"/>
        <v>12.668097311938983</v>
      </c>
      <c r="I31" s="33">
        <f t="shared" si="0"/>
        <v>13.314157620206469</v>
      </c>
      <c r="J31" s="33">
        <f t="shared" si="0"/>
        <v>12.223026072045023</v>
      </c>
      <c r="K31" s="33">
        <f t="shared" si="0"/>
        <v>15.534670749091918</v>
      </c>
      <c r="L31" s="33">
        <f t="shared" si="0"/>
        <v>16.202405625973036</v>
      </c>
      <c r="M31" s="33">
        <f t="shared" si="0"/>
        <v>15.022453630481335</v>
      </c>
      <c r="N31" s="33">
        <f t="shared" si="0"/>
        <v>12.299689571908226</v>
      </c>
      <c r="O31" s="33">
        <f t="shared" si="0"/>
        <v>13.118201016720256</v>
      </c>
      <c r="P31" s="33">
        <f>AVERAGE(P4:P27)</f>
        <v>13.479728763603404</v>
      </c>
      <c r="Q31" s="33">
        <f t="shared" si="0"/>
        <v>13.581305044493215</v>
      </c>
      <c r="R31" s="33">
        <f t="shared" si="0"/>
        <v>12.740566556867844</v>
      </c>
      <c r="S31" s="33">
        <f t="shared" si="0"/>
        <v>12.82788882497352</v>
      </c>
      <c r="T31" s="33">
        <f t="shared" si="0"/>
        <v>10.893615806852823</v>
      </c>
      <c r="U31" s="33">
        <f t="shared" si="0"/>
        <v>10.778913983843109</v>
      </c>
      <c r="V31" s="33">
        <f t="shared" si="0"/>
        <v>11.531174224633251</v>
      </c>
      <c r="W31" s="33">
        <f t="shared" si="0"/>
        <v>10.548118168952728</v>
      </c>
      <c r="X31" s="33">
        <f t="shared" si="0"/>
        <v>6.7449967030654898</v>
      </c>
      <c r="Y31" s="33">
        <f t="shared" si="0"/>
        <v>6.7750005237132607</v>
      </c>
      <c r="Z31" s="33">
        <f t="shared" si="0"/>
        <v>9.0440559059028125</v>
      </c>
      <c r="AA31" s="33">
        <f t="shared" si="0"/>
        <v>9.5264068396401402</v>
      </c>
      <c r="AB31" s="33">
        <f t="shared" si="0"/>
        <v>9.6656812220809645</v>
      </c>
      <c r="AC31" s="33">
        <f t="shared" si="0"/>
        <v>10.623791174040086</v>
      </c>
      <c r="AD31" s="33">
        <f t="shared" si="0"/>
        <v>13.106742593380364</v>
      </c>
      <c r="AE31" s="33">
        <f t="shared" si="0"/>
        <v>13.066382319180766</v>
      </c>
      <c r="AF31" s="34">
        <f t="shared" si="0"/>
        <v>12.729929560912176</v>
      </c>
    </row>
    <row r="32" spans="1:35" ht="15">
      <c r="A32" s="35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7"/>
    </row>
    <row r="33" spans="1:32" ht="15">
      <c r="A33" s="35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7"/>
    </row>
    <row r="34" spans="1:32" ht="15.75">
      <c r="A34" s="31" t="s">
        <v>8</v>
      </c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7"/>
    </row>
    <row r="35" spans="1:32" ht="15.75">
      <c r="A35" s="31" t="s">
        <v>7</v>
      </c>
      <c r="B35" s="33">
        <f>MAX(B4:B27)</f>
        <v>12.194677960198899</v>
      </c>
      <c r="C35" s="33">
        <f t="shared" ref="C35:AF35" si="1">MAX(C4:C27)</f>
        <v>11.70082705859738</v>
      </c>
      <c r="D35" s="33">
        <f t="shared" si="1"/>
        <v>14.251837366080393</v>
      </c>
      <c r="E35" s="33">
        <f t="shared" si="1"/>
        <v>13.618168118931075</v>
      </c>
      <c r="F35" s="33">
        <f t="shared" si="1"/>
        <v>14.244376169393496</v>
      </c>
      <c r="G35" s="33">
        <f t="shared" si="1"/>
        <v>13.882660345772582</v>
      </c>
      <c r="H35" s="33">
        <f t="shared" si="1"/>
        <v>13.676799774114905</v>
      </c>
      <c r="I35" s="33">
        <f t="shared" si="1"/>
        <v>14.29253935652431</v>
      </c>
      <c r="J35" s="33">
        <f t="shared" si="1"/>
        <v>13.029956538955576</v>
      </c>
      <c r="K35" s="33">
        <f t="shared" si="1"/>
        <v>16.300416134275903</v>
      </c>
      <c r="L35" s="33">
        <f t="shared" si="1"/>
        <v>17.12164707400677</v>
      </c>
      <c r="M35" s="33">
        <f t="shared" si="1"/>
        <v>16.392478251554962</v>
      </c>
      <c r="N35" s="33">
        <f t="shared" si="1"/>
        <v>12.597651676264828</v>
      </c>
      <c r="O35" s="33">
        <f t="shared" si="1"/>
        <v>14.728918877340975</v>
      </c>
      <c r="P35" s="33">
        <f>MAX(P4:P27)</f>
        <v>14.527897091014205</v>
      </c>
      <c r="Q35" s="33">
        <f t="shared" si="1"/>
        <v>14.017280764455984</v>
      </c>
      <c r="R35" s="33">
        <f t="shared" si="1"/>
        <v>13.492300203432761</v>
      </c>
      <c r="S35" s="33">
        <f t="shared" si="1"/>
        <v>14.812372477495117</v>
      </c>
      <c r="T35" s="33">
        <f t="shared" si="1"/>
        <v>11.540724077177755</v>
      </c>
      <c r="U35" s="33">
        <f t="shared" si="1"/>
        <v>14.570843005817045</v>
      </c>
      <c r="V35" s="33">
        <f t="shared" si="1"/>
        <v>12.003906780419564</v>
      </c>
      <c r="W35" s="33">
        <f t="shared" si="1"/>
        <v>13.424431585913421</v>
      </c>
      <c r="X35" s="33">
        <f t="shared" si="1"/>
        <v>11.266289078634729</v>
      </c>
      <c r="Y35" s="33">
        <f t="shared" si="1"/>
        <v>8.3164877017164898</v>
      </c>
      <c r="Z35" s="33">
        <f t="shared" si="1"/>
        <v>12.031300352063077</v>
      </c>
      <c r="AA35" s="33">
        <f t="shared" si="1"/>
        <v>12.309820371014569</v>
      </c>
      <c r="AB35" s="33">
        <f t="shared" si="1"/>
        <v>11.991663581456205</v>
      </c>
      <c r="AC35" s="33">
        <f t="shared" si="1"/>
        <v>12.0143357584311</v>
      </c>
      <c r="AD35" s="33">
        <f t="shared" si="1"/>
        <v>14.529396384577904</v>
      </c>
      <c r="AE35" s="33">
        <f t="shared" si="1"/>
        <v>13.557407039471531</v>
      </c>
      <c r="AF35" s="34">
        <f t="shared" si="1"/>
        <v>13.333637107215495</v>
      </c>
    </row>
    <row r="36" spans="1:32" ht="15">
      <c r="A36" s="35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7"/>
    </row>
    <row r="37" spans="1:32" ht="15">
      <c r="A37" s="35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7"/>
    </row>
    <row r="38" spans="1:32" ht="15.75">
      <c r="A38" s="31" t="s">
        <v>9</v>
      </c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7"/>
    </row>
    <row r="39" spans="1:32" ht="15.75">
      <c r="A39" s="31" t="s">
        <v>7</v>
      </c>
      <c r="B39" s="33">
        <f>MIN(B4:B27)</f>
        <v>10.706834319111037</v>
      </c>
      <c r="C39" s="33">
        <f t="shared" ref="C39:AF39" si="2">MIN(C4:C27)</f>
        <v>9.4645031857149231</v>
      </c>
      <c r="D39" s="33">
        <f t="shared" si="2"/>
        <v>7.5998533678818632</v>
      </c>
      <c r="E39" s="33">
        <f t="shared" si="2"/>
        <v>10.442681344784363</v>
      </c>
      <c r="F39" s="33">
        <f t="shared" si="2"/>
        <v>4.7472311712232091</v>
      </c>
      <c r="G39" s="33">
        <f t="shared" si="2"/>
        <v>13.072497461567105</v>
      </c>
      <c r="H39" s="33">
        <f t="shared" si="2"/>
        <v>9.2556626220719753</v>
      </c>
      <c r="I39" s="33">
        <f t="shared" si="2"/>
        <v>12.155643505772412</v>
      </c>
      <c r="J39" s="33">
        <f t="shared" si="2"/>
        <v>11.766543726822434</v>
      </c>
      <c r="K39" s="33">
        <f t="shared" si="2"/>
        <v>14.485642063280219</v>
      </c>
      <c r="L39" s="33">
        <f t="shared" si="2"/>
        <v>15.428441821570082</v>
      </c>
      <c r="M39" s="33">
        <f t="shared" si="2"/>
        <v>12.977081715526218</v>
      </c>
      <c r="N39" s="33">
        <f t="shared" si="2"/>
        <v>11.802939220528023</v>
      </c>
      <c r="O39" s="33">
        <f t="shared" si="2"/>
        <v>10.573657973267252</v>
      </c>
      <c r="P39" s="33">
        <f>MIN(P4:P27)</f>
        <v>12.137874199475677</v>
      </c>
      <c r="Q39" s="33">
        <f t="shared" si="2"/>
        <v>13.137658967212865</v>
      </c>
      <c r="R39" s="33">
        <f t="shared" si="2"/>
        <v>11.803695589172332</v>
      </c>
      <c r="S39" s="33">
        <f t="shared" si="2"/>
        <v>10.671716613753421</v>
      </c>
      <c r="T39" s="33">
        <f t="shared" si="2"/>
        <v>10.247729696827982</v>
      </c>
      <c r="U39" s="33">
        <f t="shared" si="2"/>
        <v>6.3293727483183773</v>
      </c>
      <c r="V39" s="33">
        <f t="shared" si="2"/>
        <v>10.595102635770266</v>
      </c>
      <c r="W39" s="33">
        <f t="shared" si="2"/>
        <v>8.9759989761521499</v>
      </c>
      <c r="X39" s="33">
        <f t="shared" si="2"/>
        <v>2.3088090579965428</v>
      </c>
      <c r="Y39" s="33">
        <f t="shared" si="2"/>
        <v>5.1317184669748075</v>
      </c>
      <c r="Z39" s="33">
        <f t="shared" si="2"/>
        <v>6.2061996810793145</v>
      </c>
      <c r="AA39" s="33">
        <f t="shared" si="2"/>
        <v>6.5205843789543909</v>
      </c>
      <c r="AB39" s="33">
        <f t="shared" si="2"/>
        <v>7.6868021668444237</v>
      </c>
      <c r="AC39" s="33">
        <f t="shared" si="2"/>
        <v>8.3370428436757145</v>
      </c>
      <c r="AD39" s="33">
        <f t="shared" si="2"/>
        <v>12.060602613964619</v>
      </c>
      <c r="AE39" s="33">
        <f t="shared" si="2"/>
        <v>12.137759843788801</v>
      </c>
      <c r="AF39" s="34">
        <f t="shared" si="2"/>
        <v>11.981227071872471</v>
      </c>
    </row>
    <row r="40" spans="1:32" ht="15">
      <c r="A40" s="35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38"/>
    </row>
    <row r="41" spans="1:32" ht="15">
      <c r="A41" s="35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38"/>
    </row>
    <row r="42" spans="1:32" ht="15.75">
      <c r="A42" s="31" t="s">
        <v>10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38"/>
    </row>
    <row r="43" spans="1:32" ht="15.75">
      <c r="A43" s="31" t="s">
        <v>7</v>
      </c>
      <c r="B43" s="39">
        <f>B35-B39</f>
        <v>1.4878436410878617</v>
      </c>
      <c r="C43" s="39">
        <f t="shared" ref="C43:AF43" si="3">C35-C39</f>
        <v>2.2363238728824566</v>
      </c>
      <c r="D43" s="39">
        <f t="shared" si="3"/>
        <v>6.6519839981985296</v>
      </c>
      <c r="E43" s="39">
        <f t="shared" si="3"/>
        <v>3.1754867741467123</v>
      </c>
      <c r="F43" s="39">
        <f t="shared" si="3"/>
        <v>9.4971449981702865</v>
      </c>
      <c r="G43" s="39">
        <f t="shared" si="3"/>
        <v>0.81016288420547689</v>
      </c>
      <c r="H43" s="39">
        <f t="shared" si="3"/>
        <v>4.4211371520429292</v>
      </c>
      <c r="I43" s="39">
        <f t="shared" si="3"/>
        <v>2.1368958507518983</v>
      </c>
      <c r="J43" s="39">
        <f t="shared" si="3"/>
        <v>1.2634128121331418</v>
      </c>
      <c r="K43" s="39">
        <f t="shared" si="3"/>
        <v>1.8147740709956839</v>
      </c>
      <c r="L43" s="39">
        <f t="shared" si="3"/>
        <v>1.6932052524366874</v>
      </c>
      <c r="M43" s="39">
        <f t="shared" si="3"/>
        <v>3.4153965360287444</v>
      </c>
      <c r="N43" s="39">
        <f t="shared" si="3"/>
        <v>0.79471245573680527</v>
      </c>
      <c r="O43" s="39">
        <f t="shared" si="3"/>
        <v>4.1552609040737227</v>
      </c>
      <c r="P43" s="39">
        <f>P35-P39</f>
        <v>2.3900228915385284</v>
      </c>
      <c r="Q43" s="39">
        <f t="shared" si="3"/>
        <v>0.87962179724311973</v>
      </c>
      <c r="R43" s="39">
        <f t="shared" si="3"/>
        <v>1.688604614260429</v>
      </c>
      <c r="S43" s="39">
        <f t="shared" si="3"/>
        <v>4.1406558637416957</v>
      </c>
      <c r="T43" s="39">
        <f t="shared" si="3"/>
        <v>1.2929943803497732</v>
      </c>
      <c r="U43" s="39">
        <f t="shared" si="3"/>
        <v>8.2414702574986674</v>
      </c>
      <c r="V43" s="39">
        <f t="shared" si="3"/>
        <v>1.4088041446492987</v>
      </c>
      <c r="W43" s="39">
        <f t="shared" si="3"/>
        <v>4.4484326097612712</v>
      </c>
      <c r="X43" s="39">
        <f t="shared" si="3"/>
        <v>8.9574800206381866</v>
      </c>
      <c r="Y43" s="39">
        <f t="shared" si="3"/>
        <v>3.1847692347416823</v>
      </c>
      <c r="Z43" s="39">
        <f t="shared" si="3"/>
        <v>5.8251006709837627</v>
      </c>
      <c r="AA43" s="39">
        <f t="shared" si="3"/>
        <v>5.7892359920601777</v>
      </c>
      <c r="AB43" s="39">
        <f t="shared" si="3"/>
        <v>4.3048614146117812</v>
      </c>
      <c r="AC43" s="39">
        <f t="shared" si="3"/>
        <v>3.6772929147553857</v>
      </c>
      <c r="AD43" s="39">
        <f t="shared" si="3"/>
        <v>2.468793770613285</v>
      </c>
      <c r="AE43" s="39">
        <f t="shared" si="3"/>
        <v>1.4196471956827299</v>
      </c>
      <c r="AF43" s="34">
        <f t="shared" si="3"/>
        <v>1.3524100353430235</v>
      </c>
    </row>
    <row r="44" spans="1:32">
      <c r="A44" s="27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38"/>
    </row>
    <row r="45" spans="1:32">
      <c r="A45" s="27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38"/>
    </row>
    <row r="46" spans="1:32" ht="15.75">
      <c r="A46" s="27"/>
      <c r="B46" s="1"/>
      <c r="C46" s="1"/>
      <c r="D46" s="1"/>
      <c r="E46" s="1"/>
      <c r="F46" s="1"/>
      <c r="G46" s="1"/>
      <c r="H46" s="1"/>
      <c r="I46" s="40" t="s">
        <v>6</v>
      </c>
      <c r="J46" s="41"/>
      <c r="K46" s="41"/>
      <c r="L46" s="42" t="s">
        <v>8</v>
      </c>
      <c r="M46" s="43"/>
      <c r="N46" s="43"/>
      <c r="O46" s="42" t="s">
        <v>9</v>
      </c>
      <c r="P46" s="43"/>
      <c r="Q46" s="43"/>
      <c r="R46" s="42" t="s">
        <v>10</v>
      </c>
      <c r="S46" s="44"/>
      <c r="T46" s="41"/>
      <c r="U46" s="43" t="s">
        <v>6</v>
      </c>
      <c r="V46" s="43"/>
      <c r="W46" s="43" t="s">
        <v>6</v>
      </c>
      <c r="X46" s="43"/>
      <c r="Y46" s="43" t="s">
        <v>11</v>
      </c>
      <c r="Z46" s="43"/>
      <c r="AA46" s="1"/>
      <c r="AB46" s="1"/>
      <c r="AC46" s="1"/>
      <c r="AD46" s="1"/>
      <c r="AE46" s="1"/>
      <c r="AF46" s="38"/>
    </row>
    <row r="47" spans="1:32" ht="15.75">
      <c r="A47" s="27"/>
      <c r="B47" s="1"/>
      <c r="C47" s="1"/>
      <c r="D47" s="1"/>
      <c r="E47" s="1"/>
      <c r="F47" s="1"/>
      <c r="G47" s="1"/>
      <c r="H47" s="1"/>
      <c r="I47" s="45" t="s">
        <v>12</v>
      </c>
      <c r="J47" s="41"/>
      <c r="K47" s="41"/>
      <c r="L47" s="43" t="s">
        <v>12</v>
      </c>
      <c r="M47" s="43"/>
      <c r="N47" s="43"/>
      <c r="O47" s="43" t="s">
        <v>12</v>
      </c>
      <c r="P47" s="43"/>
      <c r="Q47" s="43"/>
      <c r="R47" s="43" t="s">
        <v>12</v>
      </c>
      <c r="S47" s="44"/>
      <c r="T47" s="41"/>
      <c r="U47" s="43" t="s">
        <v>13</v>
      </c>
      <c r="V47" s="43"/>
      <c r="W47" s="43" t="s">
        <v>14</v>
      </c>
      <c r="X47" s="43"/>
      <c r="Y47" s="43" t="s">
        <v>15</v>
      </c>
      <c r="Z47" s="43"/>
      <c r="AA47" s="1"/>
      <c r="AB47" s="1"/>
      <c r="AC47" s="1"/>
      <c r="AD47" s="1"/>
      <c r="AE47" s="1"/>
      <c r="AF47" s="38"/>
    </row>
    <row r="48" spans="1:32" ht="15">
      <c r="A48" s="27"/>
      <c r="B48" s="1"/>
      <c r="C48" s="1"/>
      <c r="D48" s="1"/>
      <c r="E48" s="1"/>
      <c r="F48" s="1"/>
      <c r="G48" s="1"/>
      <c r="H48" s="1"/>
      <c r="I48" s="29"/>
      <c r="J48" s="1"/>
      <c r="K48" s="1"/>
      <c r="L48" s="36"/>
      <c r="M48" s="36"/>
      <c r="N48" s="36"/>
      <c r="O48" s="36"/>
      <c r="P48" s="36"/>
      <c r="Q48" s="36"/>
      <c r="R48" s="36"/>
      <c r="S48" s="36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38"/>
    </row>
    <row r="49" spans="1:35" s="52" customFormat="1" ht="15.75" thickBot="1">
      <c r="A49" s="46"/>
      <c r="B49" s="47"/>
      <c r="C49" s="47"/>
      <c r="D49" s="47"/>
      <c r="E49" s="47"/>
      <c r="F49" s="47"/>
      <c r="G49" s="47"/>
      <c r="H49" s="47"/>
      <c r="I49" s="48">
        <f>AVERAGE(B31:AF31)</f>
        <v>11.858412971858412</v>
      </c>
      <c r="J49" s="47"/>
      <c r="K49" s="47"/>
      <c r="L49" s="48">
        <f>MAX(B35:AF35)</f>
        <v>17.12164707400677</v>
      </c>
      <c r="M49" s="49"/>
      <c r="N49" s="49"/>
      <c r="O49" s="48">
        <f>MIN(B39:AF39)</f>
        <v>2.3088090579965428</v>
      </c>
      <c r="P49" s="49"/>
      <c r="Q49" s="49"/>
      <c r="R49" s="48">
        <f>L49-O49</f>
        <v>14.812838016010227</v>
      </c>
      <c r="S49" s="49"/>
      <c r="T49" s="47"/>
      <c r="U49" s="48">
        <f>AVERAGE(B35:AF35)</f>
        <v>13.412033808461901</v>
      </c>
      <c r="V49" s="50"/>
      <c r="W49" s="48">
        <f>AVERAGE(B39:AF39)</f>
        <v>10.02416480809533</v>
      </c>
      <c r="X49" s="50"/>
      <c r="Y49" s="48">
        <f>U49-W49</f>
        <v>3.387869000366571</v>
      </c>
      <c r="Z49" s="47"/>
      <c r="AA49" s="47"/>
      <c r="AB49" s="47"/>
      <c r="AC49" s="47"/>
      <c r="AD49" s="47"/>
      <c r="AE49" s="47"/>
      <c r="AF49" s="51"/>
    </row>
    <row r="50" spans="1:35" ht="13.5" thickTop="1">
      <c r="AI50" s="53"/>
    </row>
  </sheetData>
  <pageMargins left="0.78740157499999996" right="0.78740157499999996" top="0.984251969" bottom="0.984251969" header="0.49212598499999999" footer="0.49212598499999999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AG50"/>
  <sheetViews>
    <sheetView zoomScale="75" zoomScaleNormal="75" workbookViewId="0">
      <selection activeCell="E23" sqref="E23"/>
    </sheetView>
  </sheetViews>
  <sheetFormatPr defaultColWidth="11.42578125" defaultRowHeight="12.75"/>
  <cols>
    <col min="1" max="32" width="9.140625" customWidth="1"/>
    <col min="33" max="33" width="12.7109375" customWidth="1"/>
  </cols>
  <sheetData>
    <row r="1" spans="1:33" ht="18">
      <c r="A1" s="1"/>
      <c r="B1" s="2" t="s">
        <v>22</v>
      </c>
      <c r="C1" s="3"/>
      <c r="D1" s="4"/>
      <c r="E1" s="5"/>
      <c r="F1" s="1"/>
      <c r="G1" s="1"/>
      <c r="H1" s="1"/>
      <c r="I1" s="1"/>
      <c r="J1" s="6"/>
      <c r="K1" s="6"/>
      <c r="L1" s="7" t="s">
        <v>1</v>
      </c>
      <c r="M1" s="56" t="s">
        <v>2</v>
      </c>
      <c r="N1" s="9" t="s">
        <v>3</v>
      </c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15.75" customHeight="1" thickBot="1">
      <c r="A3" s="11" t="s">
        <v>4</v>
      </c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2">
        <v>8</v>
      </c>
      <c r="J3" s="12">
        <v>9</v>
      </c>
      <c r="K3" s="12">
        <v>10</v>
      </c>
      <c r="L3" s="12">
        <v>11</v>
      </c>
      <c r="M3" s="12">
        <v>12</v>
      </c>
      <c r="N3" s="12">
        <v>13</v>
      </c>
      <c r="O3" s="12">
        <v>14</v>
      </c>
      <c r="P3" s="12">
        <v>15</v>
      </c>
      <c r="Q3" s="12">
        <v>16</v>
      </c>
      <c r="R3" s="12">
        <v>17</v>
      </c>
      <c r="S3" s="12">
        <v>18</v>
      </c>
      <c r="T3" s="12">
        <v>19</v>
      </c>
      <c r="U3" s="12">
        <v>20</v>
      </c>
      <c r="V3" s="12">
        <v>21</v>
      </c>
      <c r="W3" s="12">
        <v>22</v>
      </c>
      <c r="X3" s="12">
        <v>23</v>
      </c>
      <c r="Y3" s="12">
        <v>24</v>
      </c>
      <c r="Z3" s="13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5">
        <v>31</v>
      </c>
    </row>
    <row r="4" spans="1:33" ht="15.75" customHeight="1">
      <c r="A4" s="16">
        <v>1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8"/>
      <c r="AG4" s="54"/>
    </row>
    <row r="5" spans="1:33" ht="15.75" customHeight="1">
      <c r="A5" s="16">
        <v>2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8"/>
      <c r="AG5" s="54"/>
    </row>
    <row r="6" spans="1:33" ht="15.75" customHeight="1">
      <c r="A6" s="16">
        <v>3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8"/>
      <c r="AG6" s="54"/>
    </row>
    <row r="7" spans="1:33" ht="15.75" customHeight="1">
      <c r="A7" s="16">
        <v>4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8"/>
      <c r="AG7" s="54"/>
    </row>
    <row r="8" spans="1:33" ht="15.75" customHeight="1">
      <c r="A8" s="16">
        <v>5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8"/>
      <c r="AG8" s="54"/>
    </row>
    <row r="9" spans="1:33" ht="15.75" customHeight="1">
      <c r="A9" s="16">
        <v>6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8"/>
      <c r="AG9" s="54"/>
    </row>
    <row r="10" spans="1:33" ht="15.75" customHeight="1">
      <c r="A10" s="16">
        <v>7</v>
      </c>
      <c r="B10" s="22">
        <f>'[8]Dia 1 (b)'!$V16</f>
        <v>13.748648663736022</v>
      </c>
      <c r="C10" s="22">
        <f>'[8]Dia 2 (b)'!$V16</f>
        <v>13.147678091891224</v>
      </c>
      <c r="D10" s="22">
        <f>'[8]Dia 3 (b)'!$V16</f>
        <v>11.216657218557151</v>
      </c>
      <c r="E10" s="22">
        <f>'[8]Dia 4 (b)'!$V16</f>
        <v>13.148260118244229</v>
      </c>
      <c r="F10" s="22">
        <f>'[8]Dia 5 (b)'!$V16</f>
        <v>14.807437205881294</v>
      </c>
      <c r="G10" s="22">
        <f>'[8]Dia 6 (b)'!$V16</f>
        <v>12.432636366471856</v>
      </c>
      <c r="H10" s="22">
        <f>'[8]Dia 7 (b)'!$V16</f>
        <v>12.943677817516585</v>
      </c>
      <c r="I10" s="22">
        <f>'[8]Dia 8 (b)'!$V16</f>
        <v>11.167977217047596</v>
      </c>
      <c r="J10" s="22">
        <f>'[8]Dia 9 (b)'!$V16</f>
        <v>15.244988164766177</v>
      </c>
      <c r="K10" s="22">
        <f>'[8]Dia 10 (b)'!$V16</f>
        <v>9.2936368280369592</v>
      </c>
      <c r="L10" s="22">
        <f>'[8]Dia 11 (b)'!$V16</f>
        <v>7.0116179319389227</v>
      </c>
      <c r="M10" s="22">
        <f>'[8]Dia 12 (b)'!$V16</f>
        <v>5.7169553027214519</v>
      </c>
      <c r="N10" s="22">
        <f>'[8]Dia 13 (b)'!$V16</f>
        <v>7.472886865596978</v>
      </c>
      <c r="O10" s="22">
        <f>'[8]Dia 14 (b)'!$V16</f>
        <v>7.5607086672924906</v>
      </c>
      <c r="P10" s="22">
        <f>'[8]Dia 15 (b)'!$V16</f>
        <v>10.573027233777703</v>
      </c>
      <c r="Q10" s="22">
        <f>'[8]Dia 16 (b)'!$V16</f>
        <v>11.529484285506461</v>
      </c>
      <c r="R10" s="22">
        <f>'[8]Dia 17 (b)'!$V16</f>
        <v>12.350730125193373</v>
      </c>
      <c r="S10" s="22">
        <f>'[8]Dia 18 (b)'!$V16</f>
        <v>11.116009041644874</v>
      </c>
      <c r="T10" s="22">
        <f>'[8]Dia 19 (b)'!$V16</f>
        <v>9.819241674633016</v>
      </c>
      <c r="U10" s="22">
        <f>'[8]Dia 20 (b)'!$V16</f>
        <v>13.108860941482403</v>
      </c>
      <c r="V10" s="22">
        <f>'[8]Dia 21 (b)'!$V16</f>
        <v>13.508182244537126</v>
      </c>
      <c r="W10" s="22">
        <f>'[8]Dia 22 (b)'!$V16</f>
        <v>13.28143898523758</v>
      </c>
      <c r="X10" s="22">
        <f>'[8]Dia 23 (b)'!$V16</f>
        <v>11.176558202584527</v>
      </c>
      <c r="Y10" s="22">
        <f>'[8]Dia 24 (b)'!$V16</f>
        <v>15.273127133778862</v>
      </c>
      <c r="Z10" s="22">
        <f>'[8]Dia 25 (b)'!$V16</f>
        <v>10.572852097838606</v>
      </c>
      <c r="AA10" s="22">
        <f>'[8]Dia 26 (b)'!$V16</f>
        <v>5.1927779816371951</v>
      </c>
      <c r="AB10" s="22">
        <f>'[8]Dia 27 (b)'!$V16</f>
        <v>3.5823326358475898</v>
      </c>
      <c r="AC10" s="22">
        <f>'[8]Dia 28 (b)'!$V16</f>
        <v>8.6319705012626269</v>
      </c>
      <c r="AD10" s="22">
        <f>'[8]Dia 29 (b)'!$V16</f>
        <v>11.951887395650999</v>
      </c>
      <c r="AE10" s="22">
        <f>'[8]Dia 30 (b)'!$V16</f>
        <v>11.804674596138154</v>
      </c>
      <c r="AF10" s="18">
        <f>'[8]Dia 31 (b)'!$V16</f>
        <v>-99</v>
      </c>
      <c r="AG10" s="54"/>
    </row>
    <row r="11" spans="1:33" ht="15.75" customHeight="1">
      <c r="A11" s="16">
        <v>8</v>
      </c>
      <c r="B11" s="22">
        <f>'[8]Dia 1 (b)'!$V17</f>
        <v>13.731530703966303</v>
      </c>
      <c r="C11" s="22">
        <f>'[8]Dia 2 (b)'!$V17</f>
        <v>13.214853281938835</v>
      </c>
      <c r="D11" s="22">
        <f>'[8]Dia 3 (b)'!$V17</f>
        <v>11.606653909246663</v>
      </c>
      <c r="E11" s="22">
        <f>'[8]Dia 4 (b)'!$V17</f>
        <v>14.995032238940524</v>
      </c>
      <c r="F11" s="22">
        <f>'[8]Dia 5 (b)'!$V17</f>
        <v>15.534908283812525</v>
      </c>
      <c r="G11" s="22">
        <f>'[8]Dia 6 (b)'!$V17</f>
        <v>13.3492647714857</v>
      </c>
      <c r="H11" s="22">
        <f>'[8]Dia 7 (b)'!$V17</f>
        <v>14.034960511761591</v>
      </c>
      <c r="I11" s="22">
        <f>'[8]Dia 8 (b)'!$V17</f>
        <v>12.098291208674892</v>
      </c>
      <c r="J11" s="22">
        <f>'[8]Dia 9 (b)'!$V17</f>
        <v>16.287241786003044</v>
      </c>
      <c r="K11" s="22">
        <f>'[8]Dia 10 (b)'!$V17</f>
        <v>9.2933007255069953</v>
      </c>
      <c r="L11" s="22">
        <f>'[8]Dia 11 (b)'!$V17</f>
        <v>7.9502407854902621</v>
      </c>
      <c r="M11" s="22">
        <f>'[8]Dia 12 (b)'!$V17</f>
        <v>5.3382785574270741</v>
      </c>
      <c r="N11" s="22">
        <f>'[8]Dia 13 (b)'!$V17</f>
        <v>7.4731737770419286</v>
      </c>
      <c r="O11" s="22">
        <f>'[8]Dia 14 (b)'!$V17</f>
        <v>7.726612674343281</v>
      </c>
      <c r="P11" s="22">
        <f>'[8]Dia 15 (b)'!$V17</f>
        <v>11.304979083119528</v>
      </c>
      <c r="Q11" s="22">
        <f>'[8]Dia 16 (b)'!$V17</f>
        <v>13.901580917673614</v>
      </c>
      <c r="R11" s="22">
        <f>'[8]Dia 17 (b)'!$V17</f>
        <v>14.249181920833394</v>
      </c>
      <c r="S11" s="22">
        <f>'[8]Dia 18 (b)'!$V17</f>
        <v>11.896815305243875</v>
      </c>
      <c r="T11" s="22">
        <f>'[8]Dia 19 (b)'!$V17</f>
        <v>10.032785994846048</v>
      </c>
      <c r="U11" s="22">
        <f>'[8]Dia 20 (b)'!$V17</f>
        <v>15.236249918515366</v>
      </c>
      <c r="V11" s="22">
        <f>'[8]Dia 21 (b)'!$V17</f>
        <v>12.995301184681624</v>
      </c>
      <c r="W11" s="22">
        <f>'[8]Dia 22 (b)'!$V17</f>
        <v>13.055594352077863</v>
      </c>
      <c r="X11" s="22">
        <f>'[8]Dia 23 (b)'!$V17</f>
        <v>11.753047445222929</v>
      </c>
      <c r="Y11" s="22">
        <f>'[8]Dia 24 (b)'!$V17</f>
        <v>14.503871460254457</v>
      </c>
      <c r="Z11" s="22">
        <f>'[8]Dia 25 (b)'!$V17</f>
        <v>10.603358834218458</v>
      </c>
      <c r="AA11" s="22">
        <f>'[8]Dia 26 (b)'!$V17</f>
        <v>6.102397952855223</v>
      </c>
      <c r="AB11" s="22">
        <f>'[8]Dia 27 (b)'!$V17</f>
        <v>4.2479112736083957</v>
      </c>
      <c r="AC11" s="22">
        <f>'[8]Dia 28 (b)'!$V17</f>
        <v>8.706266469245012</v>
      </c>
      <c r="AD11" s="22">
        <f>'[8]Dia 29 (b)'!$V17</f>
        <v>12.133721284311155</v>
      </c>
      <c r="AE11" s="22">
        <f>'[8]Dia 30 (b)'!$V17</f>
        <v>12.415210069424631</v>
      </c>
      <c r="AF11" s="18">
        <f>'[8]Dia 31 (b)'!$V17</f>
        <v>-99</v>
      </c>
      <c r="AG11" s="54"/>
    </row>
    <row r="12" spans="1:33" ht="15.75" customHeight="1">
      <c r="A12" s="16">
        <v>9</v>
      </c>
      <c r="B12" s="22">
        <f>'[8]Dia 1 (b)'!$V18</f>
        <v>13.714726624878956</v>
      </c>
      <c r="C12" s="22">
        <f>'[8]Dia 2 (b)'!$V18</f>
        <v>13.691269113740084</v>
      </c>
      <c r="D12" s="22">
        <f>'[8]Dia 3 (b)'!$V18</f>
        <v>11.530623191775142</v>
      </c>
      <c r="E12" s="22">
        <f>'[8]Dia 4 (b)'!$V18</f>
        <v>14.233413753256725</v>
      </c>
      <c r="F12" s="22">
        <f>'[8]Dia 5 (b)'!$V18</f>
        <v>14.524714890120812</v>
      </c>
      <c r="G12" s="22">
        <f>'[8]Dia 6 (b)'!$V18</f>
        <v>12.535912523500871</v>
      </c>
      <c r="H12" s="22">
        <f>'[8]Dia 7 (b)'!$V18</f>
        <v>12.672333641331486</v>
      </c>
      <c r="I12" s="22">
        <f>'[8]Dia 8 (b)'!$V18</f>
        <v>10.660841047519499</v>
      </c>
      <c r="J12" s="22">
        <f>'[8]Dia 9 (b)'!$V18</f>
        <v>16.492540415930581</v>
      </c>
      <c r="K12" s="22">
        <f>'[8]Dia 10 (b)'!$V18</f>
        <v>8.9321705090031909</v>
      </c>
      <c r="L12" s="22">
        <f>'[8]Dia 11 (b)'!$V18</f>
        <v>7.5888999366852739</v>
      </c>
      <c r="M12" s="22">
        <f>'[8]Dia 12 (b)'!$V18</f>
        <v>3.7369159942408006</v>
      </c>
      <c r="N12" s="22">
        <f>'[8]Dia 13 (b)'!$V18</f>
        <v>6.8740079646393459</v>
      </c>
      <c r="O12" s="22">
        <f>'[8]Dia 14 (b)'!$V18</f>
        <v>8.1071741324733235</v>
      </c>
      <c r="P12" s="22">
        <f>'[8]Dia 15 (b)'!$V18</f>
        <v>11.126580921728079</v>
      </c>
      <c r="Q12" s="22">
        <f>'[8]Dia 16 (b)'!$V18</f>
        <v>13.477919753048962</v>
      </c>
      <c r="R12" s="22">
        <f>'[8]Dia 17 (b)'!$V18</f>
        <v>12.786482626074141</v>
      </c>
      <c r="S12" s="22">
        <f>'[8]Dia 18 (b)'!$V18</f>
        <v>9.5897843679785417</v>
      </c>
      <c r="T12" s="22">
        <f>'[8]Dia 19 (b)'!$V18</f>
        <v>9.3991679395406607</v>
      </c>
      <c r="U12" s="22">
        <f>'[8]Dia 20 (b)'!$V18</f>
        <v>15.041944319756688</v>
      </c>
      <c r="V12" s="22">
        <f>'[8]Dia 21 (b)'!$V18</f>
        <v>13.030379512814658</v>
      </c>
      <c r="W12" s="22">
        <f>'[8]Dia 22 (b)'!$V18</f>
        <v>12.372264368385558</v>
      </c>
      <c r="X12" s="22">
        <f>'[8]Dia 23 (b)'!$V18</f>
        <v>10.75712489033168</v>
      </c>
      <c r="Y12" s="22">
        <f>'[8]Dia 24 (b)'!$V18</f>
        <v>15.106496740326975</v>
      </c>
      <c r="Z12" s="22">
        <f>'[8]Dia 25 (b)'!$V18</f>
        <v>10.176986200744103</v>
      </c>
      <c r="AA12" s="22">
        <f>'[8]Dia 26 (b)'!$V18</f>
        <v>4.9261718914033716</v>
      </c>
      <c r="AB12" s="22">
        <f>'[8]Dia 27 (b)'!$V18</f>
        <v>5.4867134753773756</v>
      </c>
      <c r="AC12" s="22">
        <f>'[8]Dia 28 (b)'!$V18</f>
        <v>8.9504338722658918</v>
      </c>
      <c r="AD12" s="22">
        <f>'[8]Dia 29 (b)'!$V18</f>
        <v>12.399926400776428</v>
      </c>
      <c r="AE12" s="22">
        <f>'[8]Dia 30 (b)'!$V18</f>
        <v>12.909699614345479</v>
      </c>
      <c r="AF12" s="23">
        <f>'[8]Dia 31 (b)'!$V18</f>
        <v>10.546040214837454</v>
      </c>
      <c r="AG12" s="54"/>
    </row>
    <row r="13" spans="1:33" ht="15.75" customHeight="1">
      <c r="A13" s="16">
        <v>10</v>
      </c>
      <c r="B13" s="22">
        <f>'[8]Dia 1 (b)'!$V19</f>
        <v>13.607794125398907</v>
      </c>
      <c r="C13" s="22">
        <f>'[8]Dia 2 (b)'!$V19</f>
        <v>13.349249427306848</v>
      </c>
      <c r="D13" s="22">
        <f>'[8]Dia 3 (b)'!$V19</f>
        <v>11.433437947295809</v>
      </c>
      <c r="E13" s="22">
        <f>'[8]Dia 4 (b)'!$V19</f>
        <v>14.465716634440822</v>
      </c>
      <c r="F13" s="22">
        <f>'[8]Dia 5 (b)'!$V19</f>
        <v>13.3892773037244</v>
      </c>
      <c r="G13" s="22">
        <f>'[8]Dia 6 (b)'!$V19</f>
        <v>12.575896979314262</v>
      </c>
      <c r="H13" s="22">
        <f>'[8]Dia 7 (b)'!$V19</f>
        <v>10.18591741172566</v>
      </c>
      <c r="I13" s="22">
        <f>'[8]Dia 8 (b)'!$V19</f>
        <v>10.313158756280211</v>
      </c>
      <c r="J13" s="22">
        <f>'[8]Dia 9 (b)'!$V19</f>
        <v>15.917936568160385</v>
      </c>
      <c r="K13" s="22">
        <f>'[8]Dia 10 (b)'!$V19</f>
        <v>8.9314616557438171</v>
      </c>
      <c r="L13" s="22">
        <f>'[8]Dia 11 (b)'!$V19</f>
        <v>4.2920741545519414</v>
      </c>
      <c r="M13" s="22">
        <f>'[8]Dia 12 (b)'!$V19</f>
        <v>1.837797386980567</v>
      </c>
      <c r="N13" s="22">
        <f>'[8]Dia 13 (b)'!$V19</f>
        <v>6.5510322348424967</v>
      </c>
      <c r="O13" s="22">
        <f>'[8]Dia 14 (b)'!$V19</f>
        <v>8.3376604049441667</v>
      </c>
      <c r="P13" s="22">
        <f>'[8]Dia 15 (b)'!$V19</f>
        <v>11.068756149586369</v>
      </c>
      <c r="Q13" s="22">
        <f>'[8]Dia 16 (b)'!$V19</f>
        <v>13.699536261717698</v>
      </c>
      <c r="R13" s="22">
        <f>'[8]Dia 17 (b)'!$V19</f>
        <v>12.703890918364507</v>
      </c>
      <c r="S13" s="22">
        <f>'[8]Dia 18 (b)'!$V19</f>
        <v>9.9778010732605367</v>
      </c>
      <c r="T13" s="22">
        <f>'[8]Dia 19 (b)'!$V19</f>
        <v>9.0898837280123139</v>
      </c>
      <c r="U13" s="22">
        <f>'[8]Dia 20 (b)'!$V19</f>
        <v>13.217363029910516</v>
      </c>
      <c r="V13" s="22">
        <f>'[8]Dia 21 (b)'!$V19</f>
        <v>12.312074353563382</v>
      </c>
      <c r="W13" s="22">
        <f>'[8]Dia 22 (b)'!$V19</f>
        <v>11.890633649790646</v>
      </c>
      <c r="X13" s="22">
        <f>'[8]Dia 23 (b)'!$V19</f>
        <v>10.37204253705896</v>
      </c>
      <c r="Y13" s="22">
        <f>'[8]Dia 24 (b)'!$V19</f>
        <v>14.74151223513665</v>
      </c>
      <c r="Z13" s="22">
        <f>'[8]Dia 25 (b)'!$V19</f>
        <v>10.592960204012774</v>
      </c>
      <c r="AA13" s="22">
        <f>'[8]Dia 26 (b)'!$V19</f>
        <v>4.8911018765930869</v>
      </c>
      <c r="AB13" s="22">
        <f>'[8]Dia 27 (b)'!$V19</f>
        <v>4.3159327422191804</v>
      </c>
      <c r="AC13" s="22">
        <f>'[8]Dia 28 (b)'!$V19</f>
        <v>8.9638569054437305</v>
      </c>
      <c r="AD13" s="22">
        <f>'[8]Dia 29 (b)'!$V19</f>
        <v>12.424669005170211</v>
      </c>
      <c r="AE13" s="22">
        <f>'[8]Dia 30 (b)'!$V19</f>
        <v>11.443005820139801</v>
      </c>
      <c r="AF13" s="18">
        <f>'[8]Dia 31 (b)'!$V19</f>
        <v>-99</v>
      </c>
      <c r="AG13" s="54"/>
    </row>
    <row r="14" spans="1:33" ht="15.75" customHeight="1">
      <c r="A14" s="16">
        <v>11</v>
      </c>
      <c r="B14" s="22">
        <f>'[8]Dia 1 (b)'!$V20</f>
        <v>13.825630867023909</v>
      </c>
      <c r="C14" s="22">
        <f>'[8]Dia 2 (b)'!$V20</f>
        <v>12.689617322347237</v>
      </c>
      <c r="D14" s="22">
        <f>'[8]Dia 3 (b)'!$V20</f>
        <v>10.616340678991607</v>
      </c>
      <c r="E14" s="22">
        <f>'[8]Dia 4 (b)'!$V20</f>
        <v>14.129799074872169</v>
      </c>
      <c r="F14" s="22">
        <f>'[8]Dia 5 (b)'!$V20</f>
        <v>13.277639716255784</v>
      </c>
      <c r="G14" s="22">
        <f>'[8]Dia 6 (b)'!$V20</f>
        <v>12.123193418367011</v>
      </c>
      <c r="H14" s="22">
        <f>'[8]Dia 7 (b)'!$V20</f>
        <v>9.1236627034577147</v>
      </c>
      <c r="I14" s="22">
        <f>'[8]Dia 8 (b)'!$V20</f>
        <v>9.344424655505037</v>
      </c>
      <c r="J14" s="22">
        <f>'[8]Dia 9 (b)'!$V20</f>
        <v>14.5175726531641</v>
      </c>
      <c r="K14" s="22">
        <f>'[8]Dia 10 (b)'!$V20</f>
        <v>8.5646699463474398</v>
      </c>
      <c r="L14" s="22">
        <f>'[8]Dia 11 (b)'!$V20</f>
        <v>2.8174805127413394</v>
      </c>
      <c r="M14" s="22">
        <f>'[8]Dia 12 (b)'!$V20</f>
        <v>2.6437974626258978</v>
      </c>
      <c r="N14" s="22">
        <f>'[8]Dia 13 (b)'!$V20</f>
        <v>5.5391931033704447</v>
      </c>
      <c r="O14" s="22">
        <f>'[8]Dia 14 (b)'!$V20</f>
        <v>8.5909643902085051</v>
      </c>
      <c r="P14" s="22">
        <f>'[8]Dia 15 (b)'!$V20</f>
        <v>11.241818276489465</v>
      </c>
      <c r="Q14" s="22">
        <f>'[8]Dia 16 (b)'!$V20</f>
        <v>11.984014105722116</v>
      </c>
      <c r="R14" s="22">
        <f>'[8]Dia 17 (b)'!$V20</f>
        <v>11.650743984490868</v>
      </c>
      <c r="S14" s="22">
        <f>'[8]Dia 18 (b)'!$V20</f>
        <v>7.4390220113959238</v>
      </c>
      <c r="T14" s="22">
        <f>'[8]Dia 19 (b)'!$V20</f>
        <v>8.5666296363903829</v>
      </c>
      <c r="U14" s="22">
        <f>'[8]Dia 20 (b)'!$V20</f>
        <v>12.404183860556994</v>
      </c>
      <c r="V14" s="22">
        <f>'[8]Dia 21 (b)'!$V20</f>
        <v>12.727781056423158</v>
      </c>
      <c r="W14" s="22">
        <f>'[8]Dia 22 (b)'!$V20</f>
        <v>10.701967306963109</v>
      </c>
      <c r="X14" s="22">
        <f>'[8]Dia 23 (b)'!$V20</f>
        <v>10.21693889424218</v>
      </c>
      <c r="Y14" s="22">
        <f>'[8]Dia 24 (b)'!$V20</f>
        <v>14.617743324449496</v>
      </c>
      <c r="Z14" s="22">
        <f>'[8]Dia 25 (b)'!$V20</f>
        <v>10.145870307445954</v>
      </c>
      <c r="AA14" s="22">
        <f>'[8]Dia 26 (b)'!$V20</f>
        <v>5.3298526781585105</v>
      </c>
      <c r="AB14" s="22">
        <f>'[8]Dia 27 (b)'!$V20</f>
        <v>3.6302119502432006E-2</v>
      </c>
      <c r="AC14" s="22">
        <f>'[8]Dia 28 (b)'!$V20</f>
        <v>8.942243662528611</v>
      </c>
      <c r="AD14" s="22">
        <f>'[8]Dia 29 (b)'!$V20</f>
        <v>12.353428746742015</v>
      </c>
      <c r="AE14" s="22">
        <f>'[8]Dia 30 (b)'!$V20</f>
        <v>10.088994510666618</v>
      </c>
      <c r="AF14" s="18">
        <f>'[8]Dia 31 (b)'!$V20</f>
        <v>-99</v>
      </c>
      <c r="AG14" s="54"/>
    </row>
    <row r="15" spans="1:33" ht="15.75" customHeight="1">
      <c r="A15" s="16">
        <v>12</v>
      </c>
      <c r="B15" s="22">
        <f>'[8]Dia 1 (b)'!$V21</f>
        <v>13.664259658377858</v>
      </c>
      <c r="C15" s="22">
        <f>'[8]Dia 2 (b)'!$V21</f>
        <v>12.088281918910443</v>
      </c>
      <c r="D15" s="22">
        <f>'[8]Dia 3 (b)'!$V21</f>
        <v>11.322520773364326</v>
      </c>
      <c r="E15" s="22">
        <f>'[8]Dia 4 (b)'!$V21</f>
        <v>13.482046022253202</v>
      </c>
      <c r="F15" s="22">
        <f>'[8]Dia 5 (b)'!$V21</f>
        <v>11.914860996261904</v>
      </c>
      <c r="G15" s="22">
        <f>'[8]Dia 6 (b)'!$V21</f>
        <v>11.175664998938053</v>
      </c>
      <c r="H15" s="22">
        <f>'[8]Dia 7 (b)'!$V21</f>
        <v>9.2650240252788443</v>
      </c>
      <c r="I15" s="22">
        <f>'[8]Dia 8 (b)'!$V21</f>
        <v>9.2472993157952388</v>
      </c>
      <c r="J15" s="22">
        <f>'[8]Dia 9 (b)'!$V21</f>
        <v>12.605129354052048</v>
      </c>
      <c r="K15" s="22">
        <f>'[8]Dia 10 (b)'!$V21</f>
        <v>8.155502261648568</v>
      </c>
      <c r="L15" s="22">
        <f>'[8]Dia 11 (b)'!$V21</f>
        <v>0.53657585287621334</v>
      </c>
      <c r="M15" s="22">
        <f>'[8]Dia 12 (b)'!$V21</f>
        <v>1.9362646808281145</v>
      </c>
      <c r="N15" s="22">
        <f>'[8]Dia 13 (b)'!$V21</f>
        <v>5.7508383446369669</v>
      </c>
      <c r="O15" s="22">
        <f>'[8]Dia 14 (b)'!$V21</f>
        <v>8.6227804075856263</v>
      </c>
      <c r="P15" s="22">
        <f>'[8]Dia 15 (b)'!$V21</f>
        <v>11.528340967208141</v>
      </c>
      <c r="Q15" s="22">
        <f>'[8]Dia 16 (b)'!$V21</f>
        <v>10.528172216161362</v>
      </c>
      <c r="R15" s="22">
        <f>'[8]Dia 17 (b)'!$V21</f>
        <v>9.4865706452736909</v>
      </c>
      <c r="S15" s="22">
        <f>'[8]Dia 18 (b)'!$V21</f>
        <v>7.8140619416036667</v>
      </c>
      <c r="T15" s="22">
        <f>'[8]Dia 19 (b)'!$V21</f>
        <v>8.5456888138057732</v>
      </c>
      <c r="U15" s="22">
        <f>'[8]Dia 20 (b)'!$V21</f>
        <v>12.107451343082671</v>
      </c>
      <c r="V15" s="22">
        <f>'[8]Dia 21 (b)'!$V21</f>
        <v>12.19470951107291</v>
      </c>
      <c r="W15" s="22">
        <f>'[8]Dia 22 (b)'!$V21</f>
        <v>10.186827186364447</v>
      </c>
      <c r="X15" s="22">
        <f>'[8]Dia 23 (b)'!$V21</f>
        <v>7.8660947292187409</v>
      </c>
      <c r="Y15" s="22">
        <f>'[8]Dia 24 (b)'!$V21</f>
        <v>14.657338966198891</v>
      </c>
      <c r="Z15" s="22">
        <f>'[8]Dia 25 (b)'!$V21</f>
        <v>10.133810554708463</v>
      </c>
      <c r="AA15" s="22">
        <f>'[8]Dia 26 (b)'!$V21</f>
        <v>6.0655490303589259</v>
      </c>
      <c r="AB15" s="22">
        <f>'[8]Dia 27 (b)'!$V21</f>
        <v>2.1365197003683751</v>
      </c>
      <c r="AC15" s="22">
        <f>'[8]Dia 28 (b)'!$V21</f>
        <v>9.5085033999815494</v>
      </c>
      <c r="AD15" s="22">
        <f>'[8]Dia 29 (b)'!$V21</f>
        <v>12.476047178042954</v>
      </c>
      <c r="AE15" s="22">
        <f>'[8]Dia 30 (b)'!$V21</f>
        <v>5.5598605807524093</v>
      </c>
      <c r="AF15" s="18">
        <f>'[8]Dia 31 (b)'!$V21</f>
        <v>-99</v>
      </c>
      <c r="AG15" s="54"/>
    </row>
    <row r="16" spans="1:33" ht="15.75" customHeight="1">
      <c r="A16" s="16">
        <v>13</v>
      </c>
      <c r="B16" s="22">
        <f>'[8]Dia 1 (b)'!$V22</f>
        <v>12.910127197272599</v>
      </c>
      <c r="C16" s="22">
        <f>'[8]Dia 2 (b)'!$V22</f>
        <v>11.662083594679942</v>
      </c>
      <c r="D16" s="22">
        <f>'[8]Dia 3 (b)'!$V22</f>
        <v>10.748469439160734</v>
      </c>
      <c r="E16" s="22">
        <f>'[8]Dia 4 (b)'!$V22</f>
        <v>10.522676364778723</v>
      </c>
      <c r="F16" s="22">
        <f>'[8]Dia 5 (b)'!$V22</f>
        <v>11.588663078400442</v>
      </c>
      <c r="G16" s="22">
        <f>'[8]Dia 6 (b)'!$V22</f>
        <v>10.903818829587278</v>
      </c>
      <c r="H16" s="22">
        <f>'[8]Dia 7 (b)'!$V22</f>
        <v>7.5078501379367308</v>
      </c>
      <c r="I16" s="22">
        <f>'[8]Dia 8 (b)'!$V22</f>
        <v>9.0853419354171407</v>
      </c>
      <c r="J16" s="22">
        <f>'[8]Dia 9 (b)'!$V22</f>
        <v>13.0666546736354</v>
      </c>
      <c r="K16" s="22">
        <f>'[8]Dia 10 (b)'!$V22</f>
        <v>8.3446902177401316</v>
      </c>
      <c r="L16" s="22">
        <f>'[8]Dia 11 (b)'!$V22</f>
        <v>1.9084472317270735</v>
      </c>
      <c r="M16" s="22">
        <f>'[8]Dia 12 (b)'!$V22</f>
        <v>1.0294457819634286</v>
      </c>
      <c r="N16" s="22">
        <f>'[8]Dia 13 (b)'!$V22</f>
        <v>5.4874204330565943</v>
      </c>
      <c r="O16" s="22">
        <f>'[8]Dia 14 (b)'!$V22</f>
        <v>7.8643681486404926</v>
      </c>
      <c r="P16" s="22">
        <f>'[8]Dia 15 (b)'!$V22</f>
        <v>11.316732344981444</v>
      </c>
      <c r="Q16" s="22">
        <f>'[8]Dia 16 (b)'!$V22</f>
        <v>9.7204066324846679</v>
      </c>
      <c r="R16" s="22">
        <f>'[8]Dia 17 (b)'!$V22</f>
        <v>7.9726762425476734</v>
      </c>
      <c r="S16" s="22">
        <f>'[8]Dia 18 (b)'!$V22</f>
        <v>5.1618359026204876</v>
      </c>
      <c r="T16" s="22">
        <f>'[8]Dia 19 (b)'!$V22</f>
        <v>2.9770094452595144</v>
      </c>
      <c r="U16" s="22">
        <f>'[8]Dia 20 (b)'!$V22</f>
        <v>10.480746210815541</v>
      </c>
      <c r="V16" s="22">
        <f>'[8]Dia 21 (b)'!$V22</f>
        <v>10.34509397439812</v>
      </c>
      <c r="W16" s="22">
        <f>'[8]Dia 22 (b)'!$V22</f>
        <v>8.0815540167285267</v>
      </c>
      <c r="X16" s="22">
        <f>'[8]Dia 23 (b)'!$V22</f>
        <v>5.3626745847081407</v>
      </c>
      <c r="Y16" s="22">
        <f>'[8]Dia 24 (b)'!$V22</f>
        <v>14.27359352500573</v>
      </c>
      <c r="Z16" s="22">
        <f>'[8]Dia 25 (b)'!$V22</f>
        <v>9.8643967991197599</v>
      </c>
      <c r="AA16" s="22">
        <f>'[8]Dia 26 (b)'!$V22</f>
        <v>5.7203726543854945</v>
      </c>
      <c r="AB16" s="22">
        <f>'[8]Dia 27 (b)'!$V22</f>
        <v>2.366698724246421</v>
      </c>
      <c r="AC16" s="22">
        <f>'[8]Dia 28 (b)'!$V22</f>
        <v>9.4752478393181558</v>
      </c>
      <c r="AD16" s="22">
        <f>'[8]Dia 29 (b)'!$V22</f>
        <v>12.047154524408931</v>
      </c>
      <c r="AE16" s="22">
        <f>'[8]Dia 30 (b)'!$V22</f>
        <v>5.5265454392244759</v>
      </c>
      <c r="AF16" s="23">
        <f>'[8]Dia 31 (b)'!$V22</f>
        <v>13.66472322240222</v>
      </c>
      <c r="AG16" s="54"/>
    </row>
    <row r="17" spans="1:33" ht="15.75" customHeight="1">
      <c r="A17" s="16">
        <v>14</v>
      </c>
      <c r="B17" s="22">
        <f>'[8]Dia 1 (b)'!$V23</f>
        <v>11.853675269067246</v>
      </c>
      <c r="C17" s="22">
        <f>'[8]Dia 2 (b)'!$V23</f>
        <v>8.8960074448350106</v>
      </c>
      <c r="D17" s="22">
        <f>'[8]Dia 3 (b)'!$V23</f>
        <v>9.7272196402921232</v>
      </c>
      <c r="E17" s="22">
        <f>'[8]Dia 4 (b)'!$V23</f>
        <v>9.4152743347114924</v>
      </c>
      <c r="F17" s="22">
        <f>'[8]Dia 5 (b)'!$V23</f>
        <v>10.387080368738534</v>
      </c>
      <c r="G17" s="22">
        <f>'[8]Dia 6 (b)'!$V23</f>
        <v>9.5871556479956705</v>
      </c>
      <c r="H17" s="22">
        <f>'[8]Dia 7 (b)'!$V23</f>
        <v>8.0660516379415448</v>
      </c>
      <c r="I17" s="22">
        <f>'[8]Dia 8 (b)'!$V23</f>
        <v>8.4619984523626801</v>
      </c>
      <c r="J17" s="22">
        <f>'[8]Dia 9 (b)'!$V23</f>
        <v>13.329927225800253</v>
      </c>
      <c r="K17" s="22">
        <f>'[8]Dia 10 (b)'!$V23</f>
        <v>8.1173122412007945</v>
      </c>
      <c r="L17" s="22">
        <f>'[8]Dia 11 (b)'!$V23</f>
        <v>2.4314404020374796</v>
      </c>
      <c r="M17" s="22">
        <f>'[8]Dia 12 (b)'!$V23</f>
        <v>2.0896523793166009</v>
      </c>
      <c r="N17" s="22">
        <f>'[8]Dia 13 (b)'!$V23</f>
        <v>6.4690841205767997</v>
      </c>
      <c r="O17" s="22">
        <f>'[8]Dia 14 (b)'!$V23</f>
        <v>7.7118679704008892</v>
      </c>
      <c r="P17" s="22">
        <f>'[8]Dia 15 (b)'!$V23</f>
        <v>8.9698015470671102</v>
      </c>
      <c r="Q17" s="22">
        <f>'[8]Dia 16 (b)'!$V23</f>
        <v>7.8915927462554691</v>
      </c>
      <c r="R17" s="22">
        <f>'[8]Dia 17 (b)'!$V23</f>
        <v>6.6928883619323418</v>
      </c>
      <c r="S17" s="22">
        <f>'[8]Dia 18 (b)'!$V23</f>
        <v>6.4034446681211277</v>
      </c>
      <c r="T17" s="22">
        <f>'[8]Dia 19 (b)'!$V23</f>
        <v>1.3224732357254219</v>
      </c>
      <c r="U17" s="22">
        <f>'[8]Dia 20 (b)'!$V23</f>
        <v>8.5472772488444022</v>
      </c>
      <c r="V17" s="22">
        <f>'[8]Dia 21 (b)'!$V23</f>
        <v>10.619148752132686</v>
      </c>
      <c r="W17" s="22">
        <f>'[8]Dia 22 (b)'!$V23</f>
        <v>7.83928937334381</v>
      </c>
      <c r="X17" s="22">
        <f>'[8]Dia 23 (b)'!$V23</f>
        <v>5.0784332923468334</v>
      </c>
      <c r="Y17" s="22">
        <f>'[8]Dia 24 (b)'!$V23</f>
        <v>14.544459691218449</v>
      </c>
      <c r="Z17" s="22">
        <f>'[8]Dia 25 (b)'!$V23</f>
        <v>9.7889067855098677</v>
      </c>
      <c r="AA17" s="22">
        <f>'[8]Dia 26 (b)'!$V23</f>
        <v>5.301939815261786</v>
      </c>
      <c r="AB17" s="22">
        <f>'[8]Dia 27 (b)'!$V23</f>
        <v>4.2453082177798338</v>
      </c>
      <c r="AC17" s="22">
        <f>'[8]Dia 28 (b)'!$V23</f>
        <v>10.52561724961393</v>
      </c>
      <c r="AD17" s="22">
        <f>'[8]Dia 29 (b)'!$V23</f>
        <v>10.672751303631818</v>
      </c>
      <c r="AE17" s="22">
        <f>'[8]Dia 30 (b)'!$V23</f>
        <v>6.4604127074328304</v>
      </c>
      <c r="AF17" s="23">
        <f>'[8]Dia 31 (b)'!$V23</f>
        <v>12.329892217485682</v>
      </c>
      <c r="AG17" s="54"/>
    </row>
    <row r="18" spans="1:33" ht="15.75" customHeight="1">
      <c r="A18" s="16">
        <v>15</v>
      </c>
      <c r="B18" s="22">
        <f>'[8]Dia 1 (b)'!$V24</f>
        <v>16.337637273778213</v>
      </c>
      <c r="C18" s="22">
        <f>'[8]Dia 2 (b)'!$V24</f>
        <v>8.7928323915442643</v>
      </c>
      <c r="D18" s="22">
        <f>'[8]Dia 3 (b)'!$V24</f>
        <v>9.585374838686624</v>
      </c>
      <c r="E18" s="22">
        <f>'[8]Dia 4 (b)'!$V24</f>
        <v>9.7950654585363051</v>
      </c>
      <c r="F18" s="22">
        <f>'[8]Dia 5 (b)'!$V24</f>
        <v>8.3168243158213695</v>
      </c>
      <c r="G18" s="22">
        <f>'[8]Dia 6 (b)'!$V24</f>
        <v>9.3647199336064109</v>
      </c>
      <c r="H18" s="22">
        <f>'[8]Dia 7 (b)'!$V24</f>
        <v>8.3066275628387842</v>
      </c>
      <c r="I18" s="22">
        <f>'[8]Dia 8 (b)'!$V24</f>
        <v>8.5394162348155511</v>
      </c>
      <c r="J18" s="22">
        <f>'[8]Dia 9 (b)'!$V24</f>
        <v>13.933411499995485</v>
      </c>
      <c r="K18" s="22">
        <f>'[8]Dia 10 (b)'!$V24</f>
        <v>7.2957690565141791</v>
      </c>
      <c r="L18" s="22">
        <f>'[8]Dia 11 (b)'!$V24</f>
        <v>0.75449131886689313</v>
      </c>
      <c r="M18" s="22">
        <f>'[8]Dia 12 (b)'!$V24</f>
        <v>1.9476795380786205</v>
      </c>
      <c r="N18" s="22">
        <f>'[8]Dia 13 (b)'!$V24</f>
        <v>5.9243084605517504</v>
      </c>
      <c r="O18" s="22">
        <f>'[8]Dia 14 (b)'!$V24</f>
        <v>6.4484582389794403</v>
      </c>
      <c r="P18" s="22">
        <f>'[8]Dia 15 (b)'!$V24</f>
        <v>8.5671726201456284</v>
      </c>
      <c r="Q18" s="22">
        <f>'[8]Dia 16 (b)'!$V24</f>
        <v>8.0720694861097577</v>
      </c>
      <c r="R18" s="22">
        <f>'[8]Dia 17 (b)'!$V24</f>
        <v>3.8060711747864051</v>
      </c>
      <c r="S18" s="22">
        <f>'[8]Dia 18 (b)'!$V24</f>
        <v>4.6290686463849973</v>
      </c>
      <c r="T18" s="22">
        <f>'[8]Dia 19 (b)'!$V24</f>
        <v>4.3687628120375503</v>
      </c>
      <c r="U18" s="22">
        <f>'[8]Dia 20 (b)'!$V24</f>
        <v>13.714892523014221</v>
      </c>
      <c r="V18" s="22">
        <f>'[8]Dia 21 (b)'!$V24</f>
        <v>10.481331353457152</v>
      </c>
      <c r="W18" s="22">
        <f>'[8]Dia 22 (b)'!$V24</f>
        <v>7.4167881541796898</v>
      </c>
      <c r="X18" s="22">
        <f>'[8]Dia 23 (b)'!$V24</f>
        <v>5.2866323523983496</v>
      </c>
      <c r="Y18" s="22">
        <f>'[8]Dia 24 (b)'!$V24</f>
        <v>13.95461776338054</v>
      </c>
      <c r="Z18" s="22">
        <f>'[8]Dia 25 (b)'!$V24</f>
        <v>9.9854097116020277</v>
      </c>
      <c r="AA18" s="22">
        <f>'[8]Dia 26 (b)'!$V24</f>
        <v>5.5627825422049604</v>
      </c>
      <c r="AB18" s="22">
        <f>'[8]Dia 27 (b)'!$V24</f>
        <v>5.0696544579634972</v>
      </c>
      <c r="AC18" s="22">
        <f>'[8]Dia 28 (b)'!$V24</f>
        <v>10.908759457423429</v>
      </c>
      <c r="AD18" s="22">
        <f>'[8]Dia 29 (b)'!$V24</f>
        <v>9.5045774367871516</v>
      </c>
      <c r="AE18" s="22">
        <f>'[8]Dia 30 (b)'!$V24</f>
        <v>6.2570908459471246</v>
      </c>
      <c r="AF18" s="23">
        <f>'[8]Dia 31 (b)'!$V24</f>
        <v>9.8168128001345423</v>
      </c>
      <c r="AG18" s="54"/>
    </row>
    <row r="19" spans="1:33" ht="15.75" customHeight="1">
      <c r="A19" s="16">
        <v>16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8"/>
      <c r="AG19" s="54"/>
    </row>
    <row r="20" spans="1:33" ht="15.75" customHeight="1">
      <c r="A20" s="16">
        <v>17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8"/>
      <c r="AG20" s="54"/>
    </row>
    <row r="21" spans="1:33" ht="15.75" customHeight="1">
      <c r="A21" s="16">
        <v>18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8"/>
      <c r="AG21" s="54"/>
    </row>
    <row r="22" spans="1:33" ht="15.75" customHeight="1">
      <c r="A22" s="16">
        <v>19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8"/>
      <c r="AG22" s="54"/>
    </row>
    <row r="23" spans="1:33" ht="15.75" customHeight="1">
      <c r="A23" s="16">
        <v>20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8"/>
      <c r="AG23" s="54"/>
    </row>
    <row r="24" spans="1:33" ht="15.75" customHeight="1">
      <c r="A24" s="16">
        <v>21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8"/>
      <c r="AG24" s="54"/>
    </row>
    <row r="25" spans="1:33" ht="15.75" customHeight="1">
      <c r="A25" s="16">
        <v>22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8"/>
      <c r="AG25" s="54"/>
    </row>
    <row r="26" spans="1:33" ht="15.75" customHeight="1">
      <c r="A26" s="16">
        <v>23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8"/>
      <c r="AG26" s="54"/>
    </row>
    <row r="27" spans="1:33" ht="15.75" customHeight="1" thickBot="1">
      <c r="A27" s="16">
        <v>24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8"/>
      <c r="AG27" s="54"/>
    </row>
    <row r="28" spans="1:33" ht="15.75" thickTop="1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6"/>
    </row>
    <row r="29" spans="1:33" ht="15">
      <c r="A29" s="27"/>
      <c r="B29" s="28" t="s">
        <v>5</v>
      </c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57" t="s">
        <v>23</v>
      </c>
      <c r="AD29" s="29"/>
      <c r="AE29" s="29"/>
      <c r="AF29" s="30"/>
    </row>
    <row r="30" spans="1:33" ht="15.75">
      <c r="A30" s="31" t="s">
        <v>6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0"/>
      <c r="AG30" s="10"/>
    </row>
    <row r="31" spans="1:33" ht="15.75">
      <c r="A31" s="31" t="s">
        <v>7</v>
      </c>
      <c r="B31" s="33">
        <f>AVERAGE(B4:B27)</f>
        <v>13.71044782038889</v>
      </c>
      <c r="C31" s="33">
        <f t="shared" ref="C31:AF31" si="0">AVERAGE(C4:C27)</f>
        <v>11.947985843021542</v>
      </c>
      <c r="D31" s="33">
        <f t="shared" si="0"/>
        <v>10.865255293041129</v>
      </c>
      <c r="E31" s="33">
        <f t="shared" si="0"/>
        <v>12.6874760000038</v>
      </c>
      <c r="F31" s="33">
        <f t="shared" si="0"/>
        <v>12.637934017668563</v>
      </c>
      <c r="G31" s="33">
        <f t="shared" si="0"/>
        <v>11.5609181632519</v>
      </c>
      <c r="H31" s="33">
        <f t="shared" si="0"/>
        <v>10.234011716643217</v>
      </c>
      <c r="I31" s="33">
        <f t="shared" si="0"/>
        <v>9.8798609803797603</v>
      </c>
      <c r="J31" s="33">
        <f t="shared" si="0"/>
        <v>14.599489149056385</v>
      </c>
      <c r="K31" s="33">
        <f t="shared" si="0"/>
        <v>8.5476126046380081</v>
      </c>
      <c r="L31" s="33">
        <f t="shared" si="0"/>
        <v>3.9212520141017109</v>
      </c>
      <c r="M31" s="33">
        <f t="shared" si="0"/>
        <v>2.9196430093536172</v>
      </c>
      <c r="N31" s="33">
        <f t="shared" si="0"/>
        <v>6.3935494782570332</v>
      </c>
      <c r="O31" s="33">
        <f t="shared" si="0"/>
        <v>7.8856216705409121</v>
      </c>
      <c r="P31" s="33">
        <f>AVERAGE(P4:P27)</f>
        <v>10.633023238233719</v>
      </c>
      <c r="Q31" s="33">
        <f t="shared" si="0"/>
        <v>11.200530711631123</v>
      </c>
      <c r="R31" s="33">
        <f t="shared" si="0"/>
        <v>10.188803999944046</v>
      </c>
      <c r="S31" s="33">
        <f t="shared" si="0"/>
        <v>8.2253158842504472</v>
      </c>
      <c r="T31" s="33">
        <f t="shared" si="0"/>
        <v>7.1246270311389646</v>
      </c>
      <c r="U31" s="33">
        <f t="shared" si="0"/>
        <v>12.650996599553199</v>
      </c>
      <c r="V31" s="33">
        <f t="shared" si="0"/>
        <v>12.023777993675647</v>
      </c>
      <c r="W31" s="33">
        <f t="shared" si="0"/>
        <v>10.53626193256347</v>
      </c>
      <c r="X31" s="33">
        <f t="shared" si="0"/>
        <v>8.6521718809013723</v>
      </c>
      <c r="Y31" s="33">
        <f t="shared" si="0"/>
        <v>14.630306759972228</v>
      </c>
      <c r="Z31" s="33">
        <f t="shared" si="0"/>
        <v>10.207172388355556</v>
      </c>
      <c r="AA31" s="33">
        <f t="shared" si="0"/>
        <v>5.4547718247620605</v>
      </c>
      <c r="AB31" s="33">
        <f t="shared" si="0"/>
        <v>3.4985970385459</v>
      </c>
      <c r="AC31" s="33">
        <f t="shared" si="0"/>
        <v>9.401433261898104</v>
      </c>
      <c r="AD31" s="33">
        <f t="shared" si="0"/>
        <v>11.77379591950241</v>
      </c>
      <c r="AE31" s="33">
        <f t="shared" si="0"/>
        <v>9.1628326871190584</v>
      </c>
      <c r="AF31" s="34">
        <f t="shared" si="0"/>
        <v>-49.849170171682232</v>
      </c>
      <c r="AG31" s="10"/>
    </row>
    <row r="32" spans="1:33" ht="15">
      <c r="A32" s="35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7"/>
      <c r="AG32" s="10"/>
    </row>
    <row r="33" spans="1:33" ht="15">
      <c r="A33" s="35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7"/>
      <c r="AG33" s="10"/>
    </row>
    <row r="34" spans="1:33" ht="15.75">
      <c r="A34" s="31" t="s">
        <v>8</v>
      </c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7"/>
      <c r="AG34" s="10"/>
    </row>
    <row r="35" spans="1:33" ht="15.75">
      <c r="A35" s="31" t="s">
        <v>7</v>
      </c>
      <c r="B35" s="33">
        <f>MAX(B4:B27)</f>
        <v>16.337637273778213</v>
      </c>
      <c r="C35" s="33">
        <f t="shared" ref="C35:AF35" si="1">MAX(C4:C27)</f>
        <v>13.691269113740084</v>
      </c>
      <c r="D35" s="33">
        <f t="shared" si="1"/>
        <v>11.606653909246663</v>
      </c>
      <c r="E35" s="33">
        <f t="shared" si="1"/>
        <v>14.995032238940524</v>
      </c>
      <c r="F35" s="33">
        <f t="shared" si="1"/>
        <v>15.534908283812525</v>
      </c>
      <c r="G35" s="33">
        <f t="shared" si="1"/>
        <v>13.3492647714857</v>
      </c>
      <c r="H35" s="33">
        <f t="shared" si="1"/>
        <v>14.034960511761591</v>
      </c>
      <c r="I35" s="33">
        <f t="shared" si="1"/>
        <v>12.098291208674892</v>
      </c>
      <c r="J35" s="33">
        <f t="shared" si="1"/>
        <v>16.492540415930581</v>
      </c>
      <c r="K35" s="33">
        <f t="shared" si="1"/>
        <v>9.2936368280369592</v>
      </c>
      <c r="L35" s="33">
        <f t="shared" si="1"/>
        <v>7.9502407854902621</v>
      </c>
      <c r="M35" s="33">
        <f t="shared" si="1"/>
        <v>5.7169553027214519</v>
      </c>
      <c r="N35" s="33">
        <f t="shared" si="1"/>
        <v>7.4731737770419286</v>
      </c>
      <c r="O35" s="33">
        <f t="shared" si="1"/>
        <v>8.6227804075856263</v>
      </c>
      <c r="P35" s="33">
        <f>MAX(P4:P27)</f>
        <v>11.528340967208141</v>
      </c>
      <c r="Q35" s="33">
        <f t="shared" si="1"/>
        <v>13.901580917673614</v>
      </c>
      <c r="R35" s="33">
        <f t="shared" si="1"/>
        <v>14.249181920833394</v>
      </c>
      <c r="S35" s="33">
        <f t="shared" si="1"/>
        <v>11.896815305243875</v>
      </c>
      <c r="T35" s="33">
        <f t="shared" si="1"/>
        <v>10.032785994846048</v>
      </c>
      <c r="U35" s="33">
        <f t="shared" si="1"/>
        <v>15.236249918515366</v>
      </c>
      <c r="V35" s="33">
        <f t="shared" si="1"/>
        <v>13.508182244537126</v>
      </c>
      <c r="W35" s="33">
        <f t="shared" si="1"/>
        <v>13.28143898523758</v>
      </c>
      <c r="X35" s="33">
        <f t="shared" si="1"/>
        <v>11.753047445222929</v>
      </c>
      <c r="Y35" s="33">
        <f t="shared" si="1"/>
        <v>15.273127133778862</v>
      </c>
      <c r="Z35" s="33">
        <f t="shared" si="1"/>
        <v>10.603358834218458</v>
      </c>
      <c r="AA35" s="33">
        <f t="shared" si="1"/>
        <v>6.102397952855223</v>
      </c>
      <c r="AB35" s="33">
        <f t="shared" si="1"/>
        <v>5.4867134753773756</v>
      </c>
      <c r="AC35" s="33">
        <f t="shared" si="1"/>
        <v>10.908759457423429</v>
      </c>
      <c r="AD35" s="33">
        <f t="shared" si="1"/>
        <v>12.476047178042954</v>
      </c>
      <c r="AE35" s="33">
        <f t="shared" si="1"/>
        <v>12.909699614345479</v>
      </c>
      <c r="AF35" s="34">
        <f t="shared" si="1"/>
        <v>13.66472322240222</v>
      </c>
      <c r="AG35" s="10"/>
    </row>
    <row r="36" spans="1:33" ht="15">
      <c r="A36" s="35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7"/>
      <c r="AG36" s="10"/>
    </row>
    <row r="37" spans="1:33" ht="15">
      <c r="A37" s="35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7"/>
      <c r="AG37" s="10"/>
    </row>
    <row r="38" spans="1:33" ht="15.75">
      <c r="A38" s="31" t="s">
        <v>9</v>
      </c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7"/>
      <c r="AG38" s="10"/>
    </row>
    <row r="39" spans="1:33" ht="15.75">
      <c r="A39" s="31" t="s">
        <v>7</v>
      </c>
      <c r="B39" s="33">
        <f>MIN(B4:B27)</f>
        <v>11.853675269067246</v>
      </c>
      <c r="C39" s="33">
        <f t="shared" ref="C39:AF39" si="2">MIN(C4:C27)</f>
        <v>8.7928323915442643</v>
      </c>
      <c r="D39" s="33">
        <f t="shared" si="2"/>
        <v>9.585374838686624</v>
      </c>
      <c r="E39" s="33">
        <f t="shared" si="2"/>
        <v>9.4152743347114924</v>
      </c>
      <c r="F39" s="33">
        <f t="shared" si="2"/>
        <v>8.3168243158213695</v>
      </c>
      <c r="G39" s="33">
        <f t="shared" si="2"/>
        <v>9.3647199336064109</v>
      </c>
      <c r="H39" s="33">
        <f t="shared" si="2"/>
        <v>7.5078501379367308</v>
      </c>
      <c r="I39" s="33">
        <f t="shared" si="2"/>
        <v>8.4619984523626801</v>
      </c>
      <c r="J39" s="33">
        <f t="shared" si="2"/>
        <v>12.605129354052048</v>
      </c>
      <c r="K39" s="33">
        <f t="shared" si="2"/>
        <v>7.2957690565141791</v>
      </c>
      <c r="L39" s="33">
        <f t="shared" si="2"/>
        <v>0.53657585287621334</v>
      </c>
      <c r="M39" s="33">
        <f t="shared" si="2"/>
        <v>1.0294457819634286</v>
      </c>
      <c r="N39" s="33">
        <f t="shared" si="2"/>
        <v>5.4874204330565943</v>
      </c>
      <c r="O39" s="33">
        <f t="shared" si="2"/>
        <v>6.4484582389794403</v>
      </c>
      <c r="P39" s="33">
        <f>MIN(P4:P27)</f>
        <v>8.5671726201456284</v>
      </c>
      <c r="Q39" s="33">
        <f t="shared" si="2"/>
        <v>7.8915927462554691</v>
      </c>
      <c r="R39" s="33">
        <f t="shared" si="2"/>
        <v>3.8060711747864051</v>
      </c>
      <c r="S39" s="33">
        <f t="shared" si="2"/>
        <v>4.6290686463849973</v>
      </c>
      <c r="T39" s="33">
        <f t="shared" si="2"/>
        <v>1.3224732357254219</v>
      </c>
      <c r="U39" s="33">
        <f t="shared" si="2"/>
        <v>8.5472772488444022</v>
      </c>
      <c r="V39" s="33">
        <f t="shared" si="2"/>
        <v>10.34509397439812</v>
      </c>
      <c r="W39" s="33">
        <f t="shared" si="2"/>
        <v>7.4167881541796898</v>
      </c>
      <c r="X39" s="33">
        <f t="shared" si="2"/>
        <v>5.0784332923468334</v>
      </c>
      <c r="Y39" s="33">
        <f t="shared" si="2"/>
        <v>13.95461776338054</v>
      </c>
      <c r="Z39" s="33">
        <f t="shared" si="2"/>
        <v>9.7889067855098677</v>
      </c>
      <c r="AA39" s="33">
        <f t="shared" si="2"/>
        <v>4.8911018765930869</v>
      </c>
      <c r="AB39" s="33">
        <f t="shared" si="2"/>
        <v>3.6302119502432006E-2</v>
      </c>
      <c r="AC39" s="33">
        <f t="shared" si="2"/>
        <v>8.6319705012626269</v>
      </c>
      <c r="AD39" s="33">
        <f t="shared" si="2"/>
        <v>9.5045774367871516</v>
      </c>
      <c r="AE39" s="33">
        <f t="shared" si="2"/>
        <v>5.5265454392244759</v>
      </c>
      <c r="AF39" s="34">
        <f t="shared" si="2"/>
        <v>-99</v>
      </c>
      <c r="AG39" s="10"/>
    </row>
    <row r="40" spans="1:33" ht="15">
      <c r="A40" s="35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38"/>
      <c r="AG40" s="10"/>
    </row>
    <row r="41" spans="1:33" ht="15">
      <c r="A41" s="35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38"/>
      <c r="AG41" s="10"/>
    </row>
    <row r="42" spans="1:33" ht="15.75">
      <c r="A42" s="31" t="s">
        <v>10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38"/>
      <c r="AG42" s="10"/>
    </row>
    <row r="43" spans="1:33" ht="15.75">
      <c r="A43" s="31" t="s">
        <v>7</v>
      </c>
      <c r="B43" s="39">
        <f>B35-B39</f>
        <v>4.4839620047109676</v>
      </c>
      <c r="C43" s="39">
        <f t="shared" ref="C43:AF43" si="3">C35-C39</f>
        <v>4.8984367221958198</v>
      </c>
      <c r="D43" s="39">
        <f t="shared" si="3"/>
        <v>2.0212790705600394</v>
      </c>
      <c r="E43" s="39">
        <f t="shared" si="3"/>
        <v>5.579757904229032</v>
      </c>
      <c r="F43" s="39">
        <f t="shared" si="3"/>
        <v>7.2180839679911557</v>
      </c>
      <c r="G43" s="39">
        <f t="shared" si="3"/>
        <v>3.9845448378792891</v>
      </c>
      <c r="H43" s="39">
        <f t="shared" si="3"/>
        <v>6.5271103738248604</v>
      </c>
      <c r="I43" s="39">
        <f t="shared" si="3"/>
        <v>3.636292756312212</v>
      </c>
      <c r="J43" s="39">
        <f t="shared" si="3"/>
        <v>3.8874110618785327</v>
      </c>
      <c r="K43" s="39">
        <f t="shared" si="3"/>
        <v>1.9978677715227802</v>
      </c>
      <c r="L43" s="39">
        <f t="shared" si="3"/>
        <v>7.4136649326140489</v>
      </c>
      <c r="M43" s="39">
        <f t="shared" si="3"/>
        <v>4.6875095207580237</v>
      </c>
      <c r="N43" s="39">
        <f t="shared" si="3"/>
        <v>1.9857533439853343</v>
      </c>
      <c r="O43" s="39">
        <f t="shared" si="3"/>
        <v>2.174322168606186</v>
      </c>
      <c r="P43" s="39">
        <f>P35-P39</f>
        <v>2.9611683470625128</v>
      </c>
      <c r="Q43" s="39">
        <f t="shared" si="3"/>
        <v>6.0099881714181453</v>
      </c>
      <c r="R43" s="39">
        <f t="shared" si="3"/>
        <v>10.443110746046989</v>
      </c>
      <c r="S43" s="39">
        <f t="shared" si="3"/>
        <v>7.2677466588588775</v>
      </c>
      <c r="T43" s="39">
        <f t="shared" si="3"/>
        <v>8.710312759120626</v>
      </c>
      <c r="U43" s="39">
        <f t="shared" si="3"/>
        <v>6.6889726696709637</v>
      </c>
      <c r="V43" s="39">
        <f t="shared" si="3"/>
        <v>3.1630882701390064</v>
      </c>
      <c r="W43" s="39">
        <f t="shared" si="3"/>
        <v>5.8646508310578902</v>
      </c>
      <c r="X43" s="39">
        <f t="shared" si="3"/>
        <v>6.6746141528760958</v>
      </c>
      <c r="Y43" s="39">
        <f t="shared" si="3"/>
        <v>1.3185093703983224</v>
      </c>
      <c r="Z43" s="39">
        <f t="shared" si="3"/>
        <v>0.81445204870859023</v>
      </c>
      <c r="AA43" s="39">
        <f t="shared" si="3"/>
        <v>1.2112960762621361</v>
      </c>
      <c r="AB43" s="39">
        <f t="shared" si="3"/>
        <v>5.4504113558749436</v>
      </c>
      <c r="AC43" s="39">
        <f t="shared" si="3"/>
        <v>2.2767889561608019</v>
      </c>
      <c r="AD43" s="39">
        <f t="shared" si="3"/>
        <v>2.9714697412558024</v>
      </c>
      <c r="AE43" s="39">
        <f>AE35-AE39</f>
        <v>7.3831541751210032</v>
      </c>
      <c r="AF43" s="34">
        <f t="shared" si="3"/>
        <v>112.66472322240222</v>
      </c>
      <c r="AG43" s="10"/>
    </row>
    <row r="44" spans="1:33">
      <c r="A44" s="27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38"/>
      <c r="AG44" s="10"/>
    </row>
    <row r="45" spans="1:33">
      <c r="A45" s="27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38"/>
      <c r="AG45" s="10"/>
    </row>
    <row r="46" spans="1:33" ht="15.75">
      <c r="A46" s="27"/>
      <c r="B46" s="1"/>
      <c r="C46" s="1"/>
      <c r="D46" s="1"/>
      <c r="E46" s="1"/>
      <c r="F46" s="1"/>
      <c r="G46" s="1"/>
      <c r="H46" s="1"/>
      <c r="I46" s="40" t="s">
        <v>6</v>
      </c>
      <c r="J46" s="41"/>
      <c r="K46" s="41"/>
      <c r="L46" s="42" t="s">
        <v>8</v>
      </c>
      <c r="M46" s="43"/>
      <c r="N46" s="43"/>
      <c r="O46" s="42" t="s">
        <v>9</v>
      </c>
      <c r="P46" s="43"/>
      <c r="Q46" s="43"/>
      <c r="R46" s="42" t="s">
        <v>10</v>
      </c>
      <c r="S46" s="44"/>
      <c r="T46" s="41"/>
      <c r="U46" s="43" t="s">
        <v>6</v>
      </c>
      <c r="V46" s="43"/>
      <c r="W46" s="43" t="s">
        <v>6</v>
      </c>
      <c r="X46" s="43"/>
      <c r="Y46" s="43" t="s">
        <v>11</v>
      </c>
      <c r="Z46" s="43"/>
      <c r="AA46" s="1"/>
      <c r="AB46" s="1"/>
      <c r="AC46" s="1"/>
      <c r="AD46" s="1"/>
      <c r="AE46" s="1"/>
      <c r="AF46" s="38"/>
      <c r="AG46" s="10"/>
    </row>
    <row r="47" spans="1:33" ht="15.75">
      <c r="A47" s="27"/>
      <c r="B47" s="1"/>
      <c r="C47" s="1"/>
      <c r="D47" s="1"/>
      <c r="E47" s="1"/>
      <c r="F47" s="1"/>
      <c r="G47" s="1"/>
      <c r="H47" s="1"/>
      <c r="I47" s="45" t="s">
        <v>12</v>
      </c>
      <c r="J47" s="41"/>
      <c r="K47" s="41"/>
      <c r="L47" s="43" t="s">
        <v>12</v>
      </c>
      <c r="M47" s="43"/>
      <c r="N47" s="43"/>
      <c r="O47" s="43" t="s">
        <v>12</v>
      </c>
      <c r="P47" s="43"/>
      <c r="Q47" s="43"/>
      <c r="R47" s="43" t="s">
        <v>12</v>
      </c>
      <c r="S47" s="44"/>
      <c r="T47" s="41"/>
      <c r="U47" s="43" t="s">
        <v>13</v>
      </c>
      <c r="V47" s="43"/>
      <c r="W47" s="43" t="s">
        <v>14</v>
      </c>
      <c r="X47" s="43"/>
      <c r="Y47" s="43" t="s">
        <v>15</v>
      </c>
      <c r="Z47" s="43"/>
      <c r="AA47" s="1"/>
      <c r="AB47" s="1"/>
      <c r="AC47" s="1"/>
      <c r="AD47" s="1"/>
      <c r="AE47" s="1"/>
      <c r="AF47" s="38"/>
      <c r="AG47" s="10"/>
    </row>
    <row r="48" spans="1:33" ht="15">
      <c r="A48" s="27"/>
      <c r="B48" s="1"/>
      <c r="C48" s="1"/>
      <c r="D48" s="1"/>
      <c r="E48" s="1"/>
      <c r="F48" s="1"/>
      <c r="G48" s="1"/>
      <c r="H48" s="1"/>
      <c r="I48" s="29"/>
      <c r="J48" s="1"/>
      <c r="K48" s="1"/>
      <c r="L48" s="36"/>
      <c r="M48" s="36"/>
      <c r="N48" s="36"/>
      <c r="O48" s="36"/>
      <c r="P48" s="36"/>
      <c r="Q48" s="36"/>
      <c r="R48" s="36"/>
      <c r="S48" s="36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38"/>
      <c r="AG48" s="10"/>
    </row>
    <row r="49" spans="1:32" s="52" customFormat="1" ht="15.75" thickBot="1">
      <c r="A49" s="46"/>
      <c r="B49" s="47"/>
      <c r="C49" s="47"/>
      <c r="D49" s="47"/>
      <c r="E49" s="47"/>
      <c r="F49" s="47"/>
      <c r="G49" s="47"/>
      <c r="H49" s="47"/>
      <c r="I49" s="48">
        <f>AVERAGE(B31:AF31)</f>
        <v>7.8485905400229514</v>
      </c>
      <c r="J49" s="47"/>
      <c r="K49" s="47"/>
      <c r="L49" s="48">
        <f>MAX(B35:AF35)</f>
        <v>16.492540415930581</v>
      </c>
      <c r="M49" s="49"/>
      <c r="N49" s="49"/>
      <c r="O49" s="48">
        <f>MIN(B39:AF39)</f>
        <v>-99</v>
      </c>
      <c r="P49" s="49"/>
      <c r="Q49" s="49"/>
      <c r="R49" s="48">
        <f>L49-O49</f>
        <v>115.49254041593058</v>
      </c>
      <c r="S49" s="49"/>
      <c r="T49" s="47"/>
      <c r="U49" s="48">
        <f>AVERAGE(B35:AF35)</f>
        <v>11.935799851484163</v>
      </c>
      <c r="V49" s="50"/>
      <c r="W49" s="48">
        <f>AVERAGE(B39:AF39)</f>
        <v>3.794817464725996</v>
      </c>
      <c r="X49" s="50"/>
      <c r="Y49" s="48">
        <f>U49-W49</f>
        <v>8.1409823867581661</v>
      </c>
      <c r="Z49" s="47"/>
      <c r="AA49" s="47"/>
      <c r="AB49" s="47"/>
      <c r="AC49" s="47"/>
      <c r="AD49" s="47"/>
      <c r="AE49" s="47"/>
      <c r="AF49" s="51"/>
    </row>
    <row r="50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AG50"/>
  <sheetViews>
    <sheetView zoomScale="75" zoomScaleNormal="75" workbookViewId="0">
      <selection activeCell="E23" sqref="E23"/>
    </sheetView>
  </sheetViews>
  <sheetFormatPr defaultColWidth="11.42578125" defaultRowHeight="12.75"/>
  <cols>
    <col min="1" max="32" width="9.140625" customWidth="1"/>
    <col min="33" max="33" width="12.7109375" customWidth="1"/>
  </cols>
  <sheetData>
    <row r="1" spans="1:33" ht="18">
      <c r="A1" s="1"/>
      <c r="B1" s="2" t="s">
        <v>24</v>
      </c>
      <c r="C1" s="3"/>
      <c r="D1" s="4"/>
      <c r="E1" s="5"/>
      <c r="F1" s="1"/>
      <c r="G1" s="1"/>
      <c r="H1" s="1"/>
      <c r="I1" s="1"/>
      <c r="J1" s="6"/>
      <c r="K1" s="6"/>
      <c r="L1" s="7" t="s">
        <v>1</v>
      </c>
      <c r="M1" s="8" t="s">
        <v>2</v>
      </c>
      <c r="N1" s="9" t="s">
        <v>3</v>
      </c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15.75" customHeight="1" thickBot="1">
      <c r="A3" s="11" t="s">
        <v>4</v>
      </c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2">
        <v>8</v>
      </c>
      <c r="J3" s="12">
        <v>9</v>
      </c>
      <c r="K3" s="12">
        <v>10</v>
      </c>
      <c r="L3" s="12">
        <v>11</v>
      </c>
      <c r="M3" s="12">
        <v>12</v>
      </c>
      <c r="N3" s="12">
        <v>13</v>
      </c>
      <c r="O3" s="12">
        <v>14</v>
      </c>
      <c r="P3" s="12">
        <v>15</v>
      </c>
      <c r="Q3" s="12">
        <v>16</v>
      </c>
      <c r="R3" s="12">
        <v>17</v>
      </c>
      <c r="S3" s="12">
        <v>18</v>
      </c>
      <c r="T3" s="12">
        <v>19</v>
      </c>
      <c r="U3" s="12">
        <v>20</v>
      </c>
      <c r="V3" s="12">
        <v>21</v>
      </c>
      <c r="W3" s="12">
        <v>22</v>
      </c>
      <c r="X3" s="12">
        <v>23</v>
      </c>
      <c r="Y3" s="12">
        <v>24</v>
      </c>
      <c r="Z3" s="13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5"/>
    </row>
    <row r="4" spans="1:33" ht="15.75" customHeight="1">
      <c r="A4" s="16">
        <v>1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8"/>
      <c r="AG4" s="54"/>
    </row>
    <row r="5" spans="1:33" ht="15.75" customHeight="1">
      <c r="A5" s="16">
        <v>2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8"/>
      <c r="AG5" s="54"/>
    </row>
    <row r="6" spans="1:33" ht="15.75" customHeight="1">
      <c r="A6" s="16">
        <v>3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8"/>
      <c r="AG6" s="54"/>
    </row>
    <row r="7" spans="1:33" ht="15.75" customHeight="1">
      <c r="A7" s="16">
        <v>4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8"/>
      <c r="AG7" s="54"/>
    </row>
    <row r="8" spans="1:33" ht="15.75" customHeight="1">
      <c r="A8" s="16">
        <v>5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8"/>
      <c r="AG8" s="54"/>
    </row>
    <row r="9" spans="1:33" ht="15.75" customHeight="1">
      <c r="A9" s="16">
        <v>6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8"/>
      <c r="AG9" s="54"/>
    </row>
    <row r="10" spans="1:33" ht="15.75" customHeight="1">
      <c r="A10" s="16">
        <v>7</v>
      </c>
      <c r="B10" s="22">
        <f>'[9]Dia 1 (b)'!$V16</f>
        <v>13.277202467953369</v>
      </c>
      <c r="C10" s="22">
        <f>'[9]Dia 2 (b)'!$V16</f>
        <v>15.052254263606439</v>
      </c>
      <c r="D10" s="22">
        <f>'[9]Dia 3 (b)'!$V16</f>
        <v>14.485545174299734</v>
      </c>
      <c r="E10" s="22">
        <f>'[9]Dia 4 (b)'!$V16</f>
        <v>15.679852487345389</v>
      </c>
      <c r="F10" s="22">
        <f>'[9]Dia 5 (b)'!$V16</f>
        <v>13.931109985551963</v>
      </c>
      <c r="G10" s="22">
        <f>'[9]Dia 6 (b)'!$V16</f>
        <v>13.580794675668708</v>
      </c>
      <c r="H10" s="22">
        <f>'[9]Dia 7 (b)'!$V16</f>
        <v>16.03782085684032</v>
      </c>
      <c r="I10" s="22">
        <f>'[9]Dia 8 (b)'!$V16</f>
        <v>17.73012442618926</v>
      </c>
      <c r="J10" s="22">
        <f>'[9]Dia 9 (b)'!$V16</f>
        <v>16.128612531368439</v>
      </c>
      <c r="K10" s="22">
        <f>'[9]Dia 10 (b)'!$V16</f>
        <v>13.581289356938322</v>
      </c>
      <c r="L10" s="22">
        <f>'[9]Dia 11 (b)'!$V16</f>
        <v>13.654817969961705</v>
      </c>
      <c r="M10" s="22">
        <f>'[9]Dia 12 (b)'!$V16</f>
        <v>12.085022940854287</v>
      </c>
      <c r="N10" s="22">
        <f>'[9]Dia 13 (b)'!$V16</f>
        <v>11.551692930039797</v>
      </c>
      <c r="O10" s="22">
        <f>'[9]Dia 14 (b)'!$V16</f>
        <v>11.776936631238037</v>
      </c>
      <c r="P10" s="22">
        <f>'[9]Dia 15 (b)'!$V16</f>
        <v>15.564646032644255</v>
      </c>
      <c r="Q10" s="22">
        <f>'[9]Dia 16 (b)'!$V16</f>
        <v>14.774675788475621</v>
      </c>
      <c r="R10" s="22">
        <f>'[9]Dia 17 (b)'!$V16</f>
        <v>13.436308752154961</v>
      </c>
      <c r="S10" s="22">
        <f>'[9]Dia 18 (b)'!$V16</f>
        <v>12.474165435500726</v>
      </c>
      <c r="T10" s="22">
        <f>'[9]Dia 19 (b)'!$V16</f>
        <v>14.466983824719346</v>
      </c>
      <c r="U10" s="22">
        <f>'[9]Dia 20 (b)'!$V16</f>
        <v>16.132307654429489</v>
      </c>
      <c r="V10" s="22">
        <f>'[9]Dia 21 (b)'!$V16</f>
        <v>16.493095057694976</v>
      </c>
      <c r="W10" s="22">
        <f>'[9]Dia 22 (b)'!$V16</f>
        <v>17.014291532032509</v>
      </c>
      <c r="X10" s="22">
        <f>'[9]Dia 23 (b)'!$V16</f>
        <v>17.266297844017291</v>
      </c>
      <c r="Y10" s="22">
        <f>'[9]Dia 24 (b)'!$V16</f>
        <v>16.849685488701002</v>
      </c>
      <c r="Z10" s="22">
        <f>'[9]Dia 25 (b)'!$V16</f>
        <v>17.114122165680737</v>
      </c>
      <c r="AA10" s="22">
        <f>'[9]Dia 26 (b)'!$V16</f>
        <v>14.954723699190717</v>
      </c>
      <c r="AB10" s="22">
        <f>'[9]Dia 27 (b)'!$V16</f>
        <v>16.930425713049896</v>
      </c>
      <c r="AC10" s="22">
        <f>'[9]Dia 28 (b)'!$V16</f>
        <v>12.964204491669648</v>
      </c>
      <c r="AD10" s="22">
        <f>'[9]Dia 29 (b)'!$V16</f>
        <v>13.779907316304076</v>
      </c>
      <c r="AE10" s="22">
        <f>'[9]Dia 30 (b)'!$V16</f>
        <v>15.811000226861282</v>
      </c>
      <c r="AF10" s="23"/>
      <c r="AG10" s="54"/>
    </row>
    <row r="11" spans="1:33" ht="15.75" customHeight="1">
      <c r="A11" s="16">
        <v>8</v>
      </c>
      <c r="B11" s="22">
        <f>'[9]Dia 1 (b)'!$V17</f>
        <v>13.433165647738003</v>
      </c>
      <c r="C11" s="22">
        <f>'[9]Dia 2 (b)'!$V17</f>
        <v>14.748473161350768</v>
      </c>
      <c r="D11" s="22">
        <f>'[9]Dia 3 (b)'!$V17</f>
        <v>15.147351124173847</v>
      </c>
      <c r="E11" s="22">
        <f>'[9]Dia 4 (b)'!$V17</f>
        <v>15.985652227675473</v>
      </c>
      <c r="F11" s="22">
        <f>'[9]Dia 5 (b)'!$V17</f>
        <v>14.074992213671456</v>
      </c>
      <c r="G11" s="22">
        <f>'[9]Dia 6 (b)'!$V17</f>
        <v>13.501221776578824</v>
      </c>
      <c r="H11" s="22">
        <f>'[9]Dia 7 (b)'!$V17</f>
        <v>16.492177588467502</v>
      </c>
      <c r="I11" s="22">
        <f>'[9]Dia 8 (b)'!$V17</f>
        <v>18.229031103156647</v>
      </c>
      <c r="J11" s="22">
        <f>'[9]Dia 9 (b)'!$V17</f>
        <v>17.124149597796027</v>
      </c>
      <c r="K11" s="22">
        <f>'[9]Dia 10 (b)'!$V17</f>
        <v>16.131367146465305</v>
      </c>
      <c r="L11" s="22">
        <f>'[9]Dia 11 (b)'!$V17</f>
        <v>12.799705791301403</v>
      </c>
      <c r="M11" s="22">
        <f>'[9]Dia 12 (b)'!$V17</f>
        <v>11.045443905228618</v>
      </c>
      <c r="N11" s="22">
        <f>'[9]Dia 13 (b)'!$V17</f>
        <v>8.8086731674106975</v>
      </c>
      <c r="O11" s="22">
        <f>'[9]Dia 14 (b)'!$V17</f>
        <v>11.729571712913797</v>
      </c>
      <c r="P11" s="22">
        <f>'[9]Dia 15 (b)'!$V17</f>
        <v>15.558749962281103</v>
      </c>
      <c r="Q11" s="22">
        <f>'[9]Dia 16 (b)'!$V17</f>
        <v>14.065372247542109</v>
      </c>
      <c r="R11" s="22">
        <f>'[9]Dia 17 (b)'!$V17</f>
        <v>13.436087515316862</v>
      </c>
      <c r="S11" s="22">
        <f>'[9]Dia 18 (b)'!$V17</f>
        <v>12.51714111624559</v>
      </c>
      <c r="T11" s="22">
        <f>'[9]Dia 19 (b)'!$V17</f>
        <v>14.656171843189222</v>
      </c>
      <c r="U11" s="22">
        <f>'[9]Dia 20 (b)'!$V17</f>
        <v>16.568704170302869</v>
      </c>
      <c r="V11" s="22">
        <f>'[9]Dia 21 (b)'!$V17</f>
        <v>16.554307666987167</v>
      </c>
      <c r="W11" s="22">
        <f>'[9]Dia 22 (b)'!$V17</f>
        <v>16.709807240359812</v>
      </c>
      <c r="X11" s="22">
        <f>'[9]Dia 23 (b)'!$V17</f>
        <v>18.027901718835377</v>
      </c>
      <c r="Y11" s="22">
        <f>'[9]Dia 24 (b)'!$V17</f>
        <v>17.532608109549511</v>
      </c>
      <c r="Z11" s="22">
        <f>'[9]Dia 25 (b)'!$V17</f>
        <v>16.773659160143826</v>
      </c>
      <c r="AA11" s="22">
        <f>'[9]Dia 26 (b)'!$V17</f>
        <v>14.542450176740321</v>
      </c>
      <c r="AB11" s="22">
        <f>'[9]Dia 27 (b)'!$V17</f>
        <v>16.621674585647508</v>
      </c>
      <c r="AC11" s="22">
        <f>'[9]Dia 28 (b)'!$V17</f>
        <v>12.343545224743979</v>
      </c>
      <c r="AD11" s="22">
        <f>'[9]Dia 29 (b)'!$V17</f>
        <v>14.326923009352999</v>
      </c>
      <c r="AE11" s="22">
        <f>'[9]Dia 30 (b)'!$V17</f>
        <v>16.1429092282665</v>
      </c>
      <c r="AF11" s="23"/>
      <c r="AG11" s="54"/>
    </row>
    <row r="12" spans="1:33" ht="15.75" customHeight="1">
      <c r="A12" s="16">
        <v>9</v>
      </c>
      <c r="B12" s="22">
        <f>'[9]Dia 1 (b)'!$V18</f>
        <v>12.383327529128602</v>
      </c>
      <c r="C12" s="22">
        <f>'[9]Dia 2 (b)'!$V18</f>
        <v>16.548424179845757</v>
      </c>
      <c r="D12" s="22">
        <f>'[9]Dia 3 (b)'!$V18</f>
        <v>14.83366799147152</v>
      </c>
      <c r="E12" s="22">
        <f>'[9]Dia 4 (b)'!$V18</f>
        <v>14.850813654429666</v>
      </c>
      <c r="F12" s="22">
        <f>'[9]Dia 5 (b)'!$V18</f>
        <v>14.768758731196868</v>
      </c>
      <c r="G12" s="22">
        <f>'[9]Dia 6 (b)'!$V18</f>
        <v>13.988773266145826</v>
      </c>
      <c r="H12" s="22">
        <f>'[9]Dia 7 (b)'!$V18</f>
        <v>16.656905416382799</v>
      </c>
      <c r="I12" s="22">
        <f>'[9]Dia 8 (b)'!$V18</f>
        <v>17.550575516682152</v>
      </c>
      <c r="J12" s="22">
        <f>'[9]Dia 9 (b)'!$V18</f>
        <v>16.608067202406584</v>
      </c>
      <c r="K12" s="22">
        <f>'[9]Dia 10 (b)'!$V18</f>
        <v>10.549885615622479</v>
      </c>
      <c r="L12" s="22">
        <f>'[9]Dia 11 (b)'!$V18</f>
        <v>10.586416937066506</v>
      </c>
      <c r="M12" s="22">
        <f>'[9]Dia 12 (b)'!$V18</f>
        <v>8.7008106701899273</v>
      </c>
      <c r="N12" s="22">
        <f>'[9]Dia 13 (b)'!$V18</f>
        <v>8.7752814368456242</v>
      </c>
      <c r="O12" s="22">
        <f>'[9]Dia 14 (b)'!$V18</f>
        <v>15.212334337409679</v>
      </c>
      <c r="P12" s="22">
        <f>'[9]Dia 15 (b)'!$V18</f>
        <v>15.296229213288752</v>
      </c>
      <c r="Q12" s="22">
        <f>'[9]Dia 16 (b)'!$V18</f>
        <v>13.989342961917234</v>
      </c>
      <c r="R12" s="22">
        <f>'[9]Dia 17 (b)'!$V18</f>
        <v>12.981867746276118</v>
      </c>
      <c r="S12" s="22">
        <f>'[9]Dia 18 (b)'!$V18</f>
        <v>12.884081810013875</v>
      </c>
      <c r="T12" s="22">
        <f>'[9]Dia 19 (b)'!$V18</f>
        <v>14.776283372364698</v>
      </c>
      <c r="U12" s="22">
        <f>'[9]Dia 20 (b)'!$V18</f>
        <v>16.455930996600028</v>
      </c>
      <c r="V12" s="22">
        <f>'[9]Dia 21 (b)'!$V18</f>
        <v>16.01927759493789</v>
      </c>
      <c r="W12" s="22">
        <f>'[9]Dia 22 (b)'!$V18</f>
        <v>16.820915599742975</v>
      </c>
      <c r="X12" s="22">
        <f>'[9]Dia 23 (b)'!$V18</f>
        <v>17.679790263275528</v>
      </c>
      <c r="Y12" s="22">
        <f>'[9]Dia 24 (b)'!$V18</f>
        <v>17.08867574095235</v>
      </c>
      <c r="Z12" s="22">
        <f>'[9]Dia 25 (b)'!$V18</f>
        <v>16.553120777258126</v>
      </c>
      <c r="AA12" s="22">
        <f>'[9]Dia 26 (b)'!$V18</f>
        <v>13.294103610293392</v>
      </c>
      <c r="AB12" s="22">
        <f>'[9]Dia 27 (b)'!$V18</f>
        <v>17.930171723445735</v>
      </c>
      <c r="AC12" s="22">
        <f>'[9]Dia 28 (b)'!$V18</f>
        <v>12.262739066560167</v>
      </c>
      <c r="AD12" s="22">
        <f>'[9]Dia 29 (b)'!$V18</f>
        <v>14.099193070281972</v>
      </c>
      <c r="AE12" s="22">
        <f>'[9]Dia 30 (b)'!$V18</f>
        <v>16.283474266452767</v>
      </c>
      <c r="AF12" s="23"/>
      <c r="AG12" s="54"/>
    </row>
    <row r="13" spans="1:33" ht="15.75" customHeight="1">
      <c r="A13" s="16">
        <v>10</v>
      </c>
      <c r="B13" s="22">
        <f>'[9]Dia 1 (b)'!$V19</f>
        <v>11.335108288297114</v>
      </c>
      <c r="C13" s="22">
        <f>'[9]Dia 2 (b)'!$V19</f>
        <v>15.487898900734645</v>
      </c>
      <c r="D13" s="22">
        <f>'[9]Dia 3 (b)'!$V19</f>
        <v>15.271464620835006</v>
      </c>
      <c r="E13" s="22">
        <f>'[9]Dia 4 (b)'!$V19</f>
        <v>12.340028198564125</v>
      </c>
      <c r="F13" s="22">
        <f>'[9]Dia 5 (b)'!$V19</f>
        <v>14.349719167563595</v>
      </c>
      <c r="G13" s="22">
        <f>'[9]Dia 6 (b)'!$V19</f>
        <v>13.91566710033908</v>
      </c>
      <c r="H13" s="22">
        <f>'[9]Dia 7 (b)'!$V19</f>
        <v>16.712291686481326</v>
      </c>
      <c r="I13" s="22">
        <f>'[9]Dia 8 (b)'!$V19</f>
        <v>16.8768299604966</v>
      </c>
      <c r="J13" s="22">
        <f>'[9]Dia 9 (b)'!$V19</f>
        <v>14.225278437567663</v>
      </c>
      <c r="K13" s="22">
        <f>'[9]Dia 10 (b)'!$V19</f>
        <v>9.6755490709801251</v>
      </c>
      <c r="L13" s="22">
        <f>'[9]Dia 11 (b)'!$V19</f>
        <v>9.1233818907763027</v>
      </c>
      <c r="M13" s="22">
        <f>'[9]Dia 12 (b)'!$V19</f>
        <v>6.9204762027897724</v>
      </c>
      <c r="N13" s="22">
        <f>'[9]Dia 13 (b)'!$V19</f>
        <v>7.8247112504730705</v>
      </c>
      <c r="O13" s="22">
        <f>'[9]Dia 14 (b)'!$V19</f>
        <v>15.181821221980623</v>
      </c>
      <c r="P13" s="22">
        <f>'[9]Dia 15 (b)'!$V19</f>
        <v>15.439852299485437</v>
      </c>
      <c r="Q13" s="22">
        <f>'[9]Dia 16 (b)'!$V19</f>
        <v>14.91001800929747</v>
      </c>
      <c r="R13" s="22">
        <f>'[9]Dia 17 (b)'!$V19</f>
        <v>12.747603873761879</v>
      </c>
      <c r="S13" s="22">
        <f>'[9]Dia 18 (b)'!$V19</f>
        <v>12.917422035427665</v>
      </c>
      <c r="T13" s="22">
        <f>'[9]Dia 19 (b)'!$V19</f>
        <v>15.434782801011446</v>
      </c>
      <c r="U13" s="22">
        <f>'[9]Dia 20 (b)'!$V19</f>
        <v>16.636182449274965</v>
      </c>
      <c r="V13" s="22">
        <f>'[9]Dia 21 (b)'!$V19</f>
        <v>15.473852291585011</v>
      </c>
      <c r="W13" s="22">
        <f>'[9]Dia 22 (b)'!$V19</f>
        <v>16.605767307168264</v>
      </c>
      <c r="X13" s="22">
        <f>'[9]Dia 23 (b)'!$V19</f>
        <v>16.152996838350308</v>
      </c>
      <c r="Y13" s="22">
        <f>'[9]Dia 24 (b)'!$V19</f>
        <v>16.443159670866603</v>
      </c>
      <c r="Z13" s="22">
        <f>'[9]Dia 25 (b)'!$V19</f>
        <v>15.748577220581254</v>
      </c>
      <c r="AA13" s="22">
        <f>'[9]Dia 26 (b)'!$V19</f>
        <v>11.693500058995946</v>
      </c>
      <c r="AB13" s="22">
        <f>'[9]Dia 27 (b)'!$V19</f>
        <v>18.706305908273066</v>
      </c>
      <c r="AC13" s="22">
        <f>'[9]Dia 28 (b)'!$V19</f>
        <v>11.979272574661019</v>
      </c>
      <c r="AD13" s="22">
        <f>'[9]Dia 29 (b)'!$V19</f>
        <v>14.986266879608284</v>
      </c>
      <c r="AE13" s="22">
        <f>'[9]Dia 30 (b)'!$V19</f>
        <v>15.962867329030738</v>
      </c>
      <c r="AF13" s="23"/>
      <c r="AG13" s="54"/>
    </row>
    <row r="14" spans="1:33" ht="15.75" customHeight="1">
      <c r="A14" s="16">
        <v>11</v>
      </c>
      <c r="B14" s="22">
        <f>'[9]Dia 1 (b)'!$V20</f>
        <v>10.104740365923181</v>
      </c>
      <c r="C14" s="22">
        <f>'[9]Dia 2 (b)'!$V20</f>
        <v>15.438164580103809</v>
      </c>
      <c r="D14" s="22">
        <f>'[9]Dia 3 (b)'!$V20</f>
        <v>14.679440210797447</v>
      </c>
      <c r="E14" s="22">
        <f>'[9]Dia 4 (b)'!$V20</f>
        <v>10.472659646528076</v>
      </c>
      <c r="F14" s="22">
        <f>'[9]Dia 5 (b)'!$V20</f>
        <v>14.173502135009279</v>
      </c>
      <c r="G14" s="22">
        <f>'[9]Dia 6 (b)'!$V20</f>
        <v>14.473633079498375</v>
      </c>
      <c r="H14" s="22">
        <f>'[9]Dia 7 (b)'!$V20</f>
        <v>16.982216588596152</v>
      </c>
      <c r="I14" s="22">
        <f>'[9]Dia 8 (b)'!$V20</f>
        <v>15.445643488282897</v>
      </c>
      <c r="J14" s="22">
        <f>'[9]Dia 9 (b)'!$V20</f>
        <v>12.616869897372034</v>
      </c>
      <c r="K14" s="22">
        <f>'[9]Dia 10 (b)'!$V20</f>
        <v>8.1656808310925619</v>
      </c>
      <c r="L14" s="22">
        <f>'[9]Dia 11 (b)'!$V20</f>
        <v>8.3082685144363442</v>
      </c>
      <c r="M14" s="22">
        <f>'[9]Dia 12 (b)'!$V20</f>
        <v>5.9800162716842147</v>
      </c>
      <c r="N14" s="22">
        <f>'[9]Dia 13 (b)'!$V20</f>
        <v>8.0849918574629829</v>
      </c>
      <c r="O14" s="22">
        <f>'[9]Dia 14 (b)'!$V20</f>
        <v>13.71869515743405</v>
      </c>
      <c r="P14" s="22">
        <f>'[9]Dia 15 (b)'!$V20</f>
        <v>15.754934144153356</v>
      </c>
      <c r="Q14" s="22">
        <f>'[9]Dia 16 (b)'!$V20</f>
        <v>14.966210769509548</v>
      </c>
      <c r="R14" s="22">
        <f>'[9]Dia 17 (b)'!$V20</f>
        <v>12.347394411168343</v>
      </c>
      <c r="S14" s="22">
        <f>'[9]Dia 18 (b)'!$V20</f>
        <v>14.000925053963895</v>
      </c>
      <c r="T14" s="22">
        <f>'[9]Dia 19 (b)'!$V20</f>
        <v>15.046192457130795</v>
      </c>
      <c r="U14" s="22">
        <f>'[9]Dia 20 (b)'!$V20</f>
        <v>15.095362476603658</v>
      </c>
      <c r="V14" s="22">
        <f>'[9]Dia 21 (b)'!$V20</f>
        <v>14.944989025339313</v>
      </c>
      <c r="W14" s="22">
        <f>'[9]Dia 22 (b)'!$V20</f>
        <v>16.516526714931388</v>
      </c>
      <c r="X14" s="22">
        <f>'[9]Dia 23 (b)'!$V20</f>
        <v>11.437713945106436</v>
      </c>
      <c r="Y14" s="22">
        <f>'[9]Dia 24 (b)'!$V20</f>
        <v>15.010084788395135</v>
      </c>
      <c r="Z14" s="22">
        <f>'[9]Dia 25 (b)'!$V20</f>
        <v>14.661588904254032</v>
      </c>
      <c r="AA14" s="22">
        <f>'[9]Dia 26 (b)'!$V20</f>
        <v>11.017893726736423</v>
      </c>
      <c r="AB14" s="22">
        <f>'[9]Dia 27 (b)'!$V20</f>
        <v>18.070757567884776</v>
      </c>
      <c r="AC14" s="22">
        <f>'[9]Dia 28 (b)'!$V20</f>
        <v>11.813147596498036</v>
      </c>
      <c r="AD14" s="22">
        <f>'[9]Dia 29 (b)'!$V20</f>
        <v>14.953521895232642</v>
      </c>
      <c r="AE14" s="22">
        <f>'[9]Dia 30 (b)'!$V20</f>
        <v>16.072969342306052</v>
      </c>
      <c r="AF14" s="23"/>
      <c r="AG14" s="54"/>
    </row>
    <row r="15" spans="1:33" ht="15.75" customHeight="1">
      <c r="A15" s="16">
        <v>12</v>
      </c>
      <c r="B15" s="22">
        <f>'[9]Dia 1 (b)'!$V21</f>
        <v>5.5488835029272314</v>
      </c>
      <c r="C15" s="22">
        <f>'[9]Dia 2 (b)'!$V21</f>
        <v>15.170999365674708</v>
      </c>
      <c r="D15" s="22">
        <f>'[9]Dia 3 (b)'!$V21</f>
        <v>14.521191739381385</v>
      </c>
      <c r="E15" s="22">
        <f>'[9]Dia 4 (b)'!$V21</f>
        <v>6.3458544061187832</v>
      </c>
      <c r="F15" s="22">
        <f>'[9]Dia 5 (b)'!$V21</f>
        <v>14.360409939043636</v>
      </c>
      <c r="G15" s="22">
        <f>'[9]Dia 6 (b)'!$V21</f>
        <v>14.835324369771758</v>
      </c>
      <c r="H15" s="22">
        <f>'[9]Dia 7 (b)'!$V21</f>
        <v>15.859404390661172</v>
      </c>
      <c r="I15" s="22">
        <f>'[9]Dia 8 (b)'!$V21</f>
        <v>11.737110696910811</v>
      </c>
      <c r="J15" s="22">
        <f>'[9]Dia 9 (b)'!$V21</f>
        <v>9.6667076155100826</v>
      </c>
      <c r="K15" s="22">
        <f>'[9]Dia 10 (b)'!$V21</f>
        <v>8.2349746607669552</v>
      </c>
      <c r="L15" s="22">
        <f>'[9]Dia 11 (b)'!$V21</f>
        <v>7.4694247219031391</v>
      </c>
      <c r="M15" s="22">
        <f>'[9]Dia 12 (b)'!$V21</f>
        <v>5.1142356633521953</v>
      </c>
      <c r="N15" s="22">
        <f>'[9]Dia 13 (b)'!$V21</f>
        <v>7.6565972832191642</v>
      </c>
      <c r="O15" s="22">
        <f>'[9]Dia 14 (b)'!$V21</f>
        <v>13.36952485672596</v>
      </c>
      <c r="P15" s="22">
        <f>'[9]Dia 15 (b)'!$V21</f>
        <v>16.022120070823334</v>
      </c>
      <c r="Q15" s="22">
        <f>'[9]Dia 16 (b)'!$V21</f>
        <v>14.807819729463514</v>
      </c>
      <c r="R15" s="22">
        <f>'[9]Dia 17 (b)'!$V21</f>
        <v>12.470782567214602</v>
      </c>
      <c r="S15" s="22">
        <f>'[9]Dia 18 (b)'!$V21</f>
        <v>13.573477956833733</v>
      </c>
      <c r="T15" s="22">
        <f>'[9]Dia 19 (b)'!$V21</f>
        <v>15.126022294198176</v>
      </c>
      <c r="U15" s="22">
        <f>'[9]Dia 20 (b)'!$V21</f>
        <v>14.186705253874715</v>
      </c>
      <c r="V15" s="22">
        <f>'[9]Dia 21 (b)'!$V21</f>
        <v>14.38770553689184</v>
      </c>
      <c r="W15" s="22">
        <f>'[9]Dia 22 (b)'!$V21</f>
        <v>14.176952040580575</v>
      </c>
      <c r="X15" s="22">
        <f>'[9]Dia 23 (b)'!$V21</f>
        <v>10.741064481854853</v>
      </c>
      <c r="Y15" s="22">
        <f>'[9]Dia 24 (b)'!$V21</f>
        <v>14.368342853062954</v>
      </c>
      <c r="Z15" s="22">
        <f>'[9]Dia 25 (b)'!$V21</f>
        <v>12.867624261812178</v>
      </c>
      <c r="AA15" s="22">
        <f>'[9]Dia 26 (b)'!$V21</f>
        <v>11.247446503994141</v>
      </c>
      <c r="AB15" s="22">
        <f>'[9]Dia 27 (b)'!$V21</f>
        <v>16.470868996067395</v>
      </c>
      <c r="AC15" s="22">
        <f>'[9]Dia 28 (b)'!$V21</f>
        <v>12.895449645734461</v>
      </c>
      <c r="AD15" s="22">
        <f>'[9]Dia 29 (b)'!$V21</f>
        <v>13.794863011785072</v>
      </c>
      <c r="AE15" s="22">
        <f>'[9]Dia 30 (b)'!$V21</f>
        <v>15.123312588121664</v>
      </c>
      <c r="AF15" s="23"/>
      <c r="AG15" s="54"/>
    </row>
    <row r="16" spans="1:33" ht="15.75" customHeight="1">
      <c r="A16" s="16">
        <v>13</v>
      </c>
      <c r="B16" s="22">
        <f>'[9]Dia 1 (b)'!$V22</f>
        <v>3.9774697107703321</v>
      </c>
      <c r="C16" s="22">
        <f>'[9]Dia 2 (b)'!$V22</f>
        <v>15.686144488022236</v>
      </c>
      <c r="D16" s="22">
        <f>'[9]Dia 3 (b)'!$V22</f>
        <v>12.145539409730539</v>
      </c>
      <c r="E16" s="22">
        <f>'[9]Dia 4 (b)'!$V22</f>
        <v>7.2106161090568248</v>
      </c>
      <c r="F16" s="22">
        <f>'[9]Dia 5 (b)'!$V22</f>
        <v>13.958903910519355</v>
      </c>
      <c r="G16" s="22">
        <f>'[9]Dia 6 (b)'!$V22</f>
        <v>14.772393690214514</v>
      </c>
      <c r="H16" s="22">
        <f>'[9]Dia 7 (b)'!$V22</f>
        <v>15.886382043816328</v>
      </c>
      <c r="I16" s="22">
        <f>'[9]Dia 8 (b)'!$V22</f>
        <v>11.650000433661267</v>
      </c>
      <c r="J16" s="22">
        <f>'[9]Dia 9 (b)'!$V22</f>
        <v>8.9930406876911579</v>
      </c>
      <c r="K16" s="22">
        <f>'[9]Dia 10 (b)'!$V22</f>
        <v>8.07932271099593</v>
      </c>
      <c r="L16" s="22">
        <f>'[9]Dia 11 (b)'!$V22</f>
        <v>7.4819875599792116</v>
      </c>
      <c r="M16" s="22">
        <f>'[9]Dia 12 (b)'!$V22</f>
        <v>5.2082473098969082</v>
      </c>
      <c r="N16" s="22">
        <f>'[9]Dia 13 (b)'!$V22</f>
        <v>7.9206762197148572</v>
      </c>
      <c r="O16" s="22">
        <f>'[9]Dia 14 (b)'!$V22</f>
        <v>12.555241194336011</v>
      </c>
      <c r="P16" s="22">
        <f>'[9]Dia 15 (b)'!$V22</f>
        <v>15.701710381533772</v>
      </c>
      <c r="Q16" s="22">
        <f>'[9]Dia 16 (b)'!$V22</f>
        <v>14.910123924831256</v>
      </c>
      <c r="R16" s="22">
        <f>'[9]Dia 17 (b)'!$V22</f>
        <v>12.494095730686059</v>
      </c>
      <c r="S16" s="22">
        <f>'[9]Dia 18 (b)'!$V22</f>
        <v>13.289540543655233</v>
      </c>
      <c r="T16" s="22">
        <f>'[9]Dia 19 (b)'!$V22</f>
        <v>17.149549799853677</v>
      </c>
      <c r="U16" s="22">
        <f>'[9]Dia 20 (b)'!$V22</f>
        <v>14.131709136530802</v>
      </c>
      <c r="V16" s="22">
        <f>'[9]Dia 21 (b)'!$V22</f>
        <v>14.011271584334358</v>
      </c>
      <c r="W16" s="22">
        <f>'[9]Dia 22 (b)'!$V22</f>
        <v>13.800599517117602</v>
      </c>
      <c r="X16" s="22">
        <f>'[9]Dia 23 (b)'!$V22</f>
        <v>9.4814211574055349</v>
      </c>
      <c r="Y16" s="22">
        <f>'[9]Dia 24 (b)'!$V22</f>
        <v>13.255902460765416</v>
      </c>
      <c r="Z16" s="22">
        <f>'[9]Dia 25 (b)'!$V22</f>
        <v>11.743164663052085</v>
      </c>
      <c r="AA16" s="22">
        <f>'[9]Dia 26 (b)'!$V22</f>
        <v>10.692349534199966</v>
      </c>
      <c r="AB16" s="22">
        <f>'[9]Dia 27 (b)'!$V22</f>
        <v>16.562032502764811</v>
      </c>
      <c r="AC16" s="22">
        <f>'[9]Dia 28 (b)'!$V22</f>
        <v>13.73223354440772</v>
      </c>
      <c r="AD16" s="22">
        <f>'[9]Dia 29 (b)'!$V22</f>
        <v>14.402679831299995</v>
      </c>
      <c r="AE16" s="22">
        <f>'[9]Dia 30 (b)'!$V22</f>
        <v>14.344306952786683</v>
      </c>
      <c r="AF16" s="23"/>
      <c r="AG16" s="54"/>
    </row>
    <row r="17" spans="1:33" ht="15.75" customHeight="1">
      <c r="A17" s="16">
        <v>14</v>
      </c>
      <c r="B17" s="22">
        <f>'[9]Dia 1 (b)'!$V23</f>
        <v>3.0953463778506407</v>
      </c>
      <c r="C17" s="22">
        <f>'[9]Dia 2 (b)'!$V23</f>
        <v>15.23419890451599</v>
      </c>
      <c r="D17" s="22">
        <f>'[9]Dia 3 (b)'!$V23</f>
        <v>9.5392878865947175</v>
      </c>
      <c r="E17" s="22">
        <f>'[9]Dia 4 (b)'!$V23</f>
        <v>2.8879946023367635</v>
      </c>
      <c r="F17" s="22">
        <f>'[9]Dia 5 (b)'!$V23</f>
        <v>13.491748016569124</v>
      </c>
      <c r="G17" s="22">
        <f>'[9]Dia 6 (b)'!$V23</f>
        <v>14.9989382931208</v>
      </c>
      <c r="H17" s="22">
        <f>'[9]Dia 7 (b)'!$V23</f>
        <v>13.652535939503672</v>
      </c>
      <c r="I17" s="22">
        <f>'[9]Dia 8 (b)'!$V23</f>
        <v>10.03509008978383</v>
      </c>
      <c r="J17" s="22">
        <f>'[9]Dia 9 (b)'!$V23</f>
        <v>6.2056805575589369</v>
      </c>
      <c r="K17" s="22">
        <f>'[9]Dia 10 (b)'!$V23</f>
        <v>8.0175294913082951</v>
      </c>
      <c r="L17" s="22">
        <f>'[9]Dia 11 (b)'!$V23</f>
        <v>5.8695171648565747</v>
      </c>
      <c r="M17" s="22">
        <f>'[9]Dia 12 (b)'!$V23</f>
        <v>5.6801600794056721</v>
      </c>
      <c r="N17" s="22">
        <f>'[9]Dia 13 (b)'!$V23</f>
        <v>6.1633623482770927</v>
      </c>
      <c r="O17" s="22">
        <f>'[9]Dia 14 (b)'!$V23</f>
        <v>10.493125587226031</v>
      </c>
      <c r="P17" s="22">
        <f>'[9]Dia 15 (b)'!$V23</f>
        <v>15.323741736029476</v>
      </c>
      <c r="Q17" s="22">
        <f>'[9]Dia 16 (b)'!$V23</f>
        <v>14.603658939666415</v>
      </c>
      <c r="R17" s="22">
        <f>'[9]Dia 17 (b)'!$V23</f>
        <v>12.06149473627597</v>
      </c>
      <c r="S17" s="22">
        <f>'[9]Dia 18 (b)'!$V23</f>
        <v>13.650430874506361</v>
      </c>
      <c r="T17" s="22">
        <f>'[9]Dia 19 (b)'!$V23</f>
        <v>19.146172904651671</v>
      </c>
      <c r="U17" s="22">
        <f>'[9]Dia 20 (b)'!$V23</f>
        <v>14.34093389314298</v>
      </c>
      <c r="V17" s="22">
        <f>'[9]Dia 21 (b)'!$V23</f>
        <v>17.109115465029994</v>
      </c>
      <c r="W17" s="22">
        <f>'[9]Dia 22 (b)'!$V23</f>
        <v>13.149950694814486</v>
      </c>
      <c r="X17" s="22">
        <f>'[9]Dia 23 (b)'!$V23</f>
        <v>10.053217369848703</v>
      </c>
      <c r="Y17" s="22">
        <f>'[9]Dia 24 (b)'!$V23</f>
        <v>10.17564597224654</v>
      </c>
      <c r="Z17" s="22">
        <f>'[9]Dia 25 (b)'!$V23</f>
        <v>8.337205338397645</v>
      </c>
      <c r="AA17" s="22">
        <f>'[9]Dia 26 (b)'!$V23</f>
        <v>10.050928693955239</v>
      </c>
      <c r="AB17" s="22">
        <f>'[9]Dia 27 (b)'!$V23</f>
        <v>17.985854593464019</v>
      </c>
      <c r="AC17" s="22">
        <f>'[9]Dia 28 (b)'!$V23</f>
        <v>13.897180427282176</v>
      </c>
      <c r="AD17" s="22">
        <f>'[9]Dia 29 (b)'!$V23</f>
        <v>16.512856978747159</v>
      </c>
      <c r="AE17" s="22">
        <f>'[9]Dia 30 (b)'!$V23</f>
        <v>16.890528794392296</v>
      </c>
      <c r="AF17" s="23"/>
      <c r="AG17" s="54"/>
    </row>
    <row r="18" spans="1:33" ht="15.75" customHeight="1">
      <c r="A18" s="16">
        <v>15</v>
      </c>
      <c r="B18" s="22">
        <f>'[9]Dia 1 (b)'!$V24</f>
        <v>3.7347456092966667</v>
      </c>
      <c r="C18" s="22">
        <f>'[9]Dia 2 (b)'!$V24</f>
        <v>14.620955065837139</v>
      </c>
      <c r="D18" s="22">
        <f>'[9]Dia 3 (b)'!$V24</f>
        <v>8.990702222742895</v>
      </c>
      <c r="E18" s="22">
        <f>'[9]Dia 4 (b)'!$V24</f>
        <v>2.7820602805865953</v>
      </c>
      <c r="F18" s="22">
        <f>'[9]Dia 5 (b)'!$V24</f>
        <v>12.539465719482692</v>
      </c>
      <c r="G18" s="22">
        <f>'[9]Dia 6 (b)'!$V24</f>
        <v>14.910570501332369</v>
      </c>
      <c r="H18" s="22">
        <f>'[9]Dia 7 (b)'!$V24</f>
        <v>11.396946911763902</v>
      </c>
      <c r="I18" s="22">
        <f>'[9]Dia 8 (b)'!$V24</f>
        <v>9.8799289120436331</v>
      </c>
      <c r="J18" s="22">
        <f>'[9]Dia 9 (b)'!$V24</f>
        <v>10.830904510503471</v>
      </c>
      <c r="K18" s="22">
        <f>'[9]Dia 10 (b)'!$V24</f>
        <v>5.3101311956851545</v>
      </c>
      <c r="L18" s="22">
        <f>'[9]Dia 11 (b)'!$V24</f>
        <v>7.5038636549964766</v>
      </c>
      <c r="M18" s="22">
        <f>'[9]Dia 12 (b)'!$V24</f>
        <v>4.9053157690687517</v>
      </c>
      <c r="N18" s="22">
        <f>'[9]Dia 13 (b)'!$V24</f>
        <v>7.5138248528309095</v>
      </c>
      <c r="O18" s="22">
        <f>'[9]Dia 14 (b)'!$V24</f>
        <v>14.891142102245151</v>
      </c>
      <c r="P18" s="22">
        <f>'[9]Dia 15 (b)'!$V24</f>
        <v>15.600538149193788</v>
      </c>
      <c r="Q18" s="22">
        <f>'[9]Dia 16 (b)'!$V24</f>
        <v>14.311340196285274</v>
      </c>
      <c r="R18" s="22">
        <f>'[9]Dia 17 (b)'!$V24</f>
        <v>12.813304983074042</v>
      </c>
      <c r="S18" s="22">
        <f>'[9]Dia 18 (b)'!$V24</f>
        <v>14.147392772577215</v>
      </c>
      <c r="T18" s="22">
        <f>'[9]Dia 19 (b)'!$V24</f>
        <v>17.498703047627796</v>
      </c>
      <c r="U18" s="22">
        <f>'[9]Dia 20 (b)'!$V24</f>
        <v>14.027635446815351</v>
      </c>
      <c r="V18" s="22">
        <f>'[9]Dia 21 (b)'!$V24</f>
        <v>17.308475606502363</v>
      </c>
      <c r="W18" s="22">
        <f>'[9]Dia 22 (b)'!$V24</f>
        <v>12.313145722952878</v>
      </c>
      <c r="X18" s="22">
        <f>'[9]Dia 23 (b)'!$V24</f>
        <v>13.837951267467037</v>
      </c>
      <c r="Y18" s="22">
        <f>'[9]Dia 24 (b)'!$V24</f>
        <v>18.281316126422389</v>
      </c>
      <c r="Z18" s="22">
        <f>'[9]Dia 25 (b)'!$V24</f>
        <v>7.399130187374765</v>
      </c>
      <c r="AA18" s="22">
        <f>'[9]Dia 26 (b)'!$V24</f>
        <v>8.7686508122754638</v>
      </c>
      <c r="AB18" s="22">
        <f>'[9]Dia 27 (b)'!$V24</f>
        <v>18.86290475022399</v>
      </c>
      <c r="AC18" s="22">
        <f>'[9]Dia 28 (b)'!$V24</f>
        <v>14.175391928301801</v>
      </c>
      <c r="AD18" s="22">
        <f>'[9]Dia 29 (b)'!$V24</f>
        <v>15.77903028795315</v>
      </c>
      <c r="AE18" s="22">
        <f>'[9]Dia 30 (b)'!$V24</f>
        <v>18.180241464588232</v>
      </c>
      <c r="AF18" s="23"/>
      <c r="AG18" s="54"/>
    </row>
    <row r="19" spans="1:33" ht="15.75" customHeight="1">
      <c r="A19" s="16">
        <v>16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8"/>
      <c r="AG19" s="54"/>
    </row>
    <row r="20" spans="1:33" ht="15.75" customHeight="1">
      <c r="A20" s="16">
        <v>17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8"/>
      <c r="AG20" s="54"/>
    </row>
    <row r="21" spans="1:33" ht="15.75" customHeight="1">
      <c r="A21" s="16">
        <v>18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8"/>
      <c r="AG21" s="54"/>
    </row>
    <row r="22" spans="1:33" ht="15.75" customHeight="1">
      <c r="A22" s="16">
        <v>19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8"/>
      <c r="AG22" s="54"/>
    </row>
    <row r="23" spans="1:33" ht="15.75" customHeight="1">
      <c r="A23" s="16">
        <v>20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8"/>
      <c r="AG23" s="54"/>
    </row>
    <row r="24" spans="1:33" ht="15.75" customHeight="1">
      <c r="A24" s="16">
        <v>21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8"/>
      <c r="AG24" s="54"/>
    </row>
    <row r="25" spans="1:33" ht="15.75" customHeight="1">
      <c r="A25" s="16">
        <v>22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8"/>
      <c r="AG25" s="54"/>
    </row>
    <row r="26" spans="1:33" ht="15.75" customHeight="1">
      <c r="A26" s="16">
        <v>23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8"/>
      <c r="AG26" s="54"/>
    </row>
    <row r="27" spans="1:33" ht="15.75" customHeight="1" thickBot="1">
      <c r="A27" s="16">
        <v>24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8"/>
      <c r="AG27" s="54"/>
    </row>
    <row r="28" spans="1:33" ht="15.75" thickTop="1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6"/>
    </row>
    <row r="29" spans="1:33" ht="15">
      <c r="A29" s="27"/>
      <c r="B29" s="28" t="s">
        <v>5</v>
      </c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30"/>
    </row>
    <row r="30" spans="1:33" ht="15.75">
      <c r="A30" s="31" t="s">
        <v>6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0"/>
      <c r="AG30" s="10"/>
    </row>
    <row r="31" spans="1:33" ht="15.75">
      <c r="A31" s="31" t="s">
        <v>7</v>
      </c>
      <c r="B31" s="33">
        <f>AVERAGE(B4:B27)</f>
        <v>8.5433321666539044</v>
      </c>
      <c r="C31" s="33">
        <f t="shared" ref="C31:AE31" si="0">AVERAGE(C4:C27)</f>
        <v>15.331945878854611</v>
      </c>
      <c r="D31" s="33">
        <f t="shared" si="0"/>
        <v>13.290465597780788</v>
      </c>
      <c r="E31" s="33">
        <f t="shared" si="0"/>
        <v>9.8395035125157442</v>
      </c>
      <c r="F31" s="33">
        <f t="shared" si="0"/>
        <v>13.960956646511995</v>
      </c>
      <c r="G31" s="33">
        <f t="shared" si="0"/>
        <v>14.330812972518917</v>
      </c>
      <c r="H31" s="33">
        <f t="shared" si="0"/>
        <v>15.519631269168128</v>
      </c>
      <c r="I31" s="33">
        <f t="shared" si="0"/>
        <v>14.348259403023011</v>
      </c>
      <c r="J31" s="33">
        <f t="shared" si="0"/>
        <v>12.488812337530488</v>
      </c>
      <c r="K31" s="33">
        <f t="shared" si="0"/>
        <v>9.7495255644283461</v>
      </c>
      <c r="L31" s="33">
        <f t="shared" si="0"/>
        <v>9.1997093561419625</v>
      </c>
      <c r="M31" s="33">
        <f t="shared" si="0"/>
        <v>7.2933032013855943</v>
      </c>
      <c r="N31" s="33">
        <f t="shared" si="0"/>
        <v>8.2555345940304665</v>
      </c>
      <c r="O31" s="33">
        <f t="shared" si="0"/>
        <v>13.214265866834372</v>
      </c>
      <c r="P31" s="33">
        <f>AVERAGE(P4:P27)</f>
        <v>15.584724665492587</v>
      </c>
      <c r="Q31" s="33">
        <f t="shared" si="0"/>
        <v>14.593173618554273</v>
      </c>
      <c r="R31" s="33">
        <f t="shared" si="0"/>
        <v>12.75432670176987</v>
      </c>
      <c r="S31" s="33">
        <f t="shared" si="0"/>
        <v>13.272730844302698</v>
      </c>
      <c r="T31" s="33">
        <f t="shared" si="0"/>
        <v>15.922318038305203</v>
      </c>
      <c r="U31" s="33">
        <f t="shared" si="0"/>
        <v>15.286163497508319</v>
      </c>
      <c r="V31" s="33">
        <f t="shared" si="0"/>
        <v>15.811343314366988</v>
      </c>
      <c r="W31" s="33">
        <f t="shared" si="0"/>
        <v>15.234217374411164</v>
      </c>
      <c r="X31" s="33">
        <f t="shared" si="0"/>
        <v>13.853150542906786</v>
      </c>
      <c r="Y31" s="33">
        <f t="shared" si="0"/>
        <v>15.445046801217991</v>
      </c>
      <c r="Z31" s="33">
        <f t="shared" si="0"/>
        <v>13.466465853172739</v>
      </c>
      <c r="AA31" s="33">
        <f t="shared" si="0"/>
        <v>11.806894090709068</v>
      </c>
      <c r="AB31" s="33">
        <f t="shared" si="0"/>
        <v>17.571221815646798</v>
      </c>
      <c r="AC31" s="33">
        <f t="shared" si="0"/>
        <v>12.895907166651002</v>
      </c>
      <c r="AD31" s="33">
        <f t="shared" si="0"/>
        <v>14.737249142285041</v>
      </c>
      <c r="AE31" s="33">
        <f t="shared" si="0"/>
        <v>16.090178910311799</v>
      </c>
      <c r="AF31" s="34"/>
      <c r="AG31" s="10"/>
    </row>
    <row r="32" spans="1:33" ht="15">
      <c r="A32" s="35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7"/>
      <c r="AG32" s="10"/>
    </row>
    <row r="33" spans="1:33" ht="15">
      <c r="A33" s="35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7"/>
      <c r="AG33" s="10"/>
    </row>
    <row r="34" spans="1:33" ht="15.75">
      <c r="A34" s="31" t="s">
        <v>8</v>
      </c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7"/>
      <c r="AG34" s="10"/>
    </row>
    <row r="35" spans="1:33" ht="15.75">
      <c r="A35" s="31" t="s">
        <v>7</v>
      </c>
      <c r="B35" s="33">
        <f>MAX(B4:B27)</f>
        <v>13.433165647738003</v>
      </c>
      <c r="C35" s="33">
        <f t="shared" ref="C35:AE35" si="1">MAX(C4:C27)</f>
        <v>16.548424179845757</v>
      </c>
      <c r="D35" s="33">
        <f t="shared" si="1"/>
        <v>15.271464620835006</v>
      </c>
      <c r="E35" s="33">
        <f t="shared" si="1"/>
        <v>15.985652227675473</v>
      </c>
      <c r="F35" s="33">
        <f t="shared" si="1"/>
        <v>14.768758731196868</v>
      </c>
      <c r="G35" s="33">
        <f t="shared" si="1"/>
        <v>14.9989382931208</v>
      </c>
      <c r="H35" s="33">
        <f t="shared" si="1"/>
        <v>16.982216588596152</v>
      </c>
      <c r="I35" s="33">
        <f t="shared" si="1"/>
        <v>18.229031103156647</v>
      </c>
      <c r="J35" s="33">
        <f t="shared" si="1"/>
        <v>17.124149597796027</v>
      </c>
      <c r="K35" s="33">
        <f t="shared" si="1"/>
        <v>16.131367146465305</v>
      </c>
      <c r="L35" s="33">
        <f t="shared" si="1"/>
        <v>13.654817969961705</v>
      </c>
      <c r="M35" s="33">
        <f t="shared" si="1"/>
        <v>12.085022940854287</v>
      </c>
      <c r="N35" s="33">
        <f t="shared" si="1"/>
        <v>11.551692930039797</v>
      </c>
      <c r="O35" s="33">
        <f t="shared" si="1"/>
        <v>15.212334337409679</v>
      </c>
      <c r="P35" s="33">
        <f>MAX(P4:P27)</f>
        <v>16.022120070823334</v>
      </c>
      <c r="Q35" s="33">
        <f t="shared" si="1"/>
        <v>14.966210769509548</v>
      </c>
      <c r="R35" s="33">
        <f t="shared" si="1"/>
        <v>13.436308752154961</v>
      </c>
      <c r="S35" s="33">
        <f t="shared" si="1"/>
        <v>14.147392772577215</v>
      </c>
      <c r="T35" s="33">
        <f t="shared" si="1"/>
        <v>19.146172904651671</v>
      </c>
      <c r="U35" s="33">
        <f t="shared" si="1"/>
        <v>16.636182449274965</v>
      </c>
      <c r="V35" s="33">
        <f t="shared" si="1"/>
        <v>17.308475606502363</v>
      </c>
      <c r="W35" s="33">
        <f t="shared" si="1"/>
        <v>17.014291532032509</v>
      </c>
      <c r="X35" s="33">
        <f t="shared" si="1"/>
        <v>18.027901718835377</v>
      </c>
      <c r="Y35" s="33">
        <f t="shared" si="1"/>
        <v>18.281316126422389</v>
      </c>
      <c r="Z35" s="33">
        <f t="shared" si="1"/>
        <v>17.114122165680737</v>
      </c>
      <c r="AA35" s="33">
        <f t="shared" si="1"/>
        <v>14.954723699190717</v>
      </c>
      <c r="AB35" s="33">
        <f t="shared" si="1"/>
        <v>18.86290475022399</v>
      </c>
      <c r="AC35" s="33">
        <f t="shared" si="1"/>
        <v>14.175391928301801</v>
      </c>
      <c r="AD35" s="33">
        <f t="shared" si="1"/>
        <v>16.512856978747159</v>
      </c>
      <c r="AE35" s="33">
        <f t="shared" si="1"/>
        <v>18.180241464588232</v>
      </c>
      <c r="AF35" s="34"/>
      <c r="AG35" s="10"/>
    </row>
    <row r="36" spans="1:33" ht="15">
      <c r="A36" s="35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7"/>
      <c r="AG36" s="10"/>
    </row>
    <row r="37" spans="1:33" ht="15">
      <c r="A37" s="35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7"/>
      <c r="AG37" s="10"/>
    </row>
    <row r="38" spans="1:33" ht="15.75">
      <c r="A38" s="31" t="s">
        <v>9</v>
      </c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7"/>
      <c r="AG38" s="10"/>
    </row>
    <row r="39" spans="1:33" ht="15.75">
      <c r="A39" s="31" t="s">
        <v>7</v>
      </c>
      <c r="B39" s="33">
        <f>MIN(B4:B27)</f>
        <v>3.0953463778506407</v>
      </c>
      <c r="C39" s="33">
        <f t="shared" ref="C39:AE39" si="2">MIN(C4:C27)</f>
        <v>14.620955065837139</v>
      </c>
      <c r="D39" s="33">
        <f t="shared" si="2"/>
        <v>8.990702222742895</v>
      </c>
      <c r="E39" s="33">
        <f t="shared" si="2"/>
        <v>2.7820602805865953</v>
      </c>
      <c r="F39" s="33">
        <f t="shared" si="2"/>
        <v>12.539465719482692</v>
      </c>
      <c r="G39" s="33">
        <f t="shared" si="2"/>
        <v>13.501221776578824</v>
      </c>
      <c r="H39" s="33">
        <f t="shared" si="2"/>
        <v>11.396946911763902</v>
      </c>
      <c r="I39" s="33">
        <f t="shared" si="2"/>
        <v>9.8799289120436331</v>
      </c>
      <c r="J39" s="33">
        <f t="shared" si="2"/>
        <v>6.2056805575589369</v>
      </c>
      <c r="K39" s="33">
        <f t="shared" si="2"/>
        <v>5.3101311956851545</v>
      </c>
      <c r="L39" s="33">
        <f t="shared" si="2"/>
        <v>5.8695171648565747</v>
      </c>
      <c r="M39" s="33">
        <f t="shared" si="2"/>
        <v>4.9053157690687517</v>
      </c>
      <c r="N39" s="33">
        <f t="shared" si="2"/>
        <v>6.1633623482770927</v>
      </c>
      <c r="O39" s="33">
        <f t="shared" si="2"/>
        <v>10.493125587226031</v>
      </c>
      <c r="P39" s="33">
        <f>MIN(P4:P27)</f>
        <v>15.296229213288752</v>
      </c>
      <c r="Q39" s="33">
        <f t="shared" si="2"/>
        <v>13.989342961917234</v>
      </c>
      <c r="R39" s="33">
        <f t="shared" si="2"/>
        <v>12.06149473627597</v>
      </c>
      <c r="S39" s="33">
        <f t="shared" si="2"/>
        <v>12.474165435500726</v>
      </c>
      <c r="T39" s="33">
        <f t="shared" si="2"/>
        <v>14.466983824719346</v>
      </c>
      <c r="U39" s="33">
        <f t="shared" si="2"/>
        <v>14.027635446815351</v>
      </c>
      <c r="V39" s="33">
        <f t="shared" si="2"/>
        <v>14.011271584334358</v>
      </c>
      <c r="W39" s="33">
        <f t="shared" si="2"/>
        <v>12.313145722952878</v>
      </c>
      <c r="X39" s="33">
        <f t="shared" si="2"/>
        <v>9.4814211574055349</v>
      </c>
      <c r="Y39" s="33">
        <f t="shared" si="2"/>
        <v>10.17564597224654</v>
      </c>
      <c r="Z39" s="33">
        <f t="shared" si="2"/>
        <v>7.399130187374765</v>
      </c>
      <c r="AA39" s="33">
        <f t="shared" si="2"/>
        <v>8.7686508122754638</v>
      </c>
      <c r="AB39" s="33">
        <f t="shared" si="2"/>
        <v>16.470868996067395</v>
      </c>
      <c r="AC39" s="33">
        <f t="shared" si="2"/>
        <v>11.813147596498036</v>
      </c>
      <c r="AD39" s="33">
        <f t="shared" si="2"/>
        <v>13.779907316304076</v>
      </c>
      <c r="AE39" s="33">
        <f t="shared" si="2"/>
        <v>14.344306952786683</v>
      </c>
      <c r="AF39" s="34"/>
      <c r="AG39" s="10"/>
    </row>
    <row r="40" spans="1:33" ht="15">
      <c r="A40" s="35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38"/>
      <c r="AG40" s="10"/>
    </row>
    <row r="41" spans="1:33" ht="15">
      <c r="A41" s="35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38"/>
      <c r="AG41" s="10"/>
    </row>
    <row r="42" spans="1:33" ht="15.75">
      <c r="A42" s="31" t="s">
        <v>10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38"/>
      <c r="AG42" s="10"/>
    </row>
    <row r="43" spans="1:33" ht="15.75">
      <c r="A43" s="31" t="s">
        <v>7</v>
      </c>
      <c r="B43" s="39">
        <f>B35-B39</f>
        <v>10.337819269887362</v>
      </c>
      <c r="C43" s="39">
        <f t="shared" ref="C43:AE43" si="3">C35-C39</f>
        <v>1.927469114008618</v>
      </c>
      <c r="D43" s="39">
        <f t="shared" si="3"/>
        <v>6.2807623980921115</v>
      </c>
      <c r="E43" s="39">
        <f t="shared" si="3"/>
        <v>13.203591947088878</v>
      </c>
      <c r="F43" s="39">
        <f t="shared" si="3"/>
        <v>2.2292930117141765</v>
      </c>
      <c r="G43" s="39">
        <f t="shared" si="3"/>
        <v>1.4977165165419759</v>
      </c>
      <c r="H43" s="39">
        <f t="shared" si="3"/>
        <v>5.585269676832251</v>
      </c>
      <c r="I43" s="39">
        <f t="shared" si="3"/>
        <v>8.3491021911130137</v>
      </c>
      <c r="J43" s="39">
        <f t="shared" si="3"/>
        <v>10.91846904023709</v>
      </c>
      <c r="K43" s="39">
        <f t="shared" si="3"/>
        <v>10.821235950780149</v>
      </c>
      <c r="L43" s="39">
        <f t="shared" si="3"/>
        <v>7.7853008051051305</v>
      </c>
      <c r="M43" s="39">
        <f t="shared" si="3"/>
        <v>7.1797071717855356</v>
      </c>
      <c r="N43" s="39">
        <f t="shared" si="3"/>
        <v>5.3883305817627045</v>
      </c>
      <c r="O43" s="39">
        <f t="shared" si="3"/>
        <v>4.7192087501836486</v>
      </c>
      <c r="P43" s="39">
        <f>P35-P39</f>
        <v>0.72589085753458171</v>
      </c>
      <c r="Q43" s="39">
        <f t="shared" si="3"/>
        <v>0.9768678075923134</v>
      </c>
      <c r="R43" s="39">
        <f t="shared" si="3"/>
        <v>1.3748140158789912</v>
      </c>
      <c r="S43" s="39">
        <f t="shared" si="3"/>
        <v>1.6732273370764883</v>
      </c>
      <c r="T43" s="39">
        <f t="shared" si="3"/>
        <v>4.6791890799323248</v>
      </c>
      <c r="U43" s="39">
        <f t="shared" si="3"/>
        <v>2.6085470024596145</v>
      </c>
      <c r="V43" s="39">
        <f t="shared" si="3"/>
        <v>3.297204022168005</v>
      </c>
      <c r="W43" s="39">
        <f t="shared" si="3"/>
        <v>4.7011458090796303</v>
      </c>
      <c r="X43" s="39">
        <f t="shared" si="3"/>
        <v>8.546480561429842</v>
      </c>
      <c r="Y43" s="39">
        <f t="shared" si="3"/>
        <v>8.1056701541758489</v>
      </c>
      <c r="Z43" s="39">
        <f t="shared" si="3"/>
        <v>9.7149919783059708</v>
      </c>
      <c r="AA43" s="39">
        <f t="shared" si="3"/>
        <v>6.1860728869152535</v>
      </c>
      <c r="AB43" s="39">
        <f t="shared" si="3"/>
        <v>2.3920357541565949</v>
      </c>
      <c r="AC43" s="39">
        <f t="shared" si="3"/>
        <v>2.3622443318037654</v>
      </c>
      <c r="AD43" s="39">
        <f t="shared" si="3"/>
        <v>2.7329496624430831</v>
      </c>
      <c r="AE43" s="39">
        <f t="shared" si="3"/>
        <v>3.8359345118015487</v>
      </c>
      <c r="AF43" s="34"/>
      <c r="AG43" s="10"/>
    </row>
    <row r="44" spans="1:33">
      <c r="A44" s="27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38"/>
      <c r="AG44" s="10"/>
    </row>
    <row r="45" spans="1:33">
      <c r="A45" s="27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38"/>
      <c r="AG45" s="10"/>
    </row>
    <row r="46" spans="1:33" ht="15.75">
      <c r="A46" s="27"/>
      <c r="B46" s="1"/>
      <c r="C46" s="1"/>
      <c r="D46" s="1"/>
      <c r="E46" s="1"/>
      <c r="F46" s="1"/>
      <c r="G46" s="1"/>
      <c r="H46" s="1"/>
      <c r="I46" s="40" t="s">
        <v>6</v>
      </c>
      <c r="J46" s="41"/>
      <c r="K46" s="41"/>
      <c r="L46" s="42" t="s">
        <v>8</v>
      </c>
      <c r="M46" s="43"/>
      <c r="N46" s="43"/>
      <c r="O46" s="42" t="s">
        <v>9</v>
      </c>
      <c r="P46" s="43"/>
      <c r="Q46" s="43"/>
      <c r="R46" s="42" t="s">
        <v>10</v>
      </c>
      <c r="S46" s="44"/>
      <c r="T46" s="41"/>
      <c r="U46" s="43" t="s">
        <v>6</v>
      </c>
      <c r="V46" s="43"/>
      <c r="W46" s="43" t="s">
        <v>6</v>
      </c>
      <c r="X46" s="43"/>
      <c r="Y46" s="43" t="s">
        <v>11</v>
      </c>
      <c r="Z46" s="43"/>
      <c r="AA46" s="1"/>
      <c r="AB46" s="1"/>
      <c r="AC46" s="1"/>
      <c r="AD46" s="1"/>
      <c r="AE46" s="1"/>
      <c r="AF46" s="38"/>
      <c r="AG46" s="10"/>
    </row>
    <row r="47" spans="1:33" ht="15.75">
      <c r="A47" s="27"/>
      <c r="B47" s="1"/>
      <c r="C47" s="1"/>
      <c r="D47" s="1"/>
      <c r="E47" s="1"/>
      <c r="F47" s="1"/>
      <c r="G47" s="1"/>
      <c r="H47" s="1"/>
      <c r="I47" s="45" t="s">
        <v>12</v>
      </c>
      <c r="J47" s="41"/>
      <c r="K47" s="41"/>
      <c r="L47" s="43" t="s">
        <v>12</v>
      </c>
      <c r="M47" s="43"/>
      <c r="N47" s="43"/>
      <c r="O47" s="43" t="s">
        <v>12</v>
      </c>
      <c r="P47" s="43"/>
      <c r="Q47" s="43"/>
      <c r="R47" s="43" t="s">
        <v>12</v>
      </c>
      <c r="S47" s="44"/>
      <c r="T47" s="41"/>
      <c r="U47" s="43" t="s">
        <v>13</v>
      </c>
      <c r="V47" s="43"/>
      <c r="W47" s="43" t="s">
        <v>14</v>
      </c>
      <c r="X47" s="43"/>
      <c r="Y47" s="43" t="s">
        <v>15</v>
      </c>
      <c r="Z47" s="43"/>
      <c r="AA47" s="1"/>
      <c r="AB47" s="1"/>
      <c r="AC47" s="1"/>
      <c r="AD47" s="1"/>
      <c r="AE47" s="1"/>
      <c r="AF47" s="38"/>
      <c r="AG47" s="10"/>
    </row>
    <row r="48" spans="1:33" ht="15">
      <c r="A48" s="27"/>
      <c r="B48" s="1"/>
      <c r="C48" s="1"/>
      <c r="D48" s="1"/>
      <c r="E48" s="1"/>
      <c r="F48" s="1"/>
      <c r="G48" s="1"/>
      <c r="H48" s="1"/>
      <c r="I48" s="29"/>
      <c r="J48" s="1"/>
      <c r="K48" s="1"/>
      <c r="L48" s="36"/>
      <c r="M48" s="36"/>
      <c r="N48" s="36"/>
      <c r="O48" s="36"/>
      <c r="P48" s="36"/>
      <c r="Q48" s="36"/>
      <c r="R48" s="36"/>
      <c r="S48" s="36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38"/>
      <c r="AG48" s="10"/>
    </row>
    <row r="49" spans="1:32" s="52" customFormat="1" ht="15.75" thickBot="1">
      <c r="A49" s="46"/>
      <c r="B49" s="47"/>
      <c r="C49" s="47"/>
      <c r="D49" s="47"/>
      <c r="E49" s="47"/>
      <c r="F49" s="47"/>
      <c r="G49" s="47"/>
      <c r="H49" s="47"/>
      <c r="I49" s="48">
        <f>AVERAGE(B31:AF31)</f>
        <v>13.323039024833026</v>
      </c>
      <c r="J49" s="47"/>
      <c r="K49" s="47"/>
      <c r="L49" s="48">
        <f>MAX(B35:AF35)</f>
        <v>19.146172904651671</v>
      </c>
      <c r="M49" s="49"/>
      <c r="N49" s="49"/>
      <c r="O49" s="48">
        <f>MIN(B39:AF39)</f>
        <v>2.7820602805865953</v>
      </c>
      <c r="P49" s="49"/>
      <c r="Q49" s="49"/>
      <c r="R49" s="48">
        <f>L49-O49</f>
        <v>16.364112624065076</v>
      </c>
      <c r="S49" s="49"/>
      <c r="T49" s="47"/>
      <c r="U49" s="48">
        <f>AVERAGE(B35:AF35)</f>
        <v>15.89212166680695</v>
      </c>
      <c r="V49" s="50"/>
      <c r="W49" s="48">
        <f>AVERAGE(B39:AF39)</f>
        <v>10.554236926877397</v>
      </c>
      <c r="X49" s="50"/>
      <c r="Y49" s="48">
        <f>U49-W49</f>
        <v>5.337884739929553</v>
      </c>
      <c r="Z49" s="47"/>
      <c r="AA49" s="47"/>
      <c r="AB49" s="47"/>
      <c r="AC49" s="47"/>
      <c r="AD49" s="47"/>
      <c r="AE49" s="47"/>
      <c r="AF49" s="51"/>
    </row>
    <row r="50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I50"/>
  <sheetViews>
    <sheetView zoomScale="75" zoomScaleNormal="75" workbookViewId="0">
      <selection activeCell="E23" sqref="E23"/>
    </sheetView>
  </sheetViews>
  <sheetFormatPr defaultRowHeight="12.75"/>
  <cols>
    <col min="33" max="33" width="9.140625" style="10"/>
    <col min="34" max="34" width="12.7109375" customWidth="1"/>
  </cols>
  <sheetData>
    <row r="1" spans="1:35" ht="18">
      <c r="A1" s="1"/>
      <c r="B1" s="2" t="s">
        <v>25</v>
      </c>
      <c r="C1" s="3"/>
      <c r="D1" s="4"/>
      <c r="E1" s="5"/>
      <c r="F1" s="1"/>
      <c r="G1" s="1"/>
      <c r="H1" s="1"/>
      <c r="I1" s="1"/>
      <c r="J1" s="6"/>
      <c r="K1" s="6"/>
      <c r="L1" s="7" t="s">
        <v>1</v>
      </c>
      <c r="M1" s="8" t="s">
        <v>2</v>
      </c>
      <c r="N1" s="9" t="s">
        <v>3</v>
      </c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5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5" ht="16.5" thickBot="1">
      <c r="A3" s="11" t="s">
        <v>4</v>
      </c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2">
        <v>8</v>
      </c>
      <c r="J3" s="12">
        <v>9</v>
      </c>
      <c r="K3" s="12">
        <v>10</v>
      </c>
      <c r="L3" s="12">
        <v>11</v>
      </c>
      <c r="M3" s="12">
        <v>12</v>
      </c>
      <c r="N3" s="12">
        <v>13</v>
      </c>
      <c r="O3" s="12">
        <v>14</v>
      </c>
      <c r="P3" s="12">
        <v>15</v>
      </c>
      <c r="Q3" s="12">
        <v>16</v>
      </c>
      <c r="R3" s="12">
        <v>17</v>
      </c>
      <c r="S3" s="12">
        <v>18</v>
      </c>
      <c r="T3" s="12">
        <v>19</v>
      </c>
      <c r="U3" s="12">
        <v>20</v>
      </c>
      <c r="V3" s="12">
        <v>21</v>
      </c>
      <c r="W3" s="12">
        <v>22</v>
      </c>
      <c r="X3" s="12">
        <v>23</v>
      </c>
      <c r="Y3" s="12">
        <v>24</v>
      </c>
      <c r="Z3" s="13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5">
        <v>31</v>
      </c>
    </row>
    <row r="4" spans="1:35" ht="15.75">
      <c r="A4" s="16">
        <v>1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8"/>
      <c r="AG4" s="19"/>
      <c r="AH4" s="20"/>
      <c r="AI4" s="21"/>
    </row>
    <row r="5" spans="1:35" ht="15.75">
      <c r="A5" s="16">
        <v>2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8"/>
      <c r="AG5" s="19"/>
      <c r="AH5" s="20"/>
      <c r="AI5" s="21"/>
    </row>
    <row r="6" spans="1:35" ht="15.75">
      <c r="A6" s="16">
        <v>3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8"/>
      <c r="AG6" s="19"/>
      <c r="AH6" s="20"/>
      <c r="AI6" s="21"/>
    </row>
    <row r="7" spans="1:35" ht="15.75">
      <c r="A7" s="16">
        <v>4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8"/>
      <c r="AG7" s="19"/>
      <c r="AH7" s="20"/>
      <c r="AI7" s="21"/>
    </row>
    <row r="8" spans="1:35" ht="15.75">
      <c r="A8" s="16">
        <v>5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8"/>
      <c r="AG8" s="19"/>
      <c r="AH8" s="20"/>
      <c r="AI8" s="21"/>
    </row>
    <row r="9" spans="1:35" ht="15.75">
      <c r="A9" s="16">
        <v>6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8"/>
      <c r="AG9" s="19"/>
      <c r="AH9" s="20"/>
      <c r="AI9" s="21"/>
    </row>
    <row r="10" spans="1:35" ht="15.75">
      <c r="A10" s="16">
        <v>7</v>
      </c>
      <c r="B10" s="22">
        <f>'[10]Dia 1 (b)'!$V16</f>
        <v>15.162429413439622</v>
      </c>
      <c r="C10" s="22">
        <f>'[10]Dia 2 (b)'!$V16</f>
        <v>16.533888792778562</v>
      </c>
      <c r="D10" s="22">
        <f>'[10]Dia 3 (b)'!$V16</f>
        <v>16.649285620382155</v>
      </c>
      <c r="E10" s="22">
        <f>'[10]Dia 4 (b)'!$V16</f>
        <v>14.412903449909949</v>
      </c>
      <c r="F10" s="22">
        <f>'[10]Dia 5 (b)'!$V16</f>
        <v>14.430811938565181</v>
      </c>
      <c r="G10" s="22">
        <f>'[10]Dia 6 (b)'!$V16</f>
        <v>13.572375990192926</v>
      </c>
      <c r="H10" s="22">
        <f>'[10]Dia 7 (b)'!$V16</f>
        <v>12.929477974054919</v>
      </c>
      <c r="I10" s="22">
        <f>'[10]Dia 8 (b)'!$V16</f>
        <v>14.489984738933511</v>
      </c>
      <c r="J10" s="22">
        <f>'[10]Dia 9 (b)'!$V16</f>
        <v>15.422763824034691</v>
      </c>
      <c r="K10" s="22">
        <f>'[10]Dia 10 (b)'!$V16</f>
        <v>16.950327320548016</v>
      </c>
      <c r="L10" s="22">
        <f>'[10]Dia 11 (b)'!$V16</f>
        <v>18.059417891797342</v>
      </c>
      <c r="M10" s="22">
        <f>'[10]Dia 12 (b)'!$V16</f>
        <v>18.327578469566571</v>
      </c>
      <c r="N10" s="22">
        <f>'[10]Dia 13 (b)'!$V16</f>
        <v>14.908689092131912</v>
      </c>
      <c r="O10" s="22">
        <f>'[10]Dia 14 (b)'!$V16</f>
        <v>15.876277653069883</v>
      </c>
      <c r="P10" s="22">
        <f>'[10]Dia 15 (b)'!$V16</f>
        <v>14.009301690614086</v>
      </c>
      <c r="Q10" s="22">
        <f>'[10]Dia 16 (b)'!$V16</f>
        <v>15.975653594566102</v>
      </c>
      <c r="R10" s="22">
        <f>'[10]Dia 17 (b)'!$V16</f>
        <v>15.074319314401803</v>
      </c>
      <c r="S10" s="22">
        <f>'[10]Dia 18 (b)'!$V16</f>
        <v>15.169932086912789</v>
      </c>
      <c r="T10" s="22">
        <f>'[10]Dia 19 (b)'!$V16</f>
        <v>15.821348334061673</v>
      </c>
      <c r="U10" s="22">
        <f>'[10]Dia 20 (b)'!$V16</f>
        <v>15.235876068753029</v>
      </c>
      <c r="V10" s="22">
        <f>'[10]Dia 21 (b)'!$V16</f>
        <v>16.492691412682341</v>
      </c>
      <c r="W10" s="22">
        <f>'[10]Dia 22 (b)'!$V16</f>
        <v>19.306300145940838</v>
      </c>
      <c r="X10" s="22">
        <f>'[10]Dia 23 (b)'!$V16</f>
        <v>20.65499325162347</v>
      </c>
      <c r="Y10" s="22">
        <f>'[10]Dia 24 (b)'!$V16</f>
        <v>19.768563724840103</v>
      </c>
      <c r="Z10" s="22">
        <f>'[10]Dia 25 (b)'!$V16</f>
        <v>18.742611470884238</v>
      </c>
      <c r="AA10" s="22">
        <f>'[10]Dia 26 (b)'!$V16</f>
        <v>19.968343123206154</v>
      </c>
      <c r="AB10" s="22">
        <f>'[10]Dia 27 (b)'!$V16</f>
        <v>14.2243912600825</v>
      </c>
      <c r="AC10" s="22">
        <f>'[10]Dia 28 (b)'!$V16</f>
        <v>15.619527813735326</v>
      </c>
      <c r="AD10" s="22">
        <f>'[10]Dia 29 (b)'!$V16</f>
        <v>16.903685606597218</v>
      </c>
      <c r="AE10" s="22">
        <f>'[10]Dia 30 (b)'!$V16</f>
        <v>16.234221586096186</v>
      </c>
      <c r="AF10" s="23">
        <f>'[10]Dia 31 (b)'!$V16</f>
        <v>13.3052366018676</v>
      </c>
      <c r="AG10" s="19"/>
      <c r="AH10" s="20"/>
      <c r="AI10" s="21"/>
    </row>
    <row r="11" spans="1:35" ht="15.75">
      <c r="A11" s="16">
        <v>8</v>
      </c>
      <c r="B11" s="22">
        <f>'[10]Dia 1 (b)'!$V17</f>
        <v>14.55189274484032</v>
      </c>
      <c r="C11" s="22">
        <f>'[10]Dia 2 (b)'!$V17</f>
        <v>14.163331352101437</v>
      </c>
      <c r="D11" s="22">
        <f>'[10]Dia 3 (b)'!$V17</f>
        <v>17.021772822685001</v>
      </c>
      <c r="E11" s="22">
        <f>'[10]Dia 4 (b)'!$V17</f>
        <v>14.076735730975125</v>
      </c>
      <c r="F11" s="22">
        <f>'[10]Dia 5 (b)'!$V17</f>
        <v>13.844252498324948</v>
      </c>
      <c r="G11" s="22">
        <f>'[10]Dia 6 (b)'!$V17</f>
        <v>13.403895007861406</v>
      </c>
      <c r="H11" s="22">
        <f>'[10]Dia 7 (b)'!$V17</f>
        <v>12.802811063766894</v>
      </c>
      <c r="I11" s="22">
        <f>'[10]Dia 8 (b)'!$V17</f>
        <v>14.166316975264827</v>
      </c>
      <c r="J11" s="22">
        <f>'[10]Dia 9 (b)'!$V17</f>
        <v>15.326837109971045</v>
      </c>
      <c r="K11" s="22">
        <f>'[10]Dia 10 (b)'!$V17</f>
        <v>16.902431984468794</v>
      </c>
      <c r="L11" s="22">
        <f>'[10]Dia 11 (b)'!$V17</f>
        <v>19.022299443431898</v>
      </c>
      <c r="M11" s="22">
        <f>'[10]Dia 12 (b)'!$V17</f>
        <v>17.496686154036929</v>
      </c>
      <c r="N11" s="22">
        <f>'[10]Dia 13 (b)'!$V17</f>
        <v>15.671534637958535</v>
      </c>
      <c r="O11" s="22">
        <f>'[10]Dia 14 (b)'!$V17</f>
        <v>15.917650493630159</v>
      </c>
      <c r="P11" s="22">
        <f>'[10]Dia 15 (b)'!$V17</f>
        <v>14.5228310869523</v>
      </c>
      <c r="Q11" s="22">
        <f>'[10]Dia 16 (b)'!$V17</f>
        <v>16.298262235459703</v>
      </c>
      <c r="R11" s="22">
        <f>'[10]Dia 17 (b)'!$V17</f>
        <v>15.164888872591133</v>
      </c>
      <c r="S11" s="22">
        <f>'[10]Dia 18 (b)'!$V17</f>
        <v>15.272762160033263</v>
      </c>
      <c r="T11" s="22">
        <f>'[10]Dia 19 (b)'!$V17</f>
        <v>16.185489887159228</v>
      </c>
      <c r="U11" s="22">
        <f>'[10]Dia 20 (b)'!$V17</f>
        <v>15.484304873563842</v>
      </c>
      <c r="V11" s="22">
        <f>'[10]Dia 21 (b)'!$V17</f>
        <v>16.349178690520976</v>
      </c>
      <c r="W11" s="22">
        <f>'[10]Dia 22 (b)'!$V17</f>
        <v>19.204156867929775</v>
      </c>
      <c r="X11" s="22">
        <f>'[10]Dia 23 (b)'!$V17</f>
        <v>20.155783696901803</v>
      </c>
      <c r="Y11" s="22">
        <f>'[10]Dia 24 (b)'!$V17</f>
        <v>18.821451940165439</v>
      </c>
      <c r="Z11" s="22">
        <f>'[10]Dia 25 (b)'!$V17</f>
        <v>18.447159760200897</v>
      </c>
      <c r="AA11" s="22">
        <f>'[10]Dia 26 (b)'!$V17</f>
        <v>20.284293173767644</v>
      </c>
      <c r="AB11" s="22">
        <f>'[10]Dia 27 (b)'!$V17</f>
        <v>15.058445185350488</v>
      </c>
      <c r="AC11" s="22">
        <f>'[10]Dia 28 (b)'!$V17</f>
        <v>15.816787465046623</v>
      </c>
      <c r="AD11" s="22">
        <f>'[10]Dia 29 (b)'!$V17</f>
        <v>17.009094322408362</v>
      </c>
      <c r="AE11" s="22">
        <f>'[10]Dia 30 (b)'!$V17</f>
        <v>16.290233825713756</v>
      </c>
      <c r="AF11" s="23">
        <f>'[10]Dia 31 (b)'!$V17</f>
        <v>14.021732752028758</v>
      </c>
      <c r="AG11" s="19"/>
      <c r="AH11" s="20"/>
      <c r="AI11" s="21"/>
    </row>
    <row r="12" spans="1:35" ht="15.75">
      <c r="A12" s="16">
        <v>9</v>
      </c>
      <c r="B12" s="22">
        <f>'[10]Dia 1 (b)'!$V18</f>
        <v>14.5433838371851</v>
      </c>
      <c r="C12" s="22">
        <f>'[10]Dia 2 (b)'!$V18</f>
        <v>12.422244681311492</v>
      </c>
      <c r="D12" s="22">
        <f>'[10]Dia 3 (b)'!$V18</f>
        <v>17.670717400195592</v>
      </c>
      <c r="E12" s="22">
        <f>'[10]Dia 4 (b)'!$V18</f>
        <v>13.854271464859904</v>
      </c>
      <c r="F12" s="22">
        <f>'[10]Dia 5 (b)'!$V18</f>
        <v>13.370310842753971</v>
      </c>
      <c r="G12" s="22">
        <f>'[10]Dia 6 (b)'!$V18</f>
        <v>13.679678362155006</v>
      </c>
      <c r="H12" s="22">
        <f>'[10]Dia 7 (b)'!$V18</f>
        <v>12.850427037799308</v>
      </c>
      <c r="I12" s="22">
        <f>'[10]Dia 8 (b)'!$V18</f>
        <v>13.966281972305479</v>
      </c>
      <c r="J12" s="22">
        <f>'[10]Dia 9 (b)'!$V18</f>
        <v>15.813635122301006</v>
      </c>
      <c r="K12" s="22">
        <f>'[10]Dia 10 (b)'!$V18</f>
        <v>16.75842397932384</v>
      </c>
      <c r="L12" s="22">
        <f>'[10]Dia 11 (b)'!$V18</f>
        <v>18.944787904659986</v>
      </c>
      <c r="M12" s="22">
        <f>'[10]Dia 12 (b)'!$V18</f>
        <v>17.469236949633309</v>
      </c>
      <c r="N12" s="22">
        <f>'[10]Dia 13 (b)'!$V18</f>
        <v>15.263768029118703</v>
      </c>
      <c r="O12" s="22">
        <f>'[10]Dia 14 (b)'!$V18</f>
        <v>16.17436506427239</v>
      </c>
      <c r="P12" s="22">
        <f>'[10]Dia 15 (b)'!$V18</f>
        <v>13.676016763236891</v>
      </c>
      <c r="Q12" s="22">
        <f>'[10]Dia 16 (b)'!$V18</f>
        <v>16.669851378931032</v>
      </c>
      <c r="R12" s="22">
        <f>'[10]Dia 17 (b)'!$V18</f>
        <v>13.539804326105916</v>
      </c>
      <c r="S12" s="22">
        <f>'[10]Dia 18 (b)'!$V18</f>
        <v>15.555817041619173</v>
      </c>
      <c r="T12" s="22">
        <f>'[10]Dia 19 (b)'!$V18</f>
        <v>16.647215861260374</v>
      </c>
      <c r="U12" s="22">
        <f>'[10]Dia 20 (b)'!$V18</f>
        <v>15.375185373772176</v>
      </c>
      <c r="V12" s="22">
        <f>'[10]Dia 21 (b)'!$V18</f>
        <v>16.968229984498688</v>
      </c>
      <c r="W12" s="22">
        <f>'[10]Dia 22 (b)'!$V18</f>
        <v>18.927573818188346</v>
      </c>
      <c r="X12" s="22">
        <f>'[10]Dia 23 (b)'!$V18</f>
        <v>20.213081204133712</v>
      </c>
      <c r="Y12" s="22">
        <f>'[10]Dia 24 (b)'!$V18</f>
        <v>18.508723897440571</v>
      </c>
      <c r="Z12" s="22">
        <f>'[10]Dia 25 (b)'!$V18</f>
        <v>18.867154141785708</v>
      </c>
      <c r="AA12" s="22">
        <f>'[10]Dia 26 (b)'!$V18</f>
        <v>20.76143840763222</v>
      </c>
      <c r="AB12" s="22">
        <f>'[10]Dia 27 (b)'!$V18</f>
        <v>15.104957792194488</v>
      </c>
      <c r="AC12" s="22">
        <f>'[10]Dia 28 (b)'!$V18</f>
        <v>15.649770523467632</v>
      </c>
      <c r="AD12" s="22">
        <f>'[10]Dia 29 (b)'!$V18</f>
        <v>17.01619162509898</v>
      </c>
      <c r="AE12" s="22">
        <f>'[10]Dia 30 (b)'!$V18</f>
        <v>16.532542111056294</v>
      </c>
      <c r="AF12" s="23">
        <f>'[10]Dia 31 (b)'!$V18</f>
        <v>13.596751677650841</v>
      </c>
      <c r="AG12" s="19"/>
      <c r="AH12" s="20"/>
      <c r="AI12" s="21"/>
    </row>
    <row r="13" spans="1:35" ht="15.75">
      <c r="A13" s="16">
        <v>10</v>
      </c>
      <c r="B13" s="22">
        <f>'[10]Dia 1 (b)'!$V19</f>
        <v>15.006645792186212</v>
      </c>
      <c r="C13" s="22">
        <f>'[10]Dia 2 (b)'!$V19</f>
        <v>10.494512913350453</v>
      </c>
      <c r="D13" s="22">
        <f>'[10]Dia 3 (b)'!$V19</f>
        <v>17.165775895871693</v>
      </c>
      <c r="E13" s="22">
        <f>'[10]Dia 4 (b)'!$V19</f>
        <v>14.314171267044271</v>
      </c>
      <c r="F13" s="22">
        <f>'[10]Dia 5 (b)'!$V19</f>
        <v>13.51544300224187</v>
      </c>
      <c r="G13" s="22">
        <f>'[10]Dia 6 (b)'!$V19</f>
        <v>14.077841717968228</v>
      </c>
      <c r="H13" s="22">
        <f>'[10]Dia 7 (b)'!$V19</f>
        <v>11.953015614950846</v>
      </c>
      <c r="I13" s="22">
        <f>'[10]Dia 8 (b)'!$V19</f>
        <v>14.516935771125171</v>
      </c>
      <c r="J13" s="22">
        <f>'[10]Dia 9 (b)'!$V19</f>
        <v>16.184345309374716</v>
      </c>
      <c r="K13" s="22">
        <f>'[10]Dia 10 (b)'!$V19</f>
        <v>17.302470652876146</v>
      </c>
      <c r="L13" s="22">
        <f>'[10]Dia 11 (b)'!$V19</f>
        <v>19.117096510933568</v>
      </c>
      <c r="M13" s="22">
        <f>'[10]Dia 12 (b)'!$V19</f>
        <v>16.784864352759392</v>
      </c>
      <c r="N13" s="22">
        <f>'[10]Dia 13 (b)'!$V19</f>
        <v>14.861807348046048</v>
      </c>
      <c r="O13" s="22">
        <f>'[10]Dia 14 (b)'!$V19</f>
        <v>15.908900039723031</v>
      </c>
      <c r="P13" s="22">
        <f>'[10]Dia 15 (b)'!$V19</f>
        <v>14.59020851875667</v>
      </c>
      <c r="Q13" s="22">
        <f>'[10]Dia 16 (b)'!$V19</f>
        <v>17.347188510378054</v>
      </c>
      <c r="R13" s="22">
        <f>'[10]Dia 17 (b)'!$V19</f>
        <v>14.338779879990225</v>
      </c>
      <c r="S13" s="22">
        <f>'[10]Dia 18 (b)'!$V19</f>
        <v>15.880926621876798</v>
      </c>
      <c r="T13" s="22">
        <f>'[10]Dia 19 (b)'!$V19</f>
        <v>16.901233320514052</v>
      </c>
      <c r="U13" s="22">
        <f>'[10]Dia 20 (b)'!$V19</f>
        <v>15.680531375510997</v>
      </c>
      <c r="V13" s="22">
        <f>'[10]Dia 21 (b)'!$V19</f>
        <v>16.560426592239121</v>
      </c>
      <c r="W13" s="22">
        <f>'[10]Dia 22 (b)'!$V19</f>
        <v>18.587227646647239</v>
      </c>
      <c r="X13" s="22">
        <f>'[10]Dia 23 (b)'!$V19</f>
        <v>19.891434393337207</v>
      </c>
      <c r="Y13" s="22">
        <f>'[10]Dia 24 (b)'!$V19</f>
        <v>18.827226652220698</v>
      </c>
      <c r="Z13" s="22">
        <f>'[10]Dia 25 (b)'!$V19</f>
        <v>19.323718325852258</v>
      </c>
      <c r="AA13" s="22">
        <f>'[10]Dia 26 (b)'!$V19</f>
        <v>21.026760939713942</v>
      </c>
      <c r="AB13" s="22">
        <f>'[10]Dia 27 (b)'!$V19</f>
        <v>15.247948732550318</v>
      </c>
      <c r="AC13" s="22">
        <f>'[10]Dia 28 (b)'!$V19</f>
        <v>15.434168585065065</v>
      </c>
      <c r="AD13" s="22">
        <f>'[10]Dia 29 (b)'!$V19</f>
        <v>17.433344675427662</v>
      </c>
      <c r="AE13" s="22">
        <f>'[10]Dia 30 (b)'!$V19</f>
        <v>16.707750787499009</v>
      </c>
      <c r="AF13" s="23">
        <f>'[10]Dia 31 (b)'!$V19</f>
        <v>13.952766811294586</v>
      </c>
      <c r="AG13" s="19"/>
      <c r="AH13" s="20"/>
      <c r="AI13" s="21"/>
    </row>
    <row r="14" spans="1:35" ht="15.75">
      <c r="A14" s="16">
        <v>11</v>
      </c>
      <c r="B14" s="22">
        <f>'[10]Dia 1 (b)'!$V20</f>
        <v>13.199529887494144</v>
      </c>
      <c r="C14" s="22">
        <f>'[10]Dia 2 (b)'!$V20</f>
        <v>11.537109462538719</v>
      </c>
      <c r="D14" s="22">
        <f>'[10]Dia 3 (b)'!$V20</f>
        <v>17.897994086317745</v>
      </c>
      <c r="E14" s="22">
        <f>'[10]Dia 4 (b)'!$V20</f>
        <v>14.314060245501118</v>
      </c>
      <c r="F14" s="22">
        <f>'[10]Dia 5 (b)'!$V20</f>
        <v>14.477783388015105</v>
      </c>
      <c r="G14" s="22">
        <f>'[10]Dia 6 (b)'!$V20</f>
        <v>13.17192341540469</v>
      </c>
      <c r="H14" s="22">
        <f>'[10]Dia 7 (b)'!$V20</f>
        <v>12.095181669340311</v>
      </c>
      <c r="I14" s="22">
        <f>'[10]Dia 8 (b)'!$V20</f>
        <v>14.326207470295545</v>
      </c>
      <c r="J14" s="22">
        <f>'[10]Dia 9 (b)'!$V20</f>
        <v>16.339212698805529</v>
      </c>
      <c r="K14" s="22">
        <f>'[10]Dia 10 (b)'!$V20</f>
        <v>16.489991837718119</v>
      </c>
      <c r="L14" s="22">
        <f>'[10]Dia 11 (b)'!$V20</f>
        <v>19.538701249601424</v>
      </c>
      <c r="M14" s="22">
        <f>'[10]Dia 12 (b)'!$V20</f>
        <v>16.205656975560466</v>
      </c>
      <c r="N14" s="22">
        <f>'[10]Dia 13 (b)'!$V20</f>
        <v>14.92295425411888</v>
      </c>
      <c r="O14" s="22">
        <f>'[10]Dia 14 (b)'!$V20</f>
        <v>16.239508816675357</v>
      </c>
      <c r="P14" s="22">
        <f>'[10]Dia 15 (b)'!$V20</f>
        <v>14.201597481611614</v>
      </c>
      <c r="Q14" s="22">
        <f>'[10]Dia 16 (b)'!$V20</f>
        <v>17.289239432878034</v>
      </c>
      <c r="R14" s="22">
        <f>'[10]Dia 17 (b)'!$V20</f>
        <v>15.785988211869983</v>
      </c>
      <c r="S14" s="22">
        <f>'[10]Dia 18 (b)'!$V20</f>
        <v>17.22535930021111</v>
      </c>
      <c r="T14" s="22">
        <f>'[10]Dia 19 (b)'!$V20</f>
        <v>16.545894541132444</v>
      </c>
      <c r="U14" s="22">
        <f>'[10]Dia 20 (b)'!$V20</f>
        <v>15.879852310450339</v>
      </c>
      <c r="V14" s="22">
        <f>'[10]Dia 21 (b)'!$V20</f>
        <v>18.352692385411707</v>
      </c>
      <c r="W14" s="22">
        <f>'[10]Dia 22 (b)'!$V20</f>
        <v>18.005601796830568</v>
      </c>
      <c r="X14" s="22">
        <f>'[10]Dia 23 (b)'!$V20</f>
        <v>19.874891217334692</v>
      </c>
      <c r="Y14" s="22">
        <f>'[10]Dia 24 (b)'!$V20</f>
        <v>18.89577205465951</v>
      </c>
      <c r="Z14" s="22">
        <f>'[10]Dia 25 (b)'!$V20</f>
        <v>18.5031171274718</v>
      </c>
      <c r="AA14" s="22">
        <f>'[10]Dia 26 (b)'!$V20</f>
        <v>19.400673784171243</v>
      </c>
      <c r="AB14" s="22">
        <f>'[10]Dia 27 (b)'!$V20</f>
        <v>14.807206404127491</v>
      </c>
      <c r="AC14" s="22">
        <f>'[10]Dia 28 (b)'!$V20</f>
        <v>15.700040590211904</v>
      </c>
      <c r="AD14" s="22">
        <f>'[10]Dia 29 (b)'!$V20</f>
        <v>16.937360997968391</v>
      </c>
      <c r="AE14" s="22">
        <f>'[10]Dia 30 (b)'!$V20</f>
        <v>16.076518613656855</v>
      </c>
      <c r="AF14" s="23">
        <f>'[10]Dia 31 (b)'!$V20</f>
        <v>13.778073758353639</v>
      </c>
      <c r="AG14" s="19"/>
      <c r="AH14" s="20"/>
      <c r="AI14" s="21"/>
    </row>
    <row r="15" spans="1:35" ht="15.75">
      <c r="A15" s="16">
        <v>12</v>
      </c>
      <c r="B15" s="22">
        <f>'[10]Dia 1 (b)'!$V21</f>
        <v>11.865630978687612</v>
      </c>
      <c r="C15" s="22">
        <f>'[10]Dia 2 (b)'!$V21</f>
        <v>11.302316994660915</v>
      </c>
      <c r="D15" s="22">
        <f>'[10]Dia 3 (b)'!$V21</f>
        <v>17.087877163568528</v>
      </c>
      <c r="E15" s="22">
        <f>'[10]Dia 4 (b)'!$V21</f>
        <v>14.301984981487308</v>
      </c>
      <c r="F15" s="22">
        <f>'[10]Dia 5 (b)'!$V21</f>
        <v>14.592294313301744</v>
      </c>
      <c r="G15" s="22">
        <f>'[10]Dia 6 (b)'!$V21</f>
        <v>13.721203809374758</v>
      </c>
      <c r="H15" s="22">
        <f>'[10]Dia 7 (b)'!$V21</f>
        <v>10.728820042537345</v>
      </c>
      <c r="I15" s="22">
        <f>'[10]Dia 8 (b)'!$V21</f>
        <v>14.699562486922556</v>
      </c>
      <c r="J15" s="22">
        <f>'[10]Dia 9 (b)'!$V21</f>
        <v>16.652591334462432</v>
      </c>
      <c r="K15" s="22">
        <f>'[10]Dia 10 (b)'!$V21</f>
        <v>16.824644687476649</v>
      </c>
      <c r="L15" s="22">
        <f>'[10]Dia 11 (b)'!$V21</f>
        <v>18.202809902787127</v>
      </c>
      <c r="M15" s="22">
        <f>'[10]Dia 12 (b)'!$V21</f>
        <v>16.224018772567742</v>
      </c>
      <c r="N15" s="22">
        <f>'[10]Dia 13 (b)'!$V21</f>
        <v>16.256964300483133</v>
      </c>
      <c r="O15" s="22">
        <f>'[10]Dia 14 (b)'!$V21</f>
        <v>16.354752276697848</v>
      </c>
      <c r="P15" s="22">
        <f>'[10]Dia 15 (b)'!$V21</f>
        <v>13.97903698336652</v>
      </c>
      <c r="Q15" s="22">
        <f>'[10]Dia 16 (b)'!$V21</f>
        <v>16.335587361078261</v>
      </c>
      <c r="R15" s="22">
        <f>'[10]Dia 17 (b)'!$V21</f>
        <v>15.464128793655966</v>
      </c>
      <c r="S15" s="22">
        <f>'[10]Dia 18 (b)'!$V21</f>
        <v>17.504097061708297</v>
      </c>
      <c r="T15" s="22">
        <f>'[10]Dia 19 (b)'!$V21</f>
        <v>16.087782591425093</v>
      </c>
      <c r="U15" s="22">
        <f>'[10]Dia 20 (b)'!$V21</f>
        <v>16.239195463125615</v>
      </c>
      <c r="V15" s="22">
        <f>'[10]Dia 21 (b)'!$V21</f>
        <v>18.429378115871724</v>
      </c>
      <c r="W15" s="22">
        <f>'[10]Dia 22 (b)'!$V21</f>
        <v>17.699486633010288</v>
      </c>
      <c r="X15" s="22">
        <f>'[10]Dia 23 (b)'!$V21</f>
        <v>20.477370027838333</v>
      </c>
      <c r="Y15" s="22">
        <f>'[10]Dia 24 (b)'!$V21</f>
        <v>18.244739496964467</v>
      </c>
      <c r="Z15" s="22">
        <f>'[10]Dia 25 (b)'!$V21</f>
        <v>18.79074582503393</v>
      </c>
      <c r="AA15" s="22">
        <f>'[10]Dia 26 (b)'!$V21</f>
        <v>19.584467606337892</v>
      </c>
      <c r="AB15" s="22">
        <f>'[10]Dia 27 (b)'!$V21</f>
        <v>14.969447813478327</v>
      </c>
      <c r="AC15" s="22">
        <f>'[10]Dia 28 (b)'!$V21</f>
        <v>15.813638353943293</v>
      </c>
      <c r="AD15" s="22">
        <f>'[10]Dia 29 (b)'!$V21</f>
        <v>17.15191526888033</v>
      </c>
      <c r="AE15" s="22">
        <f>'[10]Dia 30 (b)'!$V21</f>
        <v>15.476487560008772</v>
      </c>
      <c r="AF15" s="23">
        <f>'[10]Dia 31 (b)'!$V21</f>
        <v>15.938845549713752</v>
      </c>
      <c r="AG15" s="19"/>
      <c r="AH15" s="20"/>
      <c r="AI15" s="21"/>
    </row>
    <row r="16" spans="1:35" ht="15.75">
      <c r="A16" s="16">
        <v>13</v>
      </c>
      <c r="B16" s="22">
        <f>'[10]Dia 1 (b)'!$V22</f>
        <v>13.149188276035341</v>
      </c>
      <c r="C16" s="22">
        <f>'[10]Dia 2 (b)'!$V22</f>
        <v>10.169988940046519</v>
      </c>
      <c r="D16" s="22">
        <f>'[10]Dia 3 (b)'!$V22</f>
        <v>16.402010715942268</v>
      </c>
      <c r="E16" s="22">
        <f>'[10]Dia 4 (b)'!$V22</f>
        <v>14.080089281460312</v>
      </c>
      <c r="F16" s="22">
        <f>'[10]Dia 5 (b)'!$V22</f>
        <v>14.562190207748763</v>
      </c>
      <c r="G16" s="22">
        <f>'[10]Dia 6 (b)'!$V22</f>
        <v>15.140359150929475</v>
      </c>
      <c r="H16" s="22">
        <f>'[10]Dia 7 (b)'!$V22</f>
        <v>13.865979660889725</v>
      </c>
      <c r="I16" s="22">
        <f>'[10]Dia 8 (b)'!$V22</f>
        <v>13.984872719456765</v>
      </c>
      <c r="J16" s="22">
        <f>'[10]Dia 9 (b)'!$V22</f>
        <v>16.698227087262143</v>
      </c>
      <c r="K16" s="22">
        <f>'[10]Dia 10 (b)'!$V22</f>
        <v>16.49611388576967</v>
      </c>
      <c r="L16" s="22">
        <f>'[10]Dia 11 (b)'!$V22</f>
        <v>18.681159981058531</v>
      </c>
      <c r="M16" s="22">
        <f>'[10]Dia 12 (b)'!$V22</f>
        <v>15.213203773757941</v>
      </c>
      <c r="N16" s="22">
        <f>'[10]Dia 13 (b)'!$V22</f>
        <v>16.268933971273924</v>
      </c>
      <c r="O16" s="22">
        <f>'[10]Dia 14 (b)'!$V22</f>
        <v>16.511999401327</v>
      </c>
      <c r="P16" s="22">
        <f>'[10]Dia 15 (b)'!$V22</f>
        <v>16.75871501368001</v>
      </c>
      <c r="Q16" s="22">
        <f>'[10]Dia 16 (b)'!$V22</f>
        <v>17.274029916044555</v>
      </c>
      <c r="R16" s="22">
        <f>'[10]Dia 17 (b)'!$V22</f>
        <v>16.035436249969578</v>
      </c>
      <c r="S16" s="22">
        <f>'[10]Dia 18 (b)'!$V22</f>
        <v>17.505510577963665</v>
      </c>
      <c r="T16" s="22">
        <f>'[10]Dia 19 (b)'!$V22</f>
        <v>15.681024360159428</v>
      </c>
      <c r="U16" s="22">
        <f>'[10]Dia 20 (b)'!$V22</f>
        <v>16.28957946942462</v>
      </c>
      <c r="V16" s="22">
        <f>'[10]Dia 21 (b)'!$V22</f>
        <v>18.584705945637943</v>
      </c>
      <c r="W16" s="22">
        <f>'[10]Dia 22 (b)'!$V22</f>
        <v>17.852714710538155</v>
      </c>
      <c r="X16" s="22">
        <f>'[10]Dia 23 (b)'!$V22</f>
        <v>20.002514494504023</v>
      </c>
      <c r="Y16" s="22">
        <f>'[10]Dia 24 (b)'!$V22</f>
        <v>19.466396507270503</v>
      </c>
      <c r="Z16" s="22">
        <f>'[10]Dia 25 (b)'!$V22</f>
        <v>18.174926851098743</v>
      </c>
      <c r="AA16" s="22">
        <f>'[10]Dia 26 (b)'!$V22</f>
        <v>18.698298140088525</v>
      </c>
      <c r="AB16" s="22">
        <f>'[10]Dia 27 (b)'!$V22</f>
        <v>14.872848043468686</v>
      </c>
      <c r="AC16" s="22">
        <f>'[10]Dia 28 (b)'!$V22</f>
        <v>16.666245986749608</v>
      </c>
      <c r="AD16" s="22">
        <f>'[10]Dia 29 (b)'!$V22</f>
        <v>17.259056211252656</v>
      </c>
      <c r="AE16" s="22">
        <f>'[10]Dia 30 (b)'!$V22</f>
        <v>15.477749751690212</v>
      </c>
      <c r="AF16" s="23">
        <f>'[10]Dia 31 (b)'!$V22</f>
        <v>16.107188114185256</v>
      </c>
      <c r="AG16" s="19"/>
      <c r="AH16" s="20"/>
      <c r="AI16" s="21"/>
    </row>
    <row r="17" spans="1:35" ht="15.75">
      <c r="A17" s="16">
        <v>14</v>
      </c>
      <c r="B17" s="22">
        <f>'[10]Dia 1 (b)'!$V23</f>
        <v>11.453595444530293</v>
      </c>
      <c r="C17" s="22">
        <f>'[10]Dia 2 (b)'!$V23</f>
        <v>8.1720541969311871</v>
      </c>
      <c r="D17" s="22">
        <f>'[10]Dia 3 (b)'!$V23</f>
        <v>16.903813191159568</v>
      </c>
      <c r="E17" s="22">
        <f>'[10]Dia 4 (b)'!$V23</f>
        <v>14.04804790079708</v>
      </c>
      <c r="F17" s="22">
        <f>'[10]Dia 5 (b)'!$V23</f>
        <v>14.939210683088415</v>
      </c>
      <c r="G17" s="22">
        <f>'[10]Dia 6 (b)'!$V23</f>
        <v>14.720932376760386</v>
      </c>
      <c r="H17" s="22">
        <f>'[10]Dia 7 (b)'!$V23</f>
        <v>14.465270197692638</v>
      </c>
      <c r="I17" s="22">
        <f>'[10]Dia 8 (b)'!$V23</f>
        <v>15.79386268999202</v>
      </c>
      <c r="J17" s="22">
        <f>'[10]Dia 9 (b)'!$V23</f>
        <v>15.76249843872726</v>
      </c>
      <c r="K17" s="22">
        <f>'[10]Dia 10 (b)'!$V23</f>
        <v>18.016209720041047</v>
      </c>
      <c r="L17" s="22">
        <f>'[10]Dia 11 (b)'!$V23</f>
        <v>19.061850640557424</v>
      </c>
      <c r="M17" s="22">
        <f>'[10]Dia 12 (b)'!$V23</f>
        <v>18.575614317578243</v>
      </c>
      <c r="N17" s="22">
        <f>'[10]Dia 13 (b)'!$V23</f>
        <v>16.073020143379988</v>
      </c>
      <c r="O17" s="22">
        <f>'[10]Dia 14 (b)'!$V23</f>
        <v>16.124654038293613</v>
      </c>
      <c r="P17" s="22">
        <f>'[10]Dia 15 (b)'!$V23</f>
        <v>16.50761350349396</v>
      </c>
      <c r="Q17" s="22">
        <f>'[10]Dia 16 (b)'!$V23</f>
        <v>17.810988993089428</v>
      </c>
      <c r="R17" s="22">
        <f>'[10]Dia 17 (b)'!$V23</f>
        <v>17.011717911554147</v>
      </c>
      <c r="S17" s="22">
        <f>'[10]Dia 18 (b)'!$V23</f>
        <v>17.521592731911888</v>
      </c>
      <c r="T17" s="22">
        <f>'[10]Dia 19 (b)'!$V23</f>
        <v>15.27398346824355</v>
      </c>
      <c r="U17" s="22">
        <f>'[10]Dia 20 (b)'!$V23</f>
        <v>16.699822790565037</v>
      </c>
      <c r="V17" s="22">
        <f>'[10]Dia 21 (b)'!$V23</f>
        <v>18.945533981201667</v>
      </c>
      <c r="W17" s="22">
        <f>'[10]Dia 22 (b)'!$V23</f>
        <v>17.568270879178844</v>
      </c>
      <c r="X17" s="22">
        <f>'[10]Dia 23 (b)'!$V23</f>
        <v>20.799927709683235</v>
      </c>
      <c r="Y17" s="22">
        <f>'[10]Dia 24 (b)'!$V23</f>
        <v>20.111171087430371</v>
      </c>
      <c r="Z17" s="22">
        <f>'[10]Dia 25 (b)'!$V23</f>
        <v>18.496838891147327</v>
      </c>
      <c r="AA17" s="22">
        <f>'[10]Dia 26 (b)'!$V23</f>
        <v>18.391342939600733</v>
      </c>
      <c r="AB17" s="22">
        <f>'[10]Dia 27 (b)'!$V23</f>
        <v>15.161317455933311</v>
      </c>
      <c r="AC17" s="22">
        <f>'[10]Dia 28 (b)'!$V23</f>
        <v>16.751600764482532</v>
      </c>
      <c r="AD17" s="22">
        <f>'[10]Dia 29 (b)'!$V23</f>
        <v>17.039911886804031</v>
      </c>
      <c r="AE17" s="22">
        <f>'[10]Dia 30 (b)'!$V23</f>
        <v>16.183691771564977</v>
      </c>
      <c r="AF17" s="23">
        <f>'[10]Dia 31 (b)'!$V23</f>
        <v>15.626353684845752</v>
      </c>
      <c r="AG17" s="19"/>
      <c r="AH17" s="20"/>
      <c r="AI17" s="21"/>
    </row>
    <row r="18" spans="1:35" ht="15.75">
      <c r="A18" s="16">
        <v>15</v>
      </c>
      <c r="B18" s="22">
        <f>'[10]Dia 1 (b)'!$V24</f>
        <v>9.2519469611333029</v>
      </c>
      <c r="C18" s="22">
        <f>'[10]Dia 2 (b)'!$V24</f>
        <v>18.198923149855059</v>
      </c>
      <c r="D18" s="22">
        <f>'[10]Dia 3 (b)'!$V24</f>
        <v>15.816056122133121</v>
      </c>
      <c r="E18" s="22">
        <f>'[10]Dia 4 (b)'!$V24</f>
        <v>14.107045829260672</v>
      </c>
      <c r="F18" s="22">
        <f>'[10]Dia 5 (b)'!$V24</f>
        <v>15.071909123271324</v>
      </c>
      <c r="G18" s="22">
        <f>'[10]Dia 6 (b)'!$V24</f>
        <v>14.705633708980661</v>
      </c>
      <c r="H18" s="22">
        <f>'[10]Dia 7 (b)'!$V24</f>
        <v>13.18282965137967</v>
      </c>
      <c r="I18" s="22">
        <f>'[10]Dia 8 (b)'!$V24</f>
        <v>17.814369101024191</v>
      </c>
      <c r="J18" s="22">
        <f>'[10]Dia 9 (b)'!$V24</f>
        <v>15.869550082301265</v>
      </c>
      <c r="K18" s="22">
        <f>'[10]Dia 10 (b)'!$V24</f>
        <v>18.682681361304997</v>
      </c>
      <c r="L18" s="22">
        <f>'[10]Dia 11 (b)'!$V24</f>
        <v>18.448537178581944</v>
      </c>
      <c r="M18" s="22">
        <f>'[10]Dia 12 (b)'!$V24</f>
        <v>18.08069102301102</v>
      </c>
      <c r="N18" s="22">
        <f>'[10]Dia 13 (b)'!$V24</f>
        <v>16.124774801666252</v>
      </c>
      <c r="O18" s="22">
        <f>'[10]Dia 14 (b)'!$V24</f>
        <v>15.917535273434343</v>
      </c>
      <c r="P18" s="22">
        <f>'[10]Dia 15 (b)'!$V24</f>
        <v>16.975769847832456</v>
      </c>
      <c r="Q18" s="22">
        <f>'[10]Dia 16 (b)'!$V24</f>
        <v>18.924224997344599</v>
      </c>
      <c r="R18" s="22">
        <f>'[10]Dia 17 (b)'!$V24</f>
        <v>17.701255141171124</v>
      </c>
      <c r="S18" s="22">
        <f>'[10]Dia 18 (b)'!$V24</f>
        <v>17.218280804281203</v>
      </c>
      <c r="T18" s="22">
        <f>'[10]Dia 19 (b)'!$V24</f>
        <v>14.821117454756005</v>
      </c>
      <c r="U18" s="22">
        <f>'[10]Dia 20 (b)'!$V24</f>
        <v>16.391497925366647</v>
      </c>
      <c r="V18" s="22">
        <f>'[10]Dia 21 (b)'!$V24</f>
        <v>18.662821703114091</v>
      </c>
      <c r="W18" s="22">
        <f>'[10]Dia 22 (b)'!$V24</f>
        <v>20.710137506814437</v>
      </c>
      <c r="X18" s="22">
        <f>'[10]Dia 23 (b)'!$V24</f>
        <v>20.495458851860171</v>
      </c>
      <c r="Y18" s="22">
        <f>'[10]Dia 24 (b)'!$V24</f>
        <v>19.38758656302462</v>
      </c>
      <c r="Z18" s="22">
        <f>'[10]Dia 25 (b)'!$V24</f>
        <v>18.634274322371635</v>
      </c>
      <c r="AA18" s="22">
        <f>'[10]Dia 26 (b)'!$V24</f>
        <v>16.643791443226196</v>
      </c>
      <c r="AB18" s="22">
        <f>'[10]Dia 27 (b)'!$V24</f>
        <v>15.170158305961781</v>
      </c>
      <c r="AC18" s="22">
        <f>'[10]Dia 28 (b)'!$V24</f>
        <v>17.106204218424946</v>
      </c>
      <c r="AD18" s="22">
        <f>'[10]Dia 29 (b)'!$V24</f>
        <v>16.770230682083056</v>
      </c>
      <c r="AE18" s="22">
        <f>'[10]Dia 30 (b)'!$V24</f>
        <v>15.68859090628087</v>
      </c>
      <c r="AF18" s="23">
        <f>'[10]Dia 31 (b)'!$V24</f>
        <v>15.230874437435537</v>
      </c>
      <c r="AG18" s="19"/>
      <c r="AH18" s="20"/>
      <c r="AI18" s="21"/>
    </row>
    <row r="19" spans="1:35" ht="15.75">
      <c r="A19" s="16">
        <v>16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8"/>
      <c r="AG19" s="19"/>
      <c r="AH19" s="20"/>
      <c r="AI19" s="21"/>
    </row>
    <row r="20" spans="1:35" ht="15.75">
      <c r="A20" s="16">
        <v>17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8"/>
      <c r="AG20" s="19"/>
      <c r="AH20" s="20"/>
      <c r="AI20" s="21"/>
    </row>
    <row r="21" spans="1:35" ht="15.75">
      <c r="A21" s="16">
        <v>18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8"/>
      <c r="AG21" s="19"/>
      <c r="AH21" s="20"/>
      <c r="AI21" s="21"/>
    </row>
    <row r="22" spans="1:35" ht="15.75">
      <c r="A22" s="16">
        <v>19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8"/>
      <c r="AG22" s="19"/>
      <c r="AH22" s="20"/>
      <c r="AI22" s="21"/>
    </row>
    <row r="23" spans="1:35" ht="15.75">
      <c r="A23" s="16">
        <v>20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8"/>
      <c r="AG23" s="19"/>
      <c r="AH23" s="20"/>
      <c r="AI23" s="21"/>
    </row>
    <row r="24" spans="1:35" ht="15.75">
      <c r="A24" s="16">
        <v>21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8"/>
      <c r="AG24" s="19"/>
      <c r="AH24" s="20"/>
      <c r="AI24" s="21"/>
    </row>
    <row r="25" spans="1:35" ht="15.75">
      <c r="A25" s="16">
        <v>22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8"/>
      <c r="AG25" s="19"/>
      <c r="AH25" s="20"/>
      <c r="AI25" s="21"/>
    </row>
    <row r="26" spans="1:35" ht="15.75">
      <c r="A26" s="16">
        <v>23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8"/>
      <c r="AG26" s="19"/>
      <c r="AH26" s="20"/>
      <c r="AI26" s="21"/>
    </row>
    <row r="27" spans="1:35" ht="16.5" thickBot="1">
      <c r="A27" s="16">
        <v>24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8"/>
      <c r="AG27" s="19"/>
      <c r="AH27" s="20"/>
      <c r="AI27" s="21"/>
    </row>
    <row r="28" spans="1:35" ht="16.5" thickTop="1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6"/>
      <c r="AG28" s="19"/>
      <c r="AH28" s="20"/>
      <c r="AI28" s="21"/>
    </row>
    <row r="29" spans="1:35" ht="15.75">
      <c r="A29" s="27"/>
      <c r="B29" s="28" t="s">
        <v>5</v>
      </c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30"/>
      <c r="AG29" s="19"/>
      <c r="AH29" s="20"/>
      <c r="AI29" s="21"/>
    </row>
    <row r="30" spans="1:35" ht="15.75">
      <c r="A30" s="31" t="s">
        <v>6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0"/>
    </row>
    <row r="31" spans="1:35" ht="15.75">
      <c r="A31" s="31" t="s">
        <v>7</v>
      </c>
      <c r="B31" s="33">
        <f>AVERAGE(B4:B27)</f>
        <v>13.131582592836883</v>
      </c>
      <c r="C31" s="33">
        <f t="shared" ref="C31:AF31" si="0">AVERAGE(C4:C27)</f>
        <v>12.554930053730482</v>
      </c>
      <c r="D31" s="33">
        <f t="shared" si="0"/>
        <v>16.957255890917295</v>
      </c>
      <c r="E31" s="33">
        <f t="shared" si="0"/>
        <v>14.167701127921751</v>
      </c>
      <c r="F31" s="33">
        <f t="shared" si="0"/>
        <v>14.311578444145702</v>
      </c>
      <c r="G31" s="33">
        <f t="shared" si="0"/>
        <v>14.021538171069725</v>
      </c>
      <c r="H31" s="33">
        <f t="shared" si="0"/>
        <v>12.763756990267959</v>
      </c>
      <c r="I31" s="33">
        <f t="shared" si="0"/>
        <v>14.862043769480007</v>
      </c>
      <c r="J31" s="33">
        <f t="shared" si="0"/>
        <v>16.007740111915563</v>
      </c>
      <c r="K31" s="33">
        <f t="shared" si="0"/>
        <v>17.158143936614138</v>
      </c>
      <c r="L31" s="33">
        <f t="shared" si="0"/>
        <v>18.786295633712136</v>
      </c>
      <c r="M31" s="33">
        <f t="shared" si="0"/>
        <v>17.153061198719065</v>
      </c>
      <c r="N31" s="33">
        <f t="shared" si="0"/>
        <v>15.594716286464156</v>
      </c>
      <c r="O31" s="33">
        <f t="shared" si="0"/>
        <v>16.113960339680403</v>
      </c>
      <c r="P31" s="33">
        <f>AVERAGE(P4:P27)</f>
        <v>15.024565654393834</v>
      </c>
      <c r="Q31" s="33">
        <f t="shared" si="0"/>
        <v>17.102780713307752</v>
      </c>
      <c r="R31" s="33">
        <f t="shared" si="0"/>
        <v>15.568479855701096</v>
      </c>
      <c r="S31" s="33">
        <f t="shared" si="0"/>
        <v>16.539364265168686</v>
      </c>
      <c r="T31" s="33">
        <f t="shared" si="0"/>
        <v>15.996121090967982</v>
      </c>
      <c r="U31" s="33">
        <f t="shared" si="0"/>
        <v>15.919538405614698</v>
      </c>
      <c r="V31" s="33">
        <f t="shared" si="0"/>
        <v>17.70507320124203</v>
      </c>
      <c r="W31" s="33">
        <f t="shared" si="0"/>
        <v>18.65127444500872</v>
      </c>
      <c r="X31" s="33">
        <f t="shared" si="0"/>
        <v>20.285050538579625</v>
      </c>
      <c r="Y31" s="33">
        <f t="shared" si="0"/>
        <v>19.114625769335142</v>
      </c>
      <c r="Z31" s="33">
        <f t="shared" si="0"/>
        <v>18.664505190649614</v>
      </c>
      <c r="AA31" s="33">
        <f t="shared" si="0"/>
        <v>19.417712173082734</v>
      </c>
      <c r="AB31" s="33">
        <f t="shared" si="0"/>
        <v>14.957413443683045</v>
      </c>
      <c r="AC31" s="33">
        <f t="shared" si="0"/>
        <v>16.06199825568077</v>
      </c>
      <c r="AD31" s="33">
        <f t="shared" si="0"/>
        <v>17.057865697391186</v>
      </c>
      <c r="AE31" s="33">
        <f t="shared" si="0"/>
        <v>16.07419854595188</v>
      </c>
      <c r="AF31" s="34">
        <f t="shared" si="0"/>
        <v>14.617535931930636</v>
      </c>
    </row>
    <row r="32" spans="1:35" ht="15">
      <c r="A32" s="35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7"/>
    </row>
    <row r="33" spans="1:32" ht="15">
      <c r="A33" s="35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7"/>
    </row>
    <row r="34" spans="1:32" ht="15.75">
      <c r="A34" s="31" t="s">
        <v>8</v>
      </c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7"/>
    </row>
    <row r="35" spans="1:32" ht="15.75">
      <c r="A35" s="31" t="s">
        <v>7</v>
      </c>
      <c r="B35" s="33">
        <f>MAX(B4:B27)</f>
        <v>15.162429413439622</v>
      </c>
      <c r="C35" s="33">
        <f t="shared" ref="C35:AF35" si="1">MAX(C4:C27)</f>
        <v>18.198923149855059</v>
      </c>
      <c r="D35" s="33">
        <f t="shared" si="1"/>
        <v>17.897994086317745</v>
      </c>
      <c r="E35" s="33">
        <f t="shared" si="1"/>
        <v>14.412903449909949</v>
      </c>
      <c r="F35" s="33">
        <f t="shared" si="1"/>
        <v>15.071909123271324</v>
      </c>
      <c r="G35" s="33">
        <f t="shared" si="1"/>
        <v>15.140359150929475</v>
      </c>
      <c r="H35" s="33">
        <f t="shared" si="1"/>
        <v>14.465270197692638</v>
      </c>
      <c r="I35" s="33">
        <f t="shared" si="1"/>
        <v>17.814369101024191</v>
      </c>
      <c r="J35" s="33">
        <f t="shared" si="1"/>
        <v>16.698227087262143</v>
      </c>
      <c r="K35" s="33">
        <f t="shared" si="1"/>
        <v>18.682681361304997</v>
      </c>
      <c r="L35" s="33">
        <f t="shared" si="1"/>
        <v>19.538701249601424</v>
      </c>
      <c r="M35" s="33">
        <f t="shared" si="1"/>
        <v>18.575614317578243</v>
      </c>
      <c r="N35" s="33">
        <f t="shared" si="1"/>
        <v>16.268933971273924</v>
      </c>
      <c r="O35" s="33">
        <f t="shared" si="1"/>
        <v>16.511999401327</v>
      </c>
      <c r="P35" s="33">
        <f>MAX(P4:P27)</f>
        <v>16.975769847832456</v>
      </c>
      <c r="Q35" s="33">
        <f t="shared" si="1"/>
        <v>18.924224997344599</v>
      </c>
      <c r="R35" s="33">
        <f t="shared" si="1"/>
        <v>17.701255141171124</v>
      </c>
      <c r="S35" s="33">
        <f t="shared" si="1"/>
        <v>17.521592731911888</v>
      </c>
      <c r="T35" s="33">
        <f t="shared" si="1"/>
        <v>16.901233320514052</v>
      </c>
      <c r="U35" s="33">
        <f t="shared" si="1"/>
        <v>16.699822790565037</v>
      </c>
      <c r="V35" s="33">
        <f t="shared" si="1"/>
        <v>18.945533981201667</v>
      </c>
      <c r="W35" s="33">
        <f t="shared" si="1"/>
        <v>20.710137506814437</v>
      </c>
      <c r="X35" s="33">
        <f t="shared" si="1"/>
        <v>20.799927709683235</v>
      </c>
      <c r="Y35" s="33">
        <f t="shared" si="1"/>
        <v>20.111171087430371</v>
      </c>
      <c r="Z35" s="33">
        <f t="shared" si="1"/>
        <v>19.323718325852258</v>
      </c>
      <c r="AA35" s="33">
        <f t="shared" si="1"/>
        <v>21.026760939713942</v>
      </c>
      <c r="AB35" s="33">
        <f t="shared" si="1"/>
        <v>15.247948732550318</v>
      </c>
      <c r="AC35" s="33">
        <f t="shared" si="1"/>
        <v>17.106204218424946</v>
      </c>
      <c r="AD35" s="33">
        <f t="shared" si="1"/>
        <v>17.433344675427662</v>
      </c>
      <c r="AE35" s="33">
        <f t="shared" si="1"/>
        <v>16.707750787499009</v>
      </c>
      <c r="AF35" s="34">
        <f t="shared" si="1"/>
        <v>16.107188114185256</v>
      </c>
    </row>
    <row r="36" spans="1:32" ht="15">
      <c r="A36" s="35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7"/>
    </row>
    <row r="37" spans="1:32" ht="15">
      <c r="A37" s="35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7"/>
    </row>
    <row r="38" spans="1:32" ht="15.75">
      <c r="A38" s="31" t="s">
        <v>9</v>
      </c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7"/>
    </row>
    <row r="39" spans="1:32" ht="15.75">
      <c r="A39" s="31" t="s">
        <v>7</v>
      </c>
      <c r="B39" s="33">
        <f>MIN(B4:B27)</f>
        <v>9.2519469611333029</v>
      </c>
      <c r="C39" s="33">
        <f t="shared" ref="C39:AF39" si="2">MIN(C4:C27)</f>
        <v>8.1720541969311871</v>
      </c>
      <c r="D39" s="33">
        <f t="shared" si="2"/>
        <v>15.816056122133121</v>
      </c>
      <c r="E39" s="33">
        <f t="shared" si="2"/>
        <v>13.854271464859904</v>
      </c>
      <c r="F39" s="33">
        <f t="shared" si="2"/>
        <v>13.370310842753971</v>
      </c>
      <c r="G39" s="33">
        <f t="shared" si="2"/>
        <v>13.17192341540469</v>
      </c>
      <c r="H39" s="33">
        <f t="shared" si="2"/>
        <v>10.728820042537345</v>
      </c>
      <c r="I39" s="33">
        <f t="shared" si="2"/>
        <v>13.966281972305479</v>
      </c>
      <c r="J39" s="33">
        <f t="shared" si="2"/>
        <v>15.326837109971045</v>
      </c>
      <c r="K39" s="33">
        <f t="shared" si="2"/>
        <v>16.489991837718119</v>
      </c>
      <c r="L39" s="33">
        <f t="shared" si="2"/>
        <v>18.059417891797342</v>
      </c>
      <c r="M39" s="33">
        <f t="shared" si="2"/>
        <v>15.213203773757941</v>
      </c>
      <c r="N39" s="33">
        <f t="shared" si="2"/>
        <v>14.861807348046048</v>
      </c>
      <c r="O39" s="33">
        <f t="shared" si="2"/>
        <v>15.876277653069883</v>
      </c>
      <c r="P39" s="33">
        <f>MIN(P4:P27)</f>
        <v>13.676016763236891</v>
      </c>
      <c r="Q39" s="33">
        <f t="shared" si="2"/>
        <v>15.975653594566102</v>
      </c>
      <c r="R39" s="33">
        <f t="shared" si="2"/>
        <v>13.539804326105916</v>
      </c>
      <c r="S39" s="33">
        <f t="shared" si="2"/>
        <v>15.169932086912789</v>
      </c>
      <c r="T39" s="33">
        <f t="shared" si="2"/>
        <v>14.821117454756005</v>
      </c>
      <c r="U39" s="33">
        <f t="shared" si="2"/>
        <v>15.235876068753029</v>
      </c>
      <c r="V39" s="33">
        <f t="shared" si="2"/>
        <v>16.349178690520976</v>
      </c>
      <c r="W39" s="33">
        <f t="shared" si="2"/>
        <v>17.568270879178844</v>
      </c>
      <c r="X39" s="33">
        <f t="shared" si="2"/>
        <v>19.874891217334692</v>
      </c>
      <c r="Y39" s="33">
        <f t="shared" si="2"/>
        <v>18.244739496964467</v>
      </c>
      <c r="Z39" s="33">
        <f t="shared" si="2"/>
        <v>18.174926851098743</v>
      </c>
      <c r="AA39" s="33">
        <f t="shared" si="2"/>
        <v>16.643791443226196</v>
      </c>
      <c r="AB39" s="33">
        <f t="shared" si="2"/>
        <v>14.2243912600825</v>
      </c>
      <c r="AC39" s="33">
        <f t="shared" si="2"/>
        <v>15.434168585065065</v>
      </c>
      <c r="AD39" s="33">
        <f t="shared" si="2"/>
        <v>16.770230682083056</v>
      </c>
      <c r="AE39" s="33">
        <f t="shared" si="2"/>
        <v>15.476487560008772</v>
      </c>
      <c r="AF39" s="34">
        <f t="shared" si="2"/>
        <v>13.3052366018676</v>
      </c>
    </row>
    <row r="40" spans="1:32" ht="15">
      <c r="A40" s="35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38"/>
    </row>
    <row r="41" spans="1:32" ht="15">
      <c r="A41" s="35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38"/>
    </row>
    <row r="42" spans="1:32" ht="15.75">
      <c r="A42" s="31" t="s">
        <v>10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38"/>
    </row>
    <row r="43" spans="1:32" ht="15.75">
      <c r="A43" s="31" t="s">
        <v>7</v>
      </c>
      <c r="B43" s="39">
        <f>B35-B39</f>
        <v>5.9104824523063186</v>
      </c>
      <c r="C43" s="39">
        <f t="shared" ref="C43:AF43" si="3">C35-C39</f>
        <v>10.026868952923872</v>
      </c>
      <c r="D43" s="39">
        <f t="shared" si="3"/>
        <v>2.0819379641846236</v>
      </c>
      <c r="E43" s="39">
        <f t="shared" si="3"/>
        <v>0.55863198505004519</v>
      </c>
      <c r="F43" s="39">
        <f t="shared" si="3"/>
        <v>1.7015982805173522</v>
      </c>
      <c r="G43" s="39">
        <f t="shared" si="3"/>
        <v>1.9684357355247855</v>
      </c>
      <c r="H43" s="39">
        <f t="shared" si="3"/>
        <v>3.7364501551552927</v>
      </c>
      <c r="I43" s="39">
        <f t="shared" si="3"/>
        <v>3.8480871287187117</v>
      </c>
      <c r="J43" s="39">
        <f t="shared" si="3"/>
        <v>1.3713899772910985</v>
      </c>
      <c r="K43" s="39">
        <f t="shared" si="3"/>
        <v>2.1926895235868784</v>
      </c>
      <c r="L43" s="39">
        <f t="shared" si="3"/>
        <v>1.479283357804082</v>
      </c>
      <c r="M43" s="39">
        <f t="shared" si="3"/>
        <v>3.3624105438203014</v>
      </c>
      <c r="N43" s="39">
        <f t="shared" si="3"/>
        <v>1.4071266232278763</v>
      </c>
      <c r="O43" s="39">
        <f t="shared" si="3"/>
        <v>0.63572174825711691</v>
      </c>
      <c r="P43" s="39">
        <f>P35-P39</f>
        <v>3.2997530845955652</v>
      </c>
      <c r="Q43" s="39">
        <f t="shared" si="3"/>
        <v>2.9485714027784962</v>
      </c>
      <c r="R43" s="39">
        <f t="shared" si="3"/>
        <v>4.1614508150652085</v>
      </c>
      <c r="S43" s="39">
        <f t="shared" si="3"/>
        <v>2.3516606449990984</v>
      </c>
      <c r="T43" s="39">
        <f t="shared" si="3"/>
        <v>2.0801158657580476</v>
      </c>
      <c r="U43" s="39">
        <f t="shared" si="3"/>
        <v>1.4639467218120075</v>
      </c>
      <c r="V43" s="39">
        <f t="shared" si="3"/>
        <v>2.596355290680691</v>
      </c>
      <c r="W43" s="39">
        <f t="shared" si="3"/>
        <v>3.1418666276355935</v>
      </c>
      <c r="X43" s="39">
        <f t="shared" si="3"/>
        <v>0.92503649234854279</v>
      </c>
      <c r="Y43" s="39">
        <f t="shared" si="3"/>
        <v>1.8664315904659041</v>
      </c>
      <c r="Z43" s="39">
        <f t="shared" si="3"/>
        <v>1.1487914747535157</v>
      </c>
      <c r="AA43" s="39">
        <f t="shared" si="3"/>
        <v>4.3829694964877461</v>
      </c>
      <c r="AB43" s="39">
        <f t="shared" si="3"/>
        <v>1.023557472467818</v>
      </c>
      <c r="AC43" s="39">
        <f t="shared" si="3"/>
        <v>1.6720356333598811</v>
      </c>
      <c r="AD43" s="39">
        <f t="shared" si="3"/>
        <v>0.66311399334460575</v>
      </c>
      <c r="AE43" s="39">
        <f t="shared" si="3"/>
        <v>1.2312632274902366</v>
      </c>
      <c r="AF43" s="34">
        <f t="shared" si="3"/>
        <v>2.8019515123176557</v>
      </c>
    </row>
    <row r="44" spans="1:32">
      <c r="A44" s="27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38"/>
    </row>
    <row r="45" spans="1:32">
      <c r="A45" s="27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38"/>
    </row>
    <row r="46" spans="1:32" ht="15.75">
      <c r="A46" s="27"/>
      <c r="B46" s="1"/>
      <c r="C46" s="1"/>
      <c r="D46" s="1"/>
      <c r="E46" s="1"/>
      <c r="F46" s="1"/>
      <c r="G46" s="1"/>
      <c r="H46" s="1"/>
      <c r="I46" s="40" t="s">
        <v>6</v>
      </c>
      <c r="J46" s="41"/>
      <c r="K46" s="41"/>
      <c r="L46" s="42" t="s">
        <v>8</v>
      </c>
      <c r="M46" s="43"/>
      <c r="N46" s="43"/>
      <c r="O46" s="42" t="s">
        <v>9</v>
      </c>
      <c r="P46" s="43"/>
      <c r="Q46" s="43"/>
      <c r="R46" s="42" t="s">
        <v>10</v>
      </c>
      <c r="S46" s="44"/>
      <c r="T46" s="41"/>
      <c r="U46" s="43" t="s">
        <v>6</v>
      </c>
      <c r="V46" s="43"/>
      <c r="W46" s="43" t="s">
        <v>6</v>
      </c>
      <c r="X46" s="43"/>
      <c r="Y46" s="43" t="s">
        <v>11</v>
      </c>
      <c r="Z46" s="43"/>
      <c r="AA46" s="1"/>
      <c r="AB46" s="1"/>
      <c r="AC46" s="1"/>
      <c r="AD46" s="1"/>
      <c r="AE46" s="1"/>
      <c r="AF46" s="38"/>
    </row>
    <row r="47" spans="1:32" ht="15.75">
      <c r="A47" s="27"/>
      <c r="B47" s="1"/>
      <c r="C47" s="1"/>
      <c r="D47" s="1"/>
      <c r="E47" s="1"/>
      <c r="F47" s="1"/>
      <c r="G47" s="1"/>
      <c r="H47" s="1"/>
      <c r="I47" s="45" t="s">
        <v>12</v>
      </c>
      <c r="J47" s="41"/>
      <c r="K47" s="41"/>
      <c r="L47" s="43" t="s">
        <v>12</v>
      </c>
      <c r="M47" s="43"/>
      <c r="N47" s="43"/>
      <c r="O47" s="43" t="s">
        <v>12</v>
      </c>
      <c r="P47" s="43"/>
      <c r="Q47" s="43"/>
      <c r="R47" s="43" t="s">
        <v>12</v>
      </c>
      <c r="S47" s="44"/>
      <c r="T47" s="41"/>
      <c r="U47" s="43" t="s">
        <v>13</v>
      </c>
      <c r="V47" s="43"/>
      <c r="W47" s="43" t="s">
        <v>14</v>
      </c>
      <c r="X47" s="43"/>
      <c r="Y47" s="43" t="s">
        <v>15</v>
      </c>
      <c r="Z47" s="43"/>
      <c r="AA47" s="1"/>
      <c r="AB47" s="1"/>
      <c r="AC47" s="1"/>
      <c r="AD47" s="1"/>
      <c r="AE47" s="1"/>
      <c r="AF47" s="38"/>
    </row>
    <row r="48" spans="1:32" ht="15">
      <c r="A48" s="27"/>
      <c r="B48" s="1"/>
      <c r="C48" s="1"/>
      <c r="D48" s="1"/>
      <c r="E48" s="1"/>
      <c r="F48" s="1"/>
      <c r="G48" s="1"/>
      <c r="H48" s="1"/>
      <c r="I48" s="29"/>
      <c r="J48" s="1"/>
      <c r="K48" s="1"/>
      <c r="L48" s="36"/>
      <c r="M48" s="36"/>
      <c r="N48" s="36"/>
      <c r="O48" s="36"/>
      <c r="P48" s="36"/>
      <c r="Q48" s="36"/>
      <c r="R48" s="36"/>
      <c r="S48" s="36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38"/>
    </row>
    <row r="49" spans="1:35" s="52" customFormat="1" ht="15.75" thickBot="1">
      <c r="A49" s="46"/>
      <c r="B49" s="47"/>
      <c r="C49" s="47"/>
      <c r="D49" s="47"/>
      <c r="E49" s="47"/>
      <c r="F49" s="47"/>
      <c r="G49" s="47"/>
      <c r="H49" s="47"/>
      <c r="I49" s="48">
        <f>AVERAGE(B31:AF31)</f>
        <v>16.204593797585957</v>
      </c>
      <c r="J49" s="47"/>
      <c r="K49" s="47"/>
      <c r="L49" s="48">
        <f>MAX(B35:AF35)</f>
        <v>21.026760939713942</v>
      </c>
      <c r="M49" s="49"/>
      <c r="N49" s="49"/>
      <c r="O49" s="48">
        <f>MIN(B39:AF39)</f>
        <v>8.1720541969311871</v>
      </c>
      <c r="P49" s="49"/>
      <c r="Q49" s="49"/>
      <c r="R49" s="48">
        <f>L49-O49</f>
        <v>12.854706742782755</v>
      </c>
      <c r="S49" s="49"/>
      <c r="T49" s="47"/>
      <c r="U49" s="48">
        <f>AVERAGE(B35:AF35)</f>
        <v>17.505932257061612</v>
      </c>
      <c r="V49" s="50"/>
      <c r="W49" s="48">
        <f>AVERAGE(B39:AF39)</f>
        <v>14.988513361102614</v>
      </c>
      <c r="X49" s="50"/>
      <c r="Y49" s="48">
        <f>U49-W49</f>
        <v>2.5174188959589987</v>
      </c>
      <c r="Z49" s="47"/>
      <c r="AA49" s="47"/>
      <c r="AB49" s="47"/>
      <c r="AC49" s="47"/>
      <c r="AD49" s="47"/>
      <c r="AE49" s="47"/>
      <c r="AF49" s="51"/>
    </row>
    <row r="50" spans="1:35" ht="13.5" thickTop="1">
      <c r="AI50" s="53"/>
    </row>
  </sheetData>
  <pageMargins left="0.78740157499999996" right="0.78740157499999996" top="0.984251969" bottom="0.984251969" header="0.49212598499999999" footer="0.49212598499999999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I50"/>
  <sheetViews>
    <sheetView zoomScale="75" zoomScaleNormal="75" workbookViewId="0">
      <selection activeCell="E23" sqref="E23"/>
    </sheetView>
  </sheetViews>
  <sheetFormatPr defaultRowHeight="12.75"/>
  <cols>
    <col min="33" max="33" width="9.140625" style="10"/>
    <col min="34" max="34" width="9.140625" style="55"/>
  </cols>
  <sheetData>
    <row r="1" spans="1:35" ht="18">
      <c r="A1" s="1"/>
      <c r="B1" s="2" t="s">
        <v>26</v>
      </c>
      <c r="C1" s="3"/>
      <c r="D1" s="4"/>
      <c r="E1" s="5"/>
      <c r="F1" s="1"/>
      <c r="G1" s="1"/>
      <c r="H1" s="1"/>
      <c r="I1" s="1"/>
      <c r="J1" s="6"/>
      <c r="K1" s="6"/>
      <c r="L1" s="7" t="s">
        <v>1</v>
      </c>
      <c r="M1" s="8" t="s">
        <v>2</v>
      </c>
      <c r="N1" s="9" t="s">
        <v>3</v>
      </c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5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5" ht="16.5" thickBot="1">
      <c r="A3" s="11" t="s">
        <v>4</v>
      </c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2">
        <v>8</v>
      </c>
      <c r="J3" s="12">
        <v>9</v>
      </c>
      <c r="K3" s="12">
        <v>10</v>
      </c>
      <c r="L3" s="12">
        <v>11</v>
      </c>
      <c r="M3" s="12">
        <v>12</v>
      </c>
      <c r="N3" s="12">
        <v>13</v>
      </c>
      <c r="O3" s="12">
        <v>14</v>
      </c>
      <c r="P3" s="12">
        <v>15</v>
      </c>
      <c r="Q3" s="12">
        <v>16</v>
      </c>
      <c r="R3" s="12">
        <v>17</v>
      </c>
      <c r="S3" s="12">
        <v>18</v>
      </c>
      <c r="T3" s="12">
        <v>19</v>
      </c>
      <c r="U3" s="12">
        <v>20</v>
      </c>
      <c r="V3" s="12">
        <v>21</v>
      </c>
      <c r="W3" s="12">
        <v>22</v>
      </c>
      <c r="X3" s="12">
        <v>23</v>
      </c>
      <c r="Y3" s="12">
        <v>24</v>
      </c>
      <c r="Z3" s="13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5"/>
    </row>
    <row r="4" spans="1:35" ht="15.75">
      <c r="A4" s="16">
        <v>1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8"/>
      <c r="AG4" s="19"/>
      <c r="AI4" s="21"/>
    </row>
    <row r="5" spans="1:35" ht="15.75">
      <c r="A5" s="16">
        <v>2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8"/>
      <c r="AG5" s="19"/>
      <c r="AI5" s="21"/>
    </row>
    <row r="6" spans="1:35" ht="15.75">
      <c r="A6" s="16">
        <v>3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8"/>
      <c r="AG6" s="19"/>
      <c r="AI6" s="21"/>
    </row>
    <row r="7" spans="1:35" ht="15.75">
      <c r="A7" s="16">
        <v>4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8"/>
      <c r="AG7" s="19"/>
      <c r="AI7" s="21"/>
    </row>
    <row r="8" spans="1:35" ht="15.75">
      <c r="A8" s="16">
        <v>5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8"/>
      <c r="AG8" s="19"/>
      <c r="AI8" s="21"/>
    </row>
    <row r="9" spans="1:35" ht="15.75">
      <c r="A9" s="16">
        <v>6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8"/>
      <c r="AG9" s="19"/>
      <c r="AI9" s="21"/>
    </row>
    <row r="10" spans="1:35" ht="15.75">
      <c r="A10" s="16">
        <v>7</v>
      </c>
      <c r="B10" s="22">
        <f>'[11]Dia 1 (b)'!$V16</f>
        <v>14.606584504179317</v>
      </c>
      <c r="C10" s="22">
        <f>'[11]Dia 2 (b)'!$V16</f>
        <v>17.563387879223633</v>
      </c>
      <c r="D10" s="22">
        <f>'[11]Dia 3 (b)'!$V16</f>
        <v>19.211615194307122</v>
      </c>
      <c r="E10" s="22">
        <f>'[11]Dia 4 (b)'!$V16</f>
        <v>18.865268055292717</v>
      </c>
      <c r="F10" s="22">
        <f>'[11]Dia 5 (b)'!$V16</f>
        <v>19.116506936493476</v>
      </c>
      <c r="G10" s="22">
        <f>'[11]Dia 6 (b)'!$V16</f>
        <v>20.184703625912118</v>
      </c>
      <c r="H10" s="22">
        <f>'[11]Dia 7 (b)'!$V16</f>
        <v>20.73788135774392</v>
      </c>
      <c r="I10" s="22">
        <f>'[11]Dia 8 (b)'!$V16</f>
        <v>19.585639704608184</v>
      </c>
      <c r="J10" s="22">
        <f>'[11]Dia 9 (b)'!$V16</f>
        <v>15.771374228860706</v>
      </c>
      <c r="K10" s="22">
        <f>'[11]Dia 10 (b)'!$V16</f>
        <v>14.496179513884799</v>
      </c>
      <c r="L10" s="22">
        <f>'[11]Dia 11 (b)'!$V16</f>
        <v>14.570851498039755</v>
      </c>
      <c r="M10" s="22">
        <f>'[11]Dia 12 (b)'!$V16</f>
        <v>16.201019015699337</v>
      </c>
      <c r="N10" s="22">
        <f>'[11]Dia 13 (b)'!$V16</f>
        <v>15.181142775031823</v>
      </c>
      <c r="O10" s="22">
        <f>'[11]Dia 14 (b)'!$V16</f>
        <v>14.097042138483346</v>
      </c>
      <c r="P10" s="22">
        <f>'[11]Dia 15 (b)'!$V16</f>
        <v>15.921553266977968</v>
      </c>
      <c r="Q10" s="22">
        <f>'[11]Dia 16 (b)'!$V16</f>
        <v>18.618030695390512</v>
      </c>
      <c r="R10" s="22">
        <f>'[11]Dia 17 (b)'!$V16</f>
        <v>17.010344350301988</v>
      </c>
      <c r="S10" s="22">
        <f>'[11]Dia 18 (b)'!$V16</f>
        <v>17.645472494126746</v>
      </c>
      <c r="T10" s="22">
        <f>'[11]Dia 19 (b)'!$V16</f>
        <v>16.597224130048257</v>
      </c>
      <c r="U10" s="22">
        <f>'[11]Dia 20 (b)'!$V16</f>
        <v>16.713218571095108</v>
      </c>
      <c r="V10" s="22">
        <f>'[11]Dia 21 (b)'!$V16</f>
        <v>18.378171862414796</v>
      </c>
      <c r="W10" s="22">
        <f>'[11]Dia 22 (b)'!$V16</f>
        <v>17.568867994031674</v>
      </c>
      <c r="X10" s="22">
        <f>'[11]Dia 23 (b)'!$V16</f>
        <v>17.36446536440258</v>
      </c>
      <c r="Y10" s="22">
        <f>'[11]Dia 24 (b)'!$V16</f>
        <v>14.844824923050377</v>
      </c>
      <c r="Z10" s="22">
        <f>'[11]Dia 25 (b)'!$V16</f>
        <v>13.386138862486954</v>
      </c>
      <c r="AA10" s="22">
        <f>'[11]Dia 26 (b)'!$V16</f>
        <v>16.782792656531388</v>
      </c>
      <c r="AB10" s="22">
        <f>'[11]Dia 27 (b)'!$V16</f>
        <v>17.352058689161488</v>
      </c>
      <c r="AC10" s="22">
        <f>'[11]Dia 28 (b)'!$V16</f>
        <v>16.038483000289229</v>
      </c>
      <c r="AD10" s="22">
        <f>'[11]Dia 29 (b)'!$V16</f>
        <v>19.931930264137222</v>
      </c>
      <c r="AE10" s="22">
        <f>'[11]Dia 30 (b)'!$V16</f>
        <v>19.6634513844803</v>
      </c>
      <c r="AF10" s="23"/>
      <c r="AG10" s="19"/>
      <c r="AI10" s="21"/>
    </row>
    <row r="11" spans="1:35" ht="15.75">
      <c r="A11" s="16">
        <v>8</v>
      </c>
      <c r="B11" s="22">
        <f>'[11]Dia 1 (b)'!$V17</f>
        <v>14.821944374705797</v>
      </c>
      <c r="C11" s="22">
        <f>'[11]Dia 2 (b)'!$V17</f>
        <v>17.443469952750988</v>
      </c>
      <c r="D11" s="22">
        <f>'[11]Dia 3 (b)'!$V17</f>
        <v>19.469346185506822</v>
      </c>
      <c r="E11" s="22">
        <f>'[11]Dia 4 (b)'!$V17</f>
        <v>19.167352732766116</v>
      </c>
      <c r="F11" s="22">
        <f>'[11]Dia 5 (b)'!$V17</f>
        <v>18.725110320820573</v>
      </c>
      <c r="G11" s="22">
        <f>'[11]Dia 6 (b)'!$V17</f>
        <v>19.84077576495087</v>
      </c>
      <c r="H11" s="22">
        <f>'[11]Dia 7 (b)'!$V17</f>
        <v>20.818382348219167</v>
      </c>
      <c r="I11" s="22">
        <f>'[11]Dia 8 (b)'!$V17</f>
        <v>20.091229333169409</v>
      </c>
      <c r="J11" s="22">
        <f>'[11]Dia 9 (b)'!$V17</f>
        <v>16.801353451481287</v>
      </c>
      <c r="K11" s="22">
        <f>'[11]Dia 10 (b)'!$V17</f>
        <v>13.938462947055758</v>
      </c>
      <c r="L11" s="22">
        <f>'[11]Dia 11 (b)'!$V17</f>
        <v>15.44445122239066</v>
      </c>
      <c r="M11" s="22">
        <f>'[11]Dia 12 (b)'!$V17</f>
        <v>14.23283149995221</v>
      </c>
      <c r="N11" s="22">
        <f>'[11]Dia 13 (b)'!$V17</f>
        <v>14.241708992796383</v>
      </c>
      <c r="O11" s="22">
        <f>'[11]Dia 14 (b)'!$V17</f>
        <v>14.294568443129856</v>
      </c>
      <c r="P11" s="22">
        <f>'[11]Dia 15 (b)'!$V17</f>
        <v>16.182113516590881</v>
      </c>
      <c r="Q11" s="22">
        <f>'[11]Dia 16 (b)'!$V17</f>
        <v>18.341371112980028</v>
      </c>
      <c r="R11" s="22">
        <f>'[11]Dia 17 (b)'!$V17</f>
        <v>16.613857015390501</v>
      </c>
      <c r="S11" s="22">
        <f>'[11]Dia 18 (b)'!$V17</f>
        <v>17.341125566864019</v>
      </c>
      <c r="T11" s="22">
        <f>'[11]Dia 19 (b)'!$V17</f>
        <v>16.601685777281304</v>
      </c>
      <c r="U11" s="22">
        <f>'[11]Dia 20 (b)'!$V17</f>
        <v>17.399560256169991</v>
      </c>
      <c r="V11" s="22">
        <f>'[11]Dia 21 (b)'!$V17</f>
        <v>18.659499008377129</v>
      </c>
      <c r="W11" s="22">
        <f>'[11]Dia 22 (b)'!$V17</f>
        <v>17.719254235846396</v>
      </c>
      <c r="X11" s="22">
        <f>'[11]Dia 23 (b)'!$V17</f>
        <v>17.466598924065501</v>
      </c>
      <c r="Y11" s="22">
        <f>'[11]Dia 24 (b)'!$V17</f>
        <v>14.859384108096704</v>
      </c>
      <c r="Z11" s="22">
        <f>'[11]Dia 25 (b)'!$V17</f>
        <v>13.614000690188496</v>
      </c>
      <c r="AA11" s="22">
        <f>'[11]Dia 26 (b)'!$V17</f>
        <v>15.298908143458501</v>
      </c>
      <c r="AB11" s="22">
        <f>'[11]Dia 27 (b)'!$V17</f>
        <v>15.779683079609523</v>
      </c>
      <c r="AC11" s="22">
        <f>'[11]Dia 28 (b)'!$V17</f>
        <v>14.842133055856472</v>
      </c>
      <c r="AD11" s="22">
        <f>'[11]Dia 29 (b)'!$V17</f>
        <v>19.626439109390056</v>
      </c>
      <c r="AE11" s="22">
        <f>'[11]Dia 30 (b)'!$V17</f>
        <v>20.177774747890968</v>
      </c>
      <c r="AF11" s="23"/>
      <c r="AG11" s="19"/>
      <c r="AI11" s="21"/>
    </row>
    <row r="12" spans="1:35" ht="15.75">
      <c r="A12" s="16">
        <v>9</v>
      </c>
      <c r="B12" s="22">
        <f>'[11]Dia 1 (b)'!$V18</f>
        <v>14.781350606157714</v>
      </c>
      <c r="C12" s="22">
        <f>'[11]Dia 2 (b)'!$V18</f>
        <v>16.242769482475108</v>
      </c>
      <c r="D12" s="22">
        <f>'[11]Dia 3 (b)'!$V18</f>
        <v>19.700176709548426</v>
      </c>
      <c r="E12" s="22">
        <f>'[11]Dia 4 (b)'!$V18</f>
        <v>19.482993000311406</v>
      </c>
      <c r="F12" s="22">
        <f>'[11]Dia 5 (b)'!$V18</f>
        <v>18.341230381888721</v>
      </c>
      <c r="G12" s="22">
        <f>'[11]Dia 6 (b)'!$V18</f>
        <v>19.923038068883137</v>
      </c>
      <c r="H12" s="22">
        <f>'[11]Dia 7 (b)'!$V18</f>
        <v>19.82845267039275</v>
      </c>
      <c r="I12" s="22">
        <f>'[11]Dia 8 (b)'!$V18</f>
        <v>20.394433997371216</v>
      </c>
      <c r="J12" s="22">
        <f>'[11]Dia 9 (b)'!$V18</f>
        <v>16.032935111708795</v>
      </c>
      <c r="K12" s="22">
        <f>'[11]Dia 10 (b)'!$V18</f>
        <v>13.525414837428942</v>
      </c>
      <c r="L12" s="22">
        <f>'[11]Dia 11 (b)'!$V18</f>
        <v>15.196825452805358</v>
      </c>
      <c r="M12" s="22">
        <f>'[11]Dia 12 (b)'!$V18</f>
        <v>12.935728973329629</v>
      </c>
      <c r="N12" s="22">
        <f>'[11]Dia 13 (b)'!$V18</f>
        <v>13.858975811335725</v>
      </c>
      <c r="O12" s="22">
        <f>'[11]Dia 14 (b)'!$V18</f>
        <v>14.592385740869489</v>
      </c>
      <c r="P12" s="22">
        <f>'[11]Dia 15 (b)'!$V18</f>
        <v>16.668869585972359</v>
      </c>
      <c r="Q12" s="22">
        <f>'[11]Dia 16 (b)'!$V18</f>
        <v>18.247840661035408</v>
      </c>
      <c r="R12" s="22">
        <f>'[11]Dia 17 (b)'!$V18</f>
        <v>16.599762674442477</v>
      </c>
      <c r="S12" s="22">
        <f>'[11]Dia 18 (b)'!$V18</f>
        <v>18.04859566523567</v>
      </c>
      <c r="T12" s="22">
        <f>'[11]Dia 19 (b)'!$V18</f>
        <v>16.712743843971879</v>
      </c>
      <c r="U12" s="22">
        <f>'[11]Dia 20 (b)'!$V18</f>
        <v>17.953051881669026</v>
      </c>
      <c r="V12" s="22">
        <f>'[11]Dia 21 (b)'!$V18</f>
        <v>18.394964174897709</v>
      </c>
      <c r="W12" s="22">
        <f>'[11]Dia 22 (b)'!$V18</f>
        <v>17.57405257677982</v>
      </c>
      <c r="X12" s="22">
        <f>'[11]Dia 23 (b)'!$V18</f>
        <v>17.226166293796119</v>
      </c>
      <c r="Y12" s="22">
        <f>'[11]Dia 24 (b)'!$V18</f>
        <v>13.760193325365835</v>
      </c>
      <c r="Z12" s="22">
        <f>'[11]Dia 25 (b)'!$V18</f>
        <v>13.11157232999887</v>
      </c>
      <c r="AA12" s="22">
        <f>'[11]Dia 26 (b)'!$V18</f>
        <v>15.312526517235005</v>
      </c>
      <c r="AB12" s="22">
        <f>'[11]Dia 27 (b)'!$V18</f>
        <v>14.12304867944601</v>
      </c>
      <c r="AC12" s="22">
        <f>'[11]Dia 28 (b)'!$V18</f>
        <v>16.606934080216249</v>
      </c>
      <c r="AD12" s="22">
        <f>'[11]Dia 29 (b)'!$V18</f>
        <v>18.297372291752865</v>
      </c>
      <c r="AE12" s="22">
        <f>'[11]Dia 30 (b)'!$V18</f>
        <v>20.81026705896841</v>
      </c>
      <c r="AF12" s="23"/>
      <c r="AG12" s="19"/>
      <c r="AI12" s="21"/>
    </row>
    <row r="13" spans="1:35" ht="15.75">
      <c r="A13" s="16">
        <v>10</v>
      </c>
      <c r="B13" s="22">
        <f>'[11]Dia 1 (b)'!$V19</f>
        <v>14.495629803627352</v>
      </c>
      <c r="C13" s="22">
        <f>'[11]Dia 2 (b)'!$V19</f>
        <v>16.357449743463533</v>
      </c>
      <c r="D13" s="22">
        <f>'[11]Dia 3 (b)'!$V19</f>
        <v>19.380171163280213</v>
      </c>
      <c r="E13" s="22">
        <f>'[11]Dia 4 (b)'!$V19</f>
        <v>19.979626214967446</v>
      </c>
      <c r="F13" s="22">
        <f>'[11]Dia 5 (b)'!$V19</f>
        <v>19.00632573364388</v>
      </c>
      <c r="G13" s="22">
        <f>'[11]Dia 6 (b)'!$V19</f>
        <v>20.323648521532419</v>
      </c>
      <c r="H13" s="22">
        <f>'[11]Dia 7 (b)'!$V19</f>
        <v>19.956324143233864</v>
      </c>
      <c r="I13" s="22">
        <f>'[11]Dia 8 (b)'!$V19</f>
        <v>20.432239175766874</v>
      </c>
      <c r="J13" s="22">
        <f>'[11]Dia 9 (b)'!$V19</f>
        <v>15.708779427608047</v>
      </c>
      <c r="K13" s="22">
        <f>'[11]Dia 10 (b)'!$V19</f>
        <v>13.850000406551967</v>
      </c>
      <c r="L13" s="22">
        <f>'[11]Dia 11 (b)'!$V19</f>
        <v>16.242804635357235</v>
      </c>
      <c r="M13" s="22">
        <f>'[11]Dia 12 (b)'!$V19</f>
        <v>13.188118319491956</v>
      </c>
      <c r="N13" s="22">
        <f>'[11]Dia 13 (b)'!$V19</f>
        <v>14.052465577583167</v>
      </c>
      <c r="O13" s="22">
        <f>'[11]Dia 14 (b)'!$V19</f>
        <v>14.900492099274217</v>
      </c>
      <c r="P13" s="22">
        <f>'[11]Dia 15 (b)'!$V19</f>
        <v>16.313719369452258</v>
      </c>
      <c r="Q13" s="22">
        <f>'[11]Dia 16 (b)'!$V19</f>
        <v>18.750883112489984</v>
      </c>
      <c r="R13" s="22">
        <f>'[11]Dia 17 (b)'!$V19</f>
        <v>16.089187496188181</v>
      </c>
      <c r="S13" s="22">
        <f>'[11]Dia 18 (b)'!$V19</f>
        <v>17.179653919847578</v>
      </c>
      <c r="T13" s="22">
        <f>'[11]Dia 19 (b)'!$V19</f>
        <v>15.720357892070354</v>
      </c>
      <c r="U13" s="22">
        <f>'[11]Dia 20 (b)'!$V19</f>
        <v>18.596730021390748</v>
      </c>
      <c r="V13" s="22">
        <f>'[11]Dia 21 (b)'!$V19</f>
        <v>18.819782374175336</v>
      </c>
      <c r="W13" s="22">
        <f>'[11]Dia 22 (b)'!$V19</f>
        <v>18.002412432063029</v>
      </c>
      <c r="X13" s="22">
        <f>'[11]Dia 23 (b)'!$V19</f>
        <v>17.399883088608686</v>
      </c>
      <c r="Y13" s="22">
        <f>'[11]Dia 24 (b)'!$V19</f>
        <v>14.007325787897004</v>
      </c>
      <c r="Z13" s="22">
        <f>'[11]Dia 25 (b)'!$V19</f>
        <v>13.158580522661945</v>
      </c>
      <c r="AA13" s="22">
        <f>'[11]Dia 26 (b)'!$V19</f>
        <v>14.272292069631206</v>
      </c>
      <c r="AB13" s="22">
        <f>'[11]Dia 27 (b)'!$V19</f>
        <v>14.628654115508276</v>
      </c>
      <c r="AC13" s="22">
        <f>'[11]Dia 28 (b)'!$V19</f>
        <v>16.905817430781024</v>
      </c>
      <c r="AD13" s="22">
        <f>'[11]Dia 29 (b)'!$V19</f>
        <v>19.256323547730993</v>
      </c>
      <c r="AE13" s="22">
        <f>'[11]Dia 30 (b)'!$V19</f>
        <v>20.424298625254981</v>
      </c>
      <c r="AF13" s="23"/>
      <c r="AG13" s="19"/>
      <c r="AI13" s="21"/>
    </row>
    <row r="14" spans="1:35" ht="15.75">
      <c r="A14" s="16">
        <v>11</v>
      </c>
      <c r="B14" s="22">
        <f>'[11]Dia 1 (b)'!$V20</f>
        <v>14.056686181935325</v>
      </c>
      <c r="C14" s="22">
        <f>'[11]Dia 2 (b)'!$V20</f>
        <v>17.012996778712331</v>
      </c>
      <c r="D14" s="22">
        <f>'[11]Dia 3 (b)'!$V20</f>
        <v>20.286278213721687</v>
      </c>
      <c r="E14" s="22">
        <f>'[11]Dia 4 (b)'!$V20</f>
        <v>20.184134324084887</v>
      </c>
      <c r="F14" s="22">
        <f>'[11]Dia 5 (b)'!$V20</f>
        <v>18.275420761927666</v>
      </c>
      <c r="G14" s="22">
        <f>'[11]Dia 6 (b)'!$V20</f>
        <v>20.351155239221725</v>
      </c>
      <c r="H14" s="22">
        <f>'[11]Dia 7 (b)'!$V20</f>
        <v>20.287975056026482</v>
      </c>
      <c r="I14" s="22">
        <f>'[11]Dia 8 (b)'!$V20</f>
        <v>20.066383088254312</v>
      </c>
      <c r="J14" s="22">
        <f>'[11]Dia 9 (b)'!$V20</f>
        <v>15.826882116202389</v>
      </c>
      <c r="K14" s="22">
        <f>'[11]Dia 10 (b)'!$V20</f>
        <v>13.96618606700998</v>
      </c>
      <c r="L14" s="22">
        <f>'[11]Dia 11 (b)'!$V20</f>
        <v>14.921856183694182</v>
      </c>
      <c r="M14" s="22">
        <f>'[11]Dia 12 (b)'!$V20</f>
        <v>14.672443544440629</v>
      </c>
      <c r="N14" s="22">
        <f>'[11]Dia 13 (b)'!$V20</f>
        <v>14.074301439729929</v>
      </c>
      <c r="O14" s="22">
        <f>'[11]Dia 14 (b)'!$V20</f>
        <v>15.27489749299713</v>
      </c>
      <c r="P14" s="22">
        <f>'[11]Dia 15 (b)'!$V20</f>
        <v>17.030310346034124</v>
      </c>
      <c r="Q14" s="22">
        <f>'[11]Dia 16 (b)'!$V20</f>
        <v>19.601832362003488</v>
      </c>
      <c r="R14" s="22">
        <f>'[11]Dia 17 (b)'!$V20</f>
        <v>16.298105096193666</v>
      </c>
      <c r="S14" s="22">
        <f>'[11]Dia 18 (b)'!$V20</f>
        <v>16.584695530509848</v>
      </c>
      <c r="T14" s="22">
        <f>'[11]Dia 19 (b)'!$V20</f>
        <v>15.482535317639718</v>
      </c>
      <c r="U14" s="22">
        <f>'[11]Dia 20 (b)'!$V20</f>
        <v>17.778284167822136</v>
      </c>
      <c r="V14" s="22">
        <f>'[11]Dia 21 (b)'!$V20</f>
        <v>19.000113096383359</v>
      </c>
      <c r="W14" s="22">
        <f>'[11]Dia 22 (b)'!$V20</f>
        <v>17.48278627674101</v>
      </c>
      <c r="X14" s="22">
        <f>'[11]Dia 23 (b)'!$V20</f>
        <v>17.146155368331744</v>
      </c>
      <c r="Y14" s="22">
        <f>'[11]Dia 24 (b)'!$V20</f>
        <v>14.991157832470151</v>
      </c>
      <c r="Z14" s="22">
        <f>'[11]Dia 25 (b)'!$V20</f>
        <v>13.612652293365937</v>
      </c>
      <c r="AA14" s="22">
        <f>'[11]Dia 26 (b)'!$V20</f>
        <v>14.836459300030098</v>
      </c>
      <c r="AB14" s="22">
        <f>'[11]Dia 27 (b)'!$V20</f>
        <v>15.336672619005356</v>
      </c>
      <c r="AC14" s="22">
        <f>'[11]Dia 28 (b)'!$V20</f>
        <v>16.755486198761293</v>
      </c>
      <c r="AD14" s="22">
        <f>'[11]Dia 29 (b)'!$V20</f>
        <v>20.118961005624907</v>
      </c>
      <c r="AE14" s="22">
        <f>'[11]Dia 30 (b)'!$V20</f>
        <v>20.211026626509206</v>
      </c>
      <c r="AF14" s="23"/>
      <c r="AG14" s="19"/>
      <c r="AI14" s="21"/>
    </row>
    <row r="15" spans="1:35" ht="15.75">
      <c r="A15" s="16">
        <v>12</v>
      </c>
      <c r="B15" s="22">
        <f>'[11]Dia 1 (b)'!$V21</f>
        <v>15.015817194138299</v>
      </c>
      <c r="C15" s="22">
        <f>'[11]Dia 2 (b)'!$V21</f>
        <v>16.26603941189024</v>
      </c>
      <c r="D15" s="22">
        <f>'[11]Dia 3 (b)'!$V21</f>
        <v>20.050224907498798</v>
      </c>
      <c r="E15" s="22">
        <f>'[11]Dia 4 (b)'!$V21</f>
        <v>19.40111334298086</v>
      </c>
      <c r="F15" s="22">
        <f>'[11]Dia 5 (b)'!$V21</f>
        <v>18.276627658975951</v>
      </c>
      <c r="G15" s="22">
        <f>'[11]Dia 6 (b)'!$V21</f>
        <v>18.829195472466548</v>
      </c>
      <c r="H15" s="22">
        <f>'[11]Dia 7 (b)'!$V21</f>
        <v>20.348893213311015</v>
      </c>
      <c r="I15" s="22">
        <f>'[11]Dia 8 (b)'!$V21</f>
        <v>20.371741905604335</v>
      </c>
      <c r="J15" s="22">
        <f>'[11]Dia 9 (b)'!$V21</f>
        <v>16.473896631621603</v>
      </c>
      <c r="K15" s="22">
        <f>'[11]Dia 10 (b)'!$V21</f>
        <v>15.563098912516335</v>
      </c>
      <c r="L15" s="22">
        <f>'[11]Dia 11 (b)'!$V21</f>
        <v>13.797592559490925</v>
      </c>
      <c r="M15" s="22">
        <f>'[11]Dia 12 (b)'!$V21</f>
        <v>13.416799239968153</v>
      </c>
      <c r="N15" s="22">
        <f>'[11]Dia 13 (b)'!$V21</f>
        <v>14.03982448234858</v>
      </c>
      <c r="O15" s="22">
        <f>'[11]Dia 14 (b)'!$V21</f>
        <v>15.383071639514657</v>
      </c>
      <c r="P15" s="22">
        <f>'[11]Dia 15 (b)'!$V21</f>
        <v>16.647500306526158</v>
      </c>
      <c r="Q15" s="22">
        <f>'[11]Dia 16 (b)'!$V21</f>
        <v>18.906159126639725</v>
      </c>
      <c r="R15" s="22">
        <f>'[11]Dia 17 (b)'!$V21</f>
        <v>16.248446078300677</v>
      </c>
      <c r="S15" s="22">
        <f>'[11]Dia 18 (b)'!$V21</f>
        <v>15.561042556294643</v>
      </c>
      <c r="T15" s="22">
        <f>'[11]Dia 19 (b)'!$V21</f>
        <v>16.147617006202587</v>
      </c>
      <c r="U15" s="22">
        <f>'[11]Dia 20 (b)'!$V21</f>
        <v>17.515906881268794</v>
      </c>
      <c r="V15" s="22">
        <f>'[11]Dia 21 (b)'!$V21</f>
        <v>19.262248078542932</v>
      </c>
      <c r="W15" s="22">
        <f>'[11]Dia 22 (b)'!$V21</f>
        <v>17.707119069061257</v>
      </c>
      <c r="X15" s="22">
        <f>'[11]Dia 23 (b)'!$V21</f>
        <v>16.407597654688459</v>
      </c>
      <c r="Y15" s="22">
        <f>'[11]Dia 24 (b)'!$V21</f>
        <v>14.875610744265055</v>
      </c>
      <c r="Z15" s="22">
        <f>'[11]Dia 25 (b)'!$V21</f>
        <v>12.731225385188822</v>
      </c>
      <c r="AA15" s="22">
        <f>'[11]Dia 26 (b)'!$V21</f>
        <v>13.807721152064504</v>
      </c>
      <c r="AB15" s="22">
        <f>'[11]Dia 27 (b)'!$V21</f>
        <v>14.154543297288182</v>
      </c>
      <c r="AC15" s="22">
        <f>'[11]Dia 28 (b)'!$V21</f>
        <v>16.114026279557262</v>
      </c>
      <c r="AD15" s="22">
        <f>'[11]Dia 29 (b)'!$V21</f>
        <v>20.409107864218004</v>
      </c>
      <c r="AE15" s="22">
        <f>'[11]Dia 30 (b)'!$V21</f>
        <v>20.028013513305641</v>
      </c>
      <c r="AF15" s="23"/>
      <c r="AG15" s="19"/>
      <c r="AI15" s="21"/>
    </row>
    <row r="16" spans="1:35" ht="15.75">
      <c r="A16" s="16">
        <v>13</v>
      </c>
      <c r="B16" s="22">
        <f>'[11]Dia 1 (b)'!$V22</f>
        <v>15.326658671847074</v>
      </c>
      <c r="C16" s="22">
        <f>'[11]Dia 2 (b)'!$V22</f>
        <v>17.31497539313424</v>
      </c>
      <c r="D16" s="22">
        <f>'[11]Dia 3 (b)'!$V22</f>
        <v>17.773016361539227</v>
      </c>
      <c r="E16" s="22">
        <f>'[11]Dia 4 (b)'!$V22</f>
        <v>19.393365645647091</v>
      </c>
      <c r="F16" s="22">
        <f>'[11]Dia 5 (b)'!$V22</f>
        <v>18.506544905823525</v>
      </c>
      <c r="G16" s="22">
        <f>'[11]Dia 6 (b)'!$V22</f>
        <v>19.193501146479836</v>
      </c>
      <c r="H16" s="22">
        <f>'[11]Dia 7 (b)'!$V22</f>
        <v>19.933473881185467</v>
      </c>
      <c r="I16" s="22">
        <f>'[11]Dia 8 (b)'!$V22</f>
        <v>20.330416679679168</v>
      </c>
      <c r="J16" s="22">
        <f>'[11]Dia 9 (b)'!$V22</f>
        <v>16.348279456789808</v>
      </c>
      <c r="K16" s="22">
        <f>'[11]Dia 10 (b)'!$V22</f>
        <v>14.886018621707063</v>
      </c>
      <c r="L16" s="22">
        <f>'[11]Dia 11 (b)'!$V22</f>
        <v>11.682089489718276</v>
      </c>
      <c r="M16" s="22">
        <f>'[11]Dia 12 (b)'!$V22</f>
        <v>18.942708160104335</v>
      </c>
      <c r="N16" s="22">
        <f>'[11]Dia 13 (b)'!$V22</f>
        <v>14.334366029225757</v>
      </c>
      <c r="O16" s="22">
        <f>'[11]Dia 14 (b)'!$V22</f>
        <v>15.548701041913137</v>
      </c>
      <c r="P16" s="22">
        <f>'[11]Dia 15 (b)'!$V22</f>
        <v>18.52025093280087</v>
      </c>
      <c r="Q16" s="22">
        <f>'[11]Dia 16 (b)'!$V22</f>
        <v>19.450011433651007</v>
      </c>
      <c r="R16" s="22">
        <f>'[11]Dia 17 (b)'!$V22</f>
        <v>15.342040406198979</v>
      </c>
      <c r="S16" s="22">
        <f>'[11]Dia 18 (b)'!$V22</f>
        <v>14.431991991744777</v>
      </c>
      <c r="T16" s="22">
        <f>'[11]Dia 19 (b)'!$V22</f>
        <v>17.099722165420545</v>
      </c>
      <c r="U16" s="22">
        <f>'[11]Dia 20 (b)'!$V22</f>
        <v>17.821260931513237</v>
      </c>
      <c r="V16" s="22">
        <f>'[11]Dia 21 (b)'!$V22</f>
        <v>18.647864966640643</v>
      </c>
      <c r="W16" s="22">
        <f>'[11]Dia 22 (b)'!$V22</f>
        <v>16.86665232486077</v>
      </c>
      <c r="X16" s="22">
        <f>'[11]Dia 23 (b)'!$V22</f>
        <v>16.8896086243384</v>
      </c>
      <c r="Y16" s="22">
        <f>'[11]Dia 24 (b)'!$V22</f>
        <v>14.420846911595412</v>
      </c>
      <c r="Z16" s="22">
        <f>'[11]Dia 25 (b)'!$V22</f>
        <v>14.945863480347036</v>
      </c>
      <c r="AA16" s="22">
        <f>'[11]Dia 26 (b)'!$V22</f>
        <v>13.796528678758333</v>
      </c>
      <c r="AB16" s="22">
        <f>'[11]Dia 27 (b)'!$V22</f>
        <v>13.824804863853519</v>
      </c>
      <c r="AC16" s="22">
        <f>'[11]Dia 28 (b)'!$V22</f>
        <v>15.702814567537747</v>
      </c>
      <c r="AD16" s="22">
        <f>'[11]Dia 29 (b)'!$V22</f>
        <v>19.142530633120479</v>
      </c>
      <c r="AE16" s="22">
        <f>'[11]Dia 30 (b)'!$V22</f>
        <v>21.009260979660496</v>
      </c>
      <c r="AF16" s="23"/>
      <c r="AG16" s="19"/>
      <c r="AI16" s="21"/>
    </row>
    <row r="17" spans="1:35" ht="15.75">
      <c r="A17" s="16">
        <v>14</v>
      </c>
      <c r="B17" s="22">
        <f>'[11]Dia 1 (b)'!$V23</f>
        <v>18.067975629107082</v>
      </c>
      <c r="C17" s="22">
        <f>'[11]Dia 2 (b)'!$V23</f>
        <v>-99</v>
      </c>
      <c r="D17" s="22">
        <f>'[11]Dia 3 (b)'!$V23</f>
        <v>18.763939070791082</v>
      </c>
      <c r="E17" s="22">
        <f>'[11]Dia 4 (b)'!$V23</f>
        <v>19.261832709310411</v>
      </c>
      <c r="F17" s="22">
        <f>'[11]Dia 5 (b)'!$V23</f>
        <v>16.989922976453119</v>
      </c>
      <c r="G17" s="22">
        <f>'[11]Dia 6 (b)'!$V23</f>
        <v>20.53498173411398</v>
      </c>
      <c r="H17" s="22">
        <f>'[11]Dia 7 (b)'!$V23</f>
        <v>20.451823370148855</v>
      </c>
      <c r="I17" s="22">
        <f>'[11]Dia 8 (b)'!$V23</f>
        <v>18.81167913163187</v>
      </c>
      <c r="J17" s="22">
        <f>'[11]Dia 9 (b)'!$V23</f>
        <v>16.143802583827064</v>
      </c>
      <c r="K17" s="22">
        <f>'[11]Dia 10 (b)'!$V23</f>
        <v>14.774803452675945</v>
      </c>
      <c r="L17" s="22">
        <f>'[11]Dia 11 (b)'!$V23</f>
        <v>9.6571180636867382</v>
      </c>
      <c r="M17" s="22">
        <f>'[11]Dia 12 (b)'!$V23</f>
        <v>18.687458367524279</v>
      </c>
      <c r="N17" s="22">
        <f>'[11]Dia 13 (b)'!$V23</f>
        <v>14.122387329243582</v>
      </c>
      <c r="O17" s="22">
        <f>'[11]Dia 14 (b)'!$V23</f>
        <v>15.459099427418447</v>
      </c>
      <c r="P17" s="22">
        <f>'[11]Dia 15 (b)'!$V23</f>
        <v>18.389037534993324</v>
      </c>
      <c r="Q17" s="22">
        <f>'[11]Dia 16 (b)'!$V23</f>
        <v>18.840256102678985</v>
      </c>
      <c r="R17" s="22">
        <f>'[11]Dia 17 (b)'!$V23</f>
        <v>15.509199829801746</v>
      </c>
      <c r="S17" s="22">
        <f>'[11]Dia 18 (b)'!$V23</f>
        <v>17.978033997861782</v>
      </c>
      <c r="T17" s="22">
        <f>'[11]Dia 19 (b)'!$V23</f>
        <v>17.386451221769796</v>
      </c>
      <c r="U17" s="22">
        <f>'[11]Dia 20 (b)'!$V23</f>
        <v>20.45927790348944</v>
      </c>
      <c r="V17" s="22">
        <f>'[11]Dia 21 (b)'!$V23</f>
        <v>19.203619295729677</v>
      </c>
      <c r="W17" s="22">
        <f>'[11]Dia 22 (b)'!$V23</f>
        <v>17.563270149297413</v>
      </c>
      <c r="X17" s="22">
        <f>'[11]Dia 23 (b)'!$V23</f>
        <v>16.516510742976841</v>
      </c>
      <c r="Y17" s="22">
        <f>'[11]Dia 24 (b)'!$V23</f>
        <v>14.707964044947071</v>
      </c>
      <c r="Z17" s="22">
        <f>'[11]Dia 25 (b)'!$V23</f>
        <v>16.100176921453741</v>
      </c>
      <c r="AA17" s="22">
        <f>'[11]Dia 26 (b)'!$V23</f>
        <v>13.620329637993239</v>
      </c>
      <c r="AB17" s="22">
        <f>'[11]Dia 27 (b)'!$V23</f>
        <v>14.007148546357831</v>
      </c>
      <c r="AC17" s="22">
        <f>'[11]Dia 28 (b)'!$V23</f>
        <v>15.67241572165508</v>
      </c>
      <c r="AD17" s="22">
        <f>'[11]Dia 29 (b)'!$V23</f>
        <v>18.874799916011153</v>
      </c>
      <c r="AE17" s="22">
        <f>'[11]Dia 30 (b)'!$V23</f>
        <v>21.248498632350046</v>
      </c>
      <c r="AF17" s="23"/>
      <c r="AG17" s="19"/>
      <c r="AI17" s="21"/>
    </row>
    <row r="18" spans="1:35" ht="15.75">
      <c r="A18" s="16">
        <v>15</v>
      </c>
      <c r="B18" s="22">
        <f>'[11]Dia 1 (b)'!$V24</f>
        <v>18.329772548534319</v>
      </c>
      <c r="C18" s="22">
        <f>'[11]Dia 2 (b)'!$V24</f>
        <v>19.236631779481563</v>
      </c>
      <c r="D18" s="22">
        <f>'[11]Dia 3 (b)'!$V24</f>
        <v>19.046552445857987</v>
      </c>
      <c r="E18" s="22">
        <f>'[11]Dia 4 (b)'!$V24</f>
        <v>20.84071065342696</v>
      </c>
      <c r="F18" s="22">
        <f>'[11]Dia 5 (b)'!$V24</f>
        <v>16.536824317193169</v>
      </c>
      <c r="G18" s="22">
        <f>'[11]Dia 6 (b)'!$V24</f>
        <v>20.501979627795201</v>
      </c>
      <c r="H18" s="22">
        <f>'[11]Dia 7 (b)'!$V24</f>
        <v>20.099886621990148</v>
      </c>
      <c r="I18" s="22">
        <f>'[11]Dia 8 (b)'!$V24</f>
        <v>17.722125018479495</v>
      </c>
      <c r="J18" s="22">
        <f>'[11]Dia 9 (b)'!$V24</f>
        <v>16.032847389188742</v>
      </c>
      <c r="K18" s="22">
        <f>'[11]Dia 10 (b)'!$V24</f>
        <v>15.300385327451888</v>
      </c>
      <c r="L18" s="22">
        <f>'[11]Dia 11 (b)'!$V24</f>
        <v>9.4270795182513503</v>
      </c>
      <c r="M18" s="22">
        <f>'[11]Dia 12 (b)'!$V24</f>
        <v>18.17983950333943</v>
      </c>
      <c r="N18" s="22">
        <f>'[11]Dia 13 (b)'!$V24</f>
        <v>13.94701538615984</v>
      </c>
      <c r="O18" s="22">
        <f>'[11]Dia 14 (b)'!$V24</f>
        <v>16.087862527346989</v>
      </c>
      <c r="P18" s="22">
        <f>'[11]Dia 15 (b)'!$V24</f>
        <v>18.390853287249104</v>
      </c>
      <c r="Q18" s="22">
        <f>'[11]Dia 16 (b)'!$V24</f>
        <v>18.558060334256076</v>
      </c>
      <c r="R18" s="22">
        <f>'[11]Dia 17 (b)'!$V24</f>
        <v>18.673898037928598</v>
      </c>
      <c r="S18" s="22">
        <f>'[11]Dia 18 (b)'!$V24</f>
        <v>17.256857898939675</v>
      </c>
      <c r="T18" s="22">
        <f>'[11]Dia 19 (b)'!$V24</f>
        <v>17.64019906563756</v>
      </c>
      <c r="U18" s="22">
        <f>'[11]Dia 20 (b)'!$V24</f>
        <v>20.135307947812336</v>
      </c>
      <c r="V18" s="22">
        <f>'[11]Dia 21 (b)'!$V24</f>
        <v>18.279859508108679</v>
      </c>
      <c r="W18" s="22">
        <f>'[11]Dia 22 (b)'!$V24</f>
        <v>16.840635426105468</v>
      </c>
      <c r="X18" s="22">
        <f>'[11]Dia 23 (b)'!$V24</f>
        <v>16.498015176416793</v>
      </c>
      <c r="Y18" s="22">
        <f>'[11]Dia 24 (b)'!$V24</f>
        <v>15.047173625033214</v>
      </c>
      <c r="Z18" s="22">
        <f>'[11]Dia 25 (b)'!$V24</f>
        <v>16.593424421981009</v>
      </c>
      <c r="AA18" s="22">
        <f>'[11]Dia 26 (b)'!$V24</f>
        <v>12.567494527837656</v>
      </c>
      <c r="AB18" s="22">
        <f>'[11]Dia 27 (b)'!$V24</f>
        <v>13.852281849603749</v>
      </c>
      <c r="AC18" s="22">
        <f>'[11]Dia 28 (b)'!$V24</f>
        <v>17.003225159235825</v>
      </c>
      <c r="AD18" s="22">
        <f>'[11]Dia 29 (b)'!$V24</f>
        <v>19.336387680769224</v>
      </c>
      <c r="AE18" s="22">
        <f>'[11]Dia 30 (b)'!$V24</f>
        <v>20.394353449899157</v>
      </c>
      <c r="AF18" s="23"/>
      <c r="AG18" s="19"/>
      <c r="AI18" s="21"/>
    </row>
    <row r="19" spans="1:35" ht="15.75">
      <c r="A19" s="16">
        <v>16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8"/>
      <c r="AG19" s="19"/>
      <c r="AI19" s="21"/>
    </row>
    <row r="20" spans="1:35" ht="15.75">
      <c r="A20" s="16">
        <v>17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8"/>
      <c r="AG20" s="19"/>
      <c r="AI20" s="21"/>
    </row>
    <row r="21" spans="1:35" ht="15.75">
      <c r="A21" s="16">
        <v>18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8"/>
      <c r="AG21" s="19"/>
      <c r="AI21" s="21"/>
    </row>
    <row r="22" spans="1:35" ht="15.75">
      <c r="A22" s="16">
        <v>19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8"/>
      <c r="AG22" s="19"/>
      <c r="AI22" s="21"/>
    </row>
    <row r="23" spans="1:35" ht="15.75">
      <c r="A23" s="16">
        <v>20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8"/>
      <c r="AG23" s="19"/>
      <c r="AI23" s="21"/>
    </row>
    <row r="24" spans="1:35" ht="15.75">
      <c r="A24" s="16">
        <v>21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8"/>
      <c r="AG24" s="19"/>
      <c r="AI24" s="21"/>
    </row>
    <row r="25" spans="1:35" ht="15.75">
      <c r="A25" s="16">
        <v>22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8"/>
      <c r="AG25" s="19"/>
      <c r="AI25" s="21"/>
    </row>
    <row r="26" spans="1:35" ht="15.75">
      <c r="A26" s="16">
        <v>23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8"/>
      <c r="AG26" s="19"/>
      <c r="AI26" s="21"/>
    </row>
    <row r="27" spans="1:35" ht="16.5" thickBot="1">
      <c r="A27" s="16">
        <v>24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8"/>
      <c r="AG27" s="19"/>
      <c r="AI27" s="21"/>
    </row>
    <row r="28" spans="1:35" ht="15.75" thickTop="1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6"/>
      <c r="AG28" s="19"/>
      <c r="AI28" s="21"/>
    </row>
    <row r="29" spans="1:35" ht="15">
      <c r="A29" s="27"/>
      <c r="B29" s="28" t="s">
        <v>5</v>
      </c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30"/>
      <c r="AG29" s="19"/>
      <c r="AI29" s="21"/>
    </row>
    <row r="30" spans="1:35" ht="15.75">
      <c r="A30" s="31" t="s">
        <v>6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0"/>
      <c r="AH30"/>
    </row>
    <row r="31" spans="1:35" ht="15.75">
      <c r="A31" s="31" t="s">
        <v>7</v>
      </c>
      <c r="B31" s="33">
        <f>AVERAGE(B4:B27)</f>
        <v>15.500268834914696</v>
      </c>
      <c r="C31" s="33">
        <f t="shared" ref="C31:AE31" si="0">AVERAGE(C4:C27)</f>
        <v>4.2708578245701823</v>
      </c>
      <c r="D31" s="33">
        <f t="shared" si="0"/>
        <v>19.297924472450152</v>
      </c>
      <c r="E31" s="33">
        <f t="shared" si="0"/>
        <v>19.619599630976435</v>
      </c>
      <c r="F31" s="33">
        <f t="shared" si="0"/>
        <v>18.1971682214689</v>
      </c>
      <c r="G31" s="33">
        <f t="shared" si="0"/>
        <v>19.964775466817315</v>
      </c>
      <c r="H31" s="33">
        <f t="shared" si="0"/>
        <v>20.273676962472408</v>
      </c>
      <c r="I31" s="33">
        <f t="shared" si="0"/>
        <v>19.75620978161832</v>
      </c>
      <c r="J31" s="33">
        <f t="shared" si="0"/>
        <v>16.126683377476489</v>
      </c>
      <c r="K31" s="33">
        <f t="shared" si="0"/>
        <v>14.477838898475852</v>
      </c>
      <c r="L31" s="33">
        <f t="shared" si="0"/>
        <v>13.437852069270496</v>
      </c>
      <c r="M31" s="33">
        <f t="shared" si="0"/>
        <v>15.606327402649994</v>
      </c>
      <c r="N31" s="33">
        <f t="shared" si="0"/>
        <v>14.205798647050532</v>
      </c>
      <c r="O31" s="33">
        <f t="shared" si="0"/>
        <v>15.070902283438585</v>
      </c>
      <c r="P31" s="33">
        <f>AVERAGE(P4:P27)</f>
        <v>17.118245349621894</v>
      </c>
      <c r="Q31" s="33">
        <f t="shared" si="0"/>
        <v>18.812716104569471</v>
      </c>
      <c r="R31" s="33">
        <f t="shared" si="0"/>
        <v>16.48720455386076</v>
      </c>
      <c r="S31" s="33">
        <f t="shared" si="0"/>
        <v>16.891941069047192</v>
      </c>
      <c r="T31" s="33">
        <f t="shared" si="0"/>
        <v>16.598726268893554</v>
      </c>
      <c r="U31" s="33">
        <f t="shared" si="0"/>
        <v>18.263622062470095</v>
      </c>
      <c r="V31" s="33">
        <f t="shared" si="0"/>
        <v>18.738458040585584</v>
      </c>
      <c r="W31" s="33">
        <f t="shared" si="0"/>
        <v>17.480561164976319</v>
      </c>
      <c r="X31" s="33">
        <f t="shared" si="0"/>
        <v>16.990555693069457</v>
      </c>
      <c r="Y31" s="33">
        <f t="shared" si="0"/>
        <v>14.61272014474676</v>
      </c>
      <c r="Z31" s="33">
        <f t="shared" si="0"/>
        <v>14.139292767519201</v>
      </c>
      <c r="AA31" s="33">
        <f t="shared" si="0"/>
        <v>14.477228075948879</v>
      </c>
      <c r="AB31" s="33">
        <f t="shared" si="0"/>
        <v>14.784321748870436</v>
      </c>
      <c r="AC31" s="33">
        <f t="shared" si="0"/>
        <v>16.182370610432244</v>
      </c>
      <c r="AD31" s="33">
        <f t="shared" si="0"/>
        <v>19.44376136808388</v>
      </c>
      <c r="AE31" s="33">
        <f t="shared" si="0"/>
        <v>20.440771668702137</v>
      </c>
      <c r="AF31" s="34"/>
      <c r="AH31"/>
    </row>
    <row r="32" spans="1:35" ht="15">
      <c r="A32" s="35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7"/>
      <c r="AH32"/>
    </row>
    <row r="33" spans="1:34" ht="15">
      <c r="A33" s="35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7"/>
      <c r="AH33"/>
    </row>
    <row r="34" spans="1:34" ht="15.75">
      <c r="A34" s="31" t="s">
        <v>8</v>
      </c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7"/>
      <c r="AH34"/>
    </row>
    <row r="35" spans="1:34" ht="15.75">
      <c r="A35" s="31" t="s">
        <v>7</v>
      </c>
      <c r="B35" s="33">
        <f>MAX(B4:B27)</f>
        <v>18.329772548534319</v>
      </c>
      <c r="C35" s="33">
        <f t="shared" ref="C35:AE35" si="1">MAX(C4:C27)</f>
        <v>19.236631779481563</v>
      </c>
      <c r="D35" s="33">
        <f t="shared" si="1"/>
        <v>20.286278213721687</v>
      </c>
      <c r="E35" s="33">
        <f t="shared" si="1"/>
        <v>20.84071065342696</v>
      </c>
      <c r="F35" s="33">
        <f t="shared" si="1"/>
        <v>19.116506936493476</v>
      </c>
      <c r="G35" s="33">
        <f t="shared" si="1"/>
        <v>20.53498173411398</v>
      </c>
      <c r="H35" s="33">
        <f t="shared" si="1"/>
        <v>20.818382348219167</v>
      </c>
      <c r="I35" s="33">
        <f t="shared" si="1"/>
        <v>20.432239175766874</v>
      </c>
      <c r="J35" s="33">
        <f t="shared" si="1"/>
        <v>16.801353451481287</v>
      </c>
      <c r="K35" s="33">
        <f t="shared" si="1"/>
        <v>15.563098912516335</v>
      </c>
      <c r="L35" s="33">
        <f t="shared" si="1"/>
        <v>16.242804635357235</v>
      </c>
      <c r="M35" s="33">
        <f t="shared" si="1"/>
        <v>18.942708160104335</v>
      </c>
      <c r="N35" s="33">
        <f t="shared" si="1"/>
        <v>15.181142775031823</v>
      </c>
      <c r="O35" s="33">
        <f t="shared" si="1"/>
        <v>16.087862527346989</v>
      </c>
      <c r="P35" s="33">
        <f>MAX(P4:P27)</f>
        <v>18.52025093280087</v>
      </c>
      <c r="Q35" s="33">
        <f t="shared" si="1"/>
        <v>19.601832362003488</v>
      </c>
      <c r="R35" s="33">
        <f t="shared" si="1"/>
        <v>18.673898037928598</v>
      </c>
      <c r="S35" s="33">
        <f t="shared" si="1"/>
        <v>18.04859566523567</v>
      </c>
      <c r="T35" s="33">
        <f t="shared" si="1"/>
        <v>17.64019906563756</v>
      </c>
      <c r="U35" s="33">
        <f t="shared" si="1"/>
        <v>20.45927790348944</v>
      </c>
      <c r="V35" s="33">
        <f t="shared" si="1"/>
        <v>19.262248078542932</v>
      </c>
      <c r="W35" s="33">
        <f t="shared" si="1"/>
        <v>18.002412432063029</v>
      </c>
      <c r="X35" s="33">
        <f t="shared" si="1"/>
        <v>17.466598924065501</v>
      </c>
      <c r="Y35" s="33">
        <f t="shared" si="1"/>
        <v>15.047173625033214</v>
      </c>
      <c r="Z35" s="33">
        <f t="shared" si="1"/>
        <v>16.593424421981009</v>
      </c>
      <c r="AA35" s="33">
        <f t="shared" si="1"/>
        <v>16.782792656531388</v>
      </c>
      <c r="AB35" s="33">
        <f t="shared" si="1"/>
        <v>17.352058689161488</v>
      </c>
      <c r="AC35" s="33">
        <f t="shared" si="1"/>
        <v>17.003225159235825</v>
      </c>
      <c r="AD35" s="33">
        <f t="shared" si="1"/>
        <v>20.409107864218004</v>
      </c>
      <c r="AE35" s="33">
        <f t="shared" si="1"/>
        <v>21.248498632350046</v>
      </c>
      <c r="AF35" s="34"/>
      <c r="AH35"/>
    </row>
    <row r="36" spans="1:34" ht="15">
      <c r="A36" s="35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7"/>
      <c r="AH36"/>
    </row>
    <row r="37" spans="1:34" ht="15">
      <c r="A37" s="35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7"/>
      <c r="AH37"/>
    </row>
    <row r="38" spans="1:34" ht="15.75">
      <c r="A38" s="31" t="s">
        <v>9</v>
      </c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7"/>
      <c r="AH38"/>
    </row>
    <row r="39" spans="1:34" ht="15.75">
      <c r="A39" s="31" t="s">
        <v>7</v>
      </c>
      <c r="B39" s="33">
        <f>MIN(B4:B27)</f>
        <v>14.056686181935325</v>
      </c>
      <c r="C39" s="33">
        <f t="shared" ref="C39:AE39" si="2">MIN(C4:C27)</f>
        <v>-99</v>
      </c>
      <c r="D39" s="33">
        <f t="shared" si="2"/>
        <v>17.773016361539227</v>
      </c>
      <c r="E39" s="33">
        <f t="shared" si="2"/>
        <v>18.865268055292717</v>
      </c>
      <c r="F39" s="33">
        <f t="shared" si="2"/>
        <v>16.536824317193169</v>
      </c>
      <c r="G39" s="33">
        <f t="shared" si="2"/>
        <v>18.829195472466548</v>
      </c>
      <c r="H39" s="33">
        <f t="shared" si="2"/>
        <v>19.82845267039275</v>
      </c>
      <c r="I39" s="33">
        <f t="shared" si="2"/>
        <v>17.722125018479495</v>
      </c>
      <c r="J39" s="33">
        <f t="shared" si="2"/>
        <v>15.708779427608047</v>
      </c>
      <c r="K39" s="33">
        <f t="shared" si="2"/>
        <v>13.525414837428942</v>
      </c>
      <c r="L39" s="33">
        <f t="shared" si="2"/>
        <v>9.4270795182513503</v>
      </c>
      <c r="M39" s="33">
        <f t="shared" si="2"/>
        <v>12.935728973329629</v>
      </c>
      <c r="N39" s="33">
        <f t="shared" si="2"/>
        <v>13.858975811335725</v>
      </c>
      <c r="O39" s="33">
        <f t="shared" si="2"/>
        <v>14.097042138483346</v>
      </c>
      <c r="P39" s="33">
        <f>MIN(P4:P27)</f>
        <v>15.921553266977968</v>
      </c>
      <c r="Q39" s="33">
        <f t="shared" si="2"/>
        <v>18.247840661035408</v>
      </c>
      <c r="R39" s="33">
        <f t="shared" si="2"/>
        <v>15.342040406198979</v>
      </c>
      <c r="S39" s="33">
        <f t="shared" si="2"/>
        <v>14.431991991744777</v>
      </c>
      <c r="T39" s="33">
        <f t="shared" si="2"/>
        <v>15.482535317639718</v>
      </c>
      <c r="U39" s="33">
        <f t="shared" si="2"/>
        <v>16.713218571095108</v>
      </c>
      <c r="V39" s="33">
        <f t="shared" si="2"/>
        <v>18.279859508108679</v>
      </c>
      <c r="W39" s="33">
        <f t="shared" si="2"/>
        <v>16.840635426105468</v>
      </c>
      <c r="X39" s="33">
        <f t="shared" si="2"/>
        <v>16.407597654688459</v>
      </c>
      <c r="Y39" s="33">
        <f t="shared" si="2"/>
        <v>13.760193325365835</v>
      </c>
      <c r="Z39" s="33">
        <f t="shared" si="2"/>
        <v>12.731225385188822</v>
      </c>
      <c r="AA39" s="33">
        <f t="shared" si="2"/>
        <v>12.567494527837656</v>
      </c>
      <c r="AB39" s="33">
        <f t="shared" si="2"/>
        <v>13.824804863853519</v>
      </c>
      <c r="AC39" s="33">
        <f t="shared" si="2"/>
        <v>14.842133055856472</v>
      </c>
      <c r="AD39" s="33">
        <f t="shared" si="2"/>
        <v>18.297372291752865</v>
      </c>
      <c r="AE39" s="33">
        <f t="shared" si="2"/>
        <v>19.6634513844803</v>
      </c>
      <c r="AF39" s="34"/>
      <c r="AH39"/>
    </row>
    <row r="40" spans="1:34" ht="15">
      <c r="A40" s="35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38"/>
      <c r="AH40"/>
    </row>
    <row r="41" spans="1:34" ht="15">
      <c r="A41" s="35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38"/>
      <c r="AH41"/>
    </row>
    <row r="42" spans="1:34" ht="15.75">
      <c r="A42" s="31" t="s">
        <v>10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38"/>
      <c r="AH42"/>
    </row>
    <row r="43" spans="1:34" ht="15.75">
      <c r="A43" s="31" t="s">
        <v>7</v>
      </c>
      <c r="B43" s="39">
        <f>B35-B39</f>
        <v>4.273086366598994</v>
      </c>
      <c r="C43" s="39">
        <f t="shared" ref="C43:AE43" si="3">C35-C39</f>
        <v>118.23663177948157</v>
      </c>
      <c r="D43" s="39">
        <f t="shared" si="3"/>
        <v>2.5132618521824597</v>
      </c>
      <c r="E43" s="39">
        <f t="shared" si="3"/>
        <v>1.9754425981342436</v>
      </c>
      <c r="F43" s="39">
        <f t="shared" si="3"/>
        <v>2.5796826193003071</v>
      </c>
      <c r="G43" s="39">
        <f t="shared" si="3"/>
        <v>1.7057862616474324</v>
      </c>
      <c r="H43" s="39">
        <f t="shared" si="3"/>
        <v>0.98992967782641728</v>
      </c>
      <c r="I43" s="39">
        <f t="shared" si="3"/>
        <v>2.7101141572873786</v>
      </c>
      <c r="J43" s="39">
        <f t="shared" si="3"/>
        <v>1.0925740238732402</v>
      </c>
      <c r="K43" s="39">
        <f t="shared" si="3"/>
        <v>2.0376840750873928</v>
      </c>
      <c r="L43" s="39">
        <f t="shared" si="3"/>
        <v>6.8157251171058846</v>
      </c>
      <c r="M43" s="39">
        <f t="shared" si="3"/>
        <v>6.0069791867747053</v>
      </c>
      <c r="N43" s="39">
        <f t="shared" si="3"/>
        <v>1.3221669636960982</v>
      </c>
      <c r="O43" s="39">
        <f t="shared" si="3"/>
        <v>1.9908203888636429</v>
      </c>
      <c r="P43" s="39">
        <f>P35-P39</f>
        <v>2.5986976658229022</v>
      </c>
      <c r="Q43" s="39">
        <f t="shared" si="3"/>
        <v>1.3539917009680806</v>
      </c>
      <c r="R43" s="39">
        <f t="shared" si="3"/>
        <v>3.3318576317296191</v>
      </c>
      <c r="S43" s="39">
        <f t="shared" si="3"/>
        <v>3.6166036734908928</v>
      </c>
      <c r="T43" s="39">
        <f t="shared" si="3"/>
        <v>2.1576637479978427</v>
      </c>
      <c r="U43" s="39">
        <f t="shared" si="3"/>
        <v>3.7460593323943314</v>
      </c>
      <c r="V43" s="39">
        <f t="shared" si="3"/>
        <v>0.98238857043425298</v>
      </c>
      <c r="W43" s="39">
        <f t="shared" si="3"/>
        <v>1.1617770059575605</v>
      </c>
      <c r="X43" s="39">
        <f t="shared" si="3"/>
        <v>1.0590012693770419</v>
      </c>
      <c r="Y43" s="39">
        <f t="shared" si="3"/>
        <v>1.2869802996673787</v>
      </c>
      <c r="Z43" s="39">
        <f t="shared" si="3"/>
        <v>3.8621990367921875</v>
      </c>
      <c r="AA43" s="39">
        <f t="shared" si="3"/>
        <v>4.2152981286937319</v>
      </c>
      <c r="AB43" s="39">
        <f t="shared" si="3"/>
        <v>3.5272538253079695</v>
      </c>
      <c r="AC43" s="39">
        <f t="shared" si="3"/>
        <v>2.1610921033793531</v>
      </c>
      <c r="AD43" s="39">
        <f t="shared" si="3"/>
        <v>2.1117355724651397</v>
      </c>
      <c r="AE43" s="39">
        <f t="shared" si="3"/>
        <v>1.5850472478697455</v>
      </c>
      <c r="AF43" s="34"/>
      <c r="AH43"/>
    </row>
    <row r="44" spans="1:34">
      <c r="A44" s="27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38"/>
      <c r="AH44"/>
    </row>
    <row r="45" spans="1:34">
      <c r="A45" s="27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38"/>
      <c r="AH45"/>
    </row>
    <row r="46" spans="1:34" ht="15.75">
      <c r="A46" s="27"/>
      <c r="B46" s="1"/>
      <c r="C46" s="1"/>
      <c r="D46" s="1"/>
      <c r="E46" s="1"/>
      <c r="F46" s="1"/>
      <c r="G46" s="1"/>
      <c r="H46" s="1"/>
      <c r="I46" s="40" t="s">
        <v>6</v>
      </c>
      <c r="J46" s="41"/>
      <c r="K46" s="41"/>
      <c r="L46" s="42" t="s">
        <v>8</v>
      </c>
      <c r="M46" s="43"/>
      <c r="N46" s="43"/>
      <c r="O46" s="42" t="s">
        <v>9</v>
      </c>
      <c r="P46" s="43"/>
      <c r="Q46" s="43"/>
      <c r="R46" s="42" t="s">
        <v>10</v>
      </c>
      <c r="S46" s="44"/>
      <c r="T46" s="41"/>
      <c r="U46" s="43" t="s">
        <v>6</v>
      </c>
      <c r="V46" s="43"/>
      <c r="W46" s="43" t="s">
        <v>6</v>
      </c>
      <c r="X46" s="43"/>
      <c r="Y46" s="43" t="s">
        <v>11</v>
      </c>
      <c r="Z46" s="43"/>
      <c r="AA46" s="1"/>
      <c r="AB46" s="1"/>
      <c r="AC46" s="1"/>
      <c r="AD46" s="1"/>
      <c r="AE46" s="1"/>
      <c r="AF46" s="38"/>
      <c r="AH46"/>
    </row>
    <row r="47" spans="1:34" ht="15.75">
      <c r="A47" s="27"/>
      <c r="B47" s="1"/>
      <c r="C47" s="1"/>
      <c r="D47" s="1"/>
      <c r="E47" s="1"/>
      <c r="F47" s="1"/>
      <c r="G47" s="1"/>
      <c r="H47" s="1"/>
      <c r="I47" s="45" t="s">
        <v>12</v>
      </c>
      <c r="J47" s="41"/>
      <c r="K47" s="41"/>
      <c r="L47" s="43" t="s">
        <v>12</v>
      </c>
      <c r="M47" s="43"/>
      <c r="N47" s="43"/>
      <c r="O47" s="43" t="s">
        <v>12</v>
      </c>
      <c r="P47" s="43"/>
      <c r="Q47" s="43"/>
      <c r="R47" s="43" t="s">
        <v>12</v>
      </c>
      <c r="S47" s="44"/>
      <c r="T47" s="41"/>
      <c r="U47" s="43" t="s">
        <v>13</v>
      </c>
      <c r="V47" s="43"/>
      <c r="W47" s="43" t="s">
        <v>14</v>
      </c>
      <c r="X47" s="43"/>
      <c r="Y47" s="43" t="s">
        <v>15</v>
      </c>
      <c r="Z47" s="43"/>
      <c r="AA47" s="1"/>
      <c r="AB47" s="1"/>
      <c r="AC47" s="1"/>
      <c r="AD47" s="1"/>
      <c r="AE47" s="1"/>
      <c r="AF47" s="38"/>
      <c r="AH47"/>
    </row>
    <row r="48" spans="1:34" ht="15">
      <c r="A48" s="27"/>
      <c r="B48" s="1"/>
      <c r="C48" s="1"/>
      <c r="D48" s="1"/>
      <c r="E48" s="1"/>
      <c r="F48" s="1"/>
      <c r="G48" s="1"/>
      <c r="H48" s="1"/>
      <c r="I48" s="29"/>
      <c r="J48" s="1"/>
      <c r="K48" s="1"/>
      <c r="L48" s="36"/>
      <c r="M48" s="36"/>
      <c r="N48" s="36"/>
      <c r="O48" s="36"/>
      <c r="P48" s="36"/>
      <c r="Q48" s="36"/>
      <c r="R48" s="36"/>
      <c r="S48" s="36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38"/>
      <c r="AH48"/>
    </row>
    <row r="49" spans="1:35" s="52" customFormat="1" ht="15.75" thickBot="1">
      <c r="A49" s="46"/>
      <c r="B49" s="47"/>
      <c r="C49" s="47"/>
      <c r="D49" s="47"/>
      <c r="E49" s="47"/>
      <c r="F49" s="47"/>
      <c r="G49" s="47"/>
      <c r="H49" s="47"/>
      <c r="I49" s="48">
        <f>AVERAGE(B31:AF31)</f>
        <v>16.575612685501603</v>
      </c>
      <c r="J49" s="47"/>
      <c r="K49" s="47"/>
      <c r="L49" s="48">
        <f>MAX(B35:AF35)</f>
        <v>21.248498632350046</v>
      </c>
      <c r="M49" s="49"/>
      <c r="N49" s="49"/>
      <c r="O49" s="48">
        <f>MIN(B39:AF39)</f>
        <v>-99</v>
      </c>
      <c r="P49" s="49"/>
      <c r="Q49" s="49"/>
      <c r="R49" s="48">
        <f>L49-O49</f>
        <v>120.24849863235005</v>
      </c>
      <c r="S49" s="49"/>
      <c r="T49" s="47"/>
      <c r="U49" s="48">
        <f>AVERAGE(B35:AF35)</f>
        <v>18.350868943395803</v>
      </c>
      <c r="V49" s="50"/>
      <c r="W49" s="48">
        <f>AVERAGE(B39:AF39)</f>
        <v>11.917284547388878</v>
      </c>
      <c r="X49" s="50"/>
      <c r="Y49" s="48">
        <f>U49-W49</f>
        <v>6.4335843960069248</v>
      </c>
      <c r="Z49" s="47"/>
      <c r="AA49" s="47"/>
      <c r="AB49" s="47"/>
      <c r="AC49" s="47"/>
      <c r="AD49" s="47"/>
      <c r="AE49" s="47"/>
      <c r="AF49" s="51"/>
    </row>
    <row r="50" spans="1:35" ht="13.5" thickTop="1">
      <c r="AI50" s="53"/>
    </row>
  </sheetData>
  <pageMargins left="0.78740157499999996" right="0.78740157499999996" top="0.984251969" bottom="0.984251969" header="0.49212598499999999" footer="0.49212598499999999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I50"/>
  <sheetViews>
    <sheetView zoomScale="75" zoomScaleNormal="75" workbookViewId="0">
      <selection activeCell="E23" sqref="E23"/>
    </sheetView>
  </sheetViews>
  <sheetFormatPr defaultRowHeight="12.75"/>
  <cols>
    <col min="33" max="33" width="9.140625" style="10"/>
    <col min="34" max="34" width="12.7109375" customWidth="1"/>
  </cols>
  <sheetData>
    <row r="1" spans="1:35" ht="18">
      <c r="A1" s="1"/>
      <c r="B1" s="2" t="s">
        <v>27</v>
      </c>
      <c r="C1" s="3"/>
      <c r="D1" s="4"/>
      <c r="E1" s="5"/>
      <c r="F1" s="1"/>
      <c r="G1" s="1"/>
      <c r="H1" s="1"/>
      <c r="I1" s="1"/>
      <c r="J1" s="6"/>
      <c r="K1" s="6"/>
      <c r="L1" s="7" t="s">
        <v>1</v>
      </c>
      <c r="M1" s="8" t="s">
        <v>2</v>
      </c>
      <c r="N1" s="9" t="s">
        <v>3</v>
      </c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5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5" ht="16.5" thickBot="1">
      <c r="A3" s="11" t="s">
        <v>4</v>
      </c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2">
        <v>8</v>
      </c>
      <c r="J3" s="12">
        <v>9</v>
      </c>
      <c r="K3" s="12">
        <v>10</v>
      </c>
      <c r="L3" s="12">
        <v>11</v>
      </c>
      <c r="M3" s="12">
        <v>12</v>
      </c>
      <c r="N3" s="12">
        <v>13</v>
      </c>
      <c r="O3" s="12">
        <v>14</v>
      </c>
      <c r="P3" s="12">
        <v>15</v>
      </c>
      <c r="Q3" s="12">
        <v>16</v>
      </c>
      <c r="R3" s="12">
        <v>17</v>
      </c>
      <c r="S3" s="12">
        <v>18</v>
      </c>
      <c r="T3" s="12">
        <v>19</v>
      </c>
      <c r="U3" s="12">
        <v>20</v>
      </c>
      <c r="V3" s="12">
        <v>21</v>
      </c>
      <c r="W3" s="12">
        <v>22</v>
      </c>
      <c r="X3" s="12">
        <v>23</v>
      </c>
      <c r="Y3" s="12">
        <v>24</v>
      </c>
      <c r="Z3" s="13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5">
        <v>31</v>
      </c>
    </row>
    <row r="4" spans="1:35" ht="15.75">
      <c r="A4" s="16">
        <v>1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8"/>
      <c r="AG4" s="19"/>
      <c r="AH4" s="20"/>
      <c r="AI4" s="21"/>
    </row>
    <row r="5" spans="1:35" ht="15.75">
      <c r="A5" s="16">
        <v>2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8"/>
      <c r="AG5" s="19"/>
      <c r="AH5" s="20"/>
      <c r="AI5" s="21"/>
    </row>
    <row r="6" spans="1:35" ht="15.75">
      <c r="A6" s="16">
        <v>3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8"/>
      <c r="AG6" s="19"/>
      <c r="AH6" s="20"/>
      <c r="AI6" s="21"/>
    </row>
    <row r="7" spans="1:35" ht="15.75">
      <c r="A7" s="16">
        <v>4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8"/>
      <c r="AG7" s="19"/>
      <c r="AH7" s="20"/>
      <c r="AI7" s="21"/>
    </row>
    <row r="8" spans="1:35" ht="15.75">
      <c r="A8" s="16">
        <v>5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8"/>
      <c r="AG8" s="19"/>
      <c r="AH8" s="20"/>
      <c r="AI8" s="21"/>
    </row>
    <row r="9" spans="1:35" ht="15.75">
      <c r="A9" s="16">
        <v>6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8"/>
      <c r="AG9" s="19"/>
      <c r="AH9" s="20"/>
      <c r="AI9" s="21"/>
    </row>
    <row r="10" spans="1:35" ht="15.75">
      <c r="A10" s="16">
        <v>7</v>
      </c>
      <c r="B10" s="22">
        <f>'[12]Dia 1 (b)'!$V16</f>
        <v>18.639829873061338</v>
      </c>
      <c r="C10" s="22">
        <f>'[12]Dia 2 (b)'!$V16</f>
        <v>20.874974428494905</v>
      </c>
      <c r="D10" s="22">
        <f>'[12]Dia 3 (b)'!$V16</f>
        <v>21.281939662826975</v>
      </c>
      <c r="E10" s="22">
        <f>'[12]Dia 4 (b)'!$V16</f>
        <v>16.289414158400774</v>
      </c>
      <c r="F10" s="22">
        <f>'[12]Dia 5 (b)'!$V16</f>
        <v>17.46270503166706</v>
      </c>
      <c r="G10" s="22">
        <f>'[12]Dia 6 (b)'!$V16</f>
        <v>20.573755484486586</v>
      </c>
      <c r="H10" s="22">
        <f>'[12]Dia 7 (b)'!$V16</f>
        <v>21.351833410336916</v>
      </c>
      <c r="I10" s="22">
        <f>'[12]Dia 8 (b)'!$V16</f>
        <v>19.955212372680244</v>
      </c>
      <c r="J10" s="22">
        <f>'[12]Dia 9 (b)'!$V16</f>
        <v>20.07702726084214</v>
      </c>
      <c r="K10" s="22">
        <f>'[12]Dia 10 (b)'!$V16</f>
        <v>19.686114338433558</v>
      </c>
      <c r="L10" s="22">
        <f>'[12]Dia 11 (b)'!$V16</f>
        <v>16.8553516551572</v>
      </c>
      <c r="M10" s="22">
        <f>'[12]Dia 12 (b)'!$V16</f>
        <v>14.226458145507848</v>
      </c>
      <c r="N10" s="22">
        <f>'[12]Dia 13 (b)'!$V16</f>
        <v>16.242154057466855</v>
      </c>
      <c r="O10" s="22">
        <f>'[12]Dia 14 (b)'!$V16</f>
        <v>18.89657853329625</v>
      </c>
      <c r="P10" s="22">
        <f>'[12]Dia 15 (b)'!$V16</f>
        <v>18.416287205436809</v>
      </c>
      <c r="Q10" s="22">
        <f>'[12]Dia 16 (b)'!$V16</f>
        <v>15.698867907807687</v>
      </c>
      <c r="R10" s="22">
        <f>'[12]Dia 17 (b)'!$V16</f>
        <v>15.817508229188046</v>
      </c>
      <c r="S10" s="22">
        <f>'[12]Dia 18 (b)'!$V16</f>
        <v>14.9470862731658</v>
      </c>
      <c r="T10" s="22">
        <f>'[12]Dia 19 (b)'!$V16</f>
        <v>16.817182140155644</v>
      </c>
      <c r="U10" s="22">
        <f>'[12]Dia 20 (b)'!$V16</f>
        <v>19.360649268918003</v>
      </c>
      <c r="V10" s="22">
        <f>'[12]Dia 21 (b)'!$V16</f>
        <v>19.265239731415619</v>
      </c>
      <c r="W10" s="22">
        <f>'[12]Dia 22 (b)'!$V16</f>
        <v>19.963168848195551</v>
      </c>
      <c r="X10" s="22">
        <f>'[12]Dia 23 (b)'!$V16</f>
        <v>19.802089667078675</v>
      </c>
      <c r="Y10" s="22">
        <f>'[12]Dia 24 (b)'!$V16</f>
        <v>16.813008445432203</v>
      </c>
      <c r="Z10" s="22">
        <f>'[12]Dia 25 (b)'!$V16</f>
        <v>18.193311469078456</v>
      </c>
      <c r="AA10" s="22">
        <f>'[12]Dia 26 (b)'!$V16</f>
        <v>19.973382104204205</v>
      </c>
      <c r="AB10" s="22">
        <f>'[12]Dia 27 (b)'!$V16</f>
        <v>20.074006826954907</v>
      </c>
      <c r="AC10" s="22">
        <f>'[12]Dia 28 (b)'!$V16</f>
        <v>20.347668420495523</v>
      </c>
      <c r="AD10" s="22">
        <f>'[12]Dia 29 (b)'!$V16</f>
        <v>18.615903158050148</v>
      </c>
      <c r="AE10" s="22">
        <f>'[12]Dia 30 (b)'!$V16</f>
        <v>18.07303144995327</v>
      </c>
      <c r="AF10" s="23">
        <f>'[12]Dia 31 (b)'!$V16</f>
        <v>16.893072828756107</v>
      </c>
      <c r="AG10" s="19"/>
      <c r="AH10" s="20"/>
      <c r="AI10" s="21"/>
    </row>
    <row r="11" spans="1:35" ht="15.75">
      <c r="A11" s="16">
        <v>8</v>
      </c>
      <c r="B11" s="22">
        <f>'[12]Dia 1 (b)'!$V17</f>
        <v>18.063534362431223</v>
      </c>
      <c r="C11" s="22">
        <f>'[12]Dia 2 (b)'!$V17</f>
        <v>20.794816765113982</v>
      </c>
      <c r="D11" s="22">
        <f>'[12]Dia 3 (b)'!$V17</f>
        <v>21.365585561559179</v>
      </c>
      <c r="E11" s="22">
        <f>'[12]Dia 4 (b)'!$V17</f>
        <v>16.339623990728164</v>
      </c>
      <c r="F11" s="22">
        <f>'[12]Dia 5 (b)'!$V17</f>
        <v>17.644920079831191</v>
      </c>
      <c r="G11" s="22">
        <f>'[12]Dia 6 (b)'!$V17</f>
        <v>20.599607165095989</v>
      </c>
      <c r="H11" s="22">
        <f>'[12]Dia 7 (b)'!$V17</f>
        <v>20.101371207449798</v>
      </c>
      <c r="I11" s="22">
        <f>'[12]Dia 8 (b)'!$V17</f>
        <v>19.949139292981684</v>
      </c>
      <c r="J11" s="22">
        <f>'[12]Dia 9 (b)'!$V17</f>
        <v>20.093592281871434</v>
      </c>
      <c r="K11" s="22">
        <f>'[12]Dia 10 (b)'!$V17</f>
        <v>20.023491172858975</v>
      </c>
      <c r="L11" s="22">
        <f>'[12]Dia 11 (b)'!$V17</f>
        <v>16.857794601116861</v>
      </c>
      <c r="M11" s="22">
        <f>'[12]Dia 12 (b)'!$V17</f>
        <v>15.107582380365848</v>
      </c>
      <c r="N11" s="22">
        <f>'[12]Dia 13 (b)'!$V17</f>
        <v>16.513984411874972</v>
      </c>
      <c r="O11" s="22">
        <f>'[12]Dia 14 (b)'!$V17</f>
        <v>18.946550412543289</v>
      </c>
      <c r="P11" s="22">
        <f>'[12]Dia 15 (b)'!$V17</f>
        <v>18.777149402918699</v>
      </c>
      <c r="Q11" s="22">
        <f>'[12]Dia 16 (b)'!$V17</f>
        <v>14.106990495987112</v>
      </c>
      <c r="R11" s="22">
        <f>'[12]Dia 17 (b)'!$V17</f>
        <v>15.817114344910214</v>
      </c>
      <c r="S11" s="22">
        <f>'[12]Dia 18 (b)'!$V17</f>
        <v>14.074958026950593</v>
      </c>
      <c r="T11" s="22">
        <f>'[12]Dia 19 (b)'!$V17</f>
        <v>16.930930766787224</v>
      </c>
      <c r="U11" s="22">
        <f>'[12]Dia 20 (b)'!$V17</f>
        <v>18.435359161677333</v>
      </c>
      <c r="V11" s="22">
        <f>'[12]Dia 21 (b)'!$V17</f>
        <v>19.388810207305614</v>
      </c>
      <c r="W11" s="22">
        <f>'[12]Dia 22 (b)'!$V17</f>
        <v>19.931046609239402</v>
      </c>
      <c r="X11" s="22">
        <f>'[12]Dia 23 (b)'!$V17</f>
        <v>19.613926478442909</v>
      </c>
      <c r="Y11" s="22">
        <f>'[12]Dia 24 (b)'!$V17</f>
        <v>16.31483852844547</v>
      </c>
      <c r="Z11" s="22">
        <f>'[12]Dia 25 (b)'!$V17</f>
        <v>18.571254914784348</v>
      </c>
      <c r="AA11" s="22">
        <f>'[12]Dia 26 (b)'!$V17</f>
        <v>19.787345621665665</v>
      </c>
      <c r="AB11" s="22">
        <f>'[12]Dia 27 (b)'!$V17</f>
        <v>21.26403391907213</v>
      </c>
      <c r="AC11" s="22">
        <f>'[12]Dia 28 (b)'!$V17</f>
        <v>20.323888600476714</v>
      </c>
      <c r="AD11" s="22">
        <f>'[12]Dia 29 (b)'!$V17</f>
        <v>18.83245310793319</v>
      </c>
      <c r="AE11" s="22">
        <f>'[12]Dia 30 (b)'!$V17</f>
        <v>17.859471647213482</v>
      </c>
      <c r="AF11" s="23">
        <f>'[12]Dia 31 (b)'!$V17</f>
        <v>16.994076760291623</v>
      </c>
      <c r="AG11" s="19"/>
      <c r="AH11" s="20"/>
      <c r="AI11" s="21"/>
    </row>
    <row r="12" spans="1:35" ht="15.75">
      <c r="A12" s="16">
        <v>9</v>
      </c>
      <c r="B12" s="22">
        <f>'[12]Dia 1 (b)'!$V18</f>
        <v>18.236157441946389</v>
      </c>
      <c r="C12" s="22">
        <f>'[12]Dia 2 (b)'!$V18</f>
        <v>21.094352367838098</v>
      </c>
      <c r="D12" s="22">
        <f>'[12]Dia 3 (b)'!$V18</f>
        <v>20.941519821306475</v>
      </c>
      <c r="E12" s="22">
        <f>'[12]Dia 4 (b)'!$V18</f>
        <v>16.545877436808659</v>
      </c>
      <c r="F12" s="22">
        <f>'[12]Dia 5 (b)'!$V18</f>
        <v>17.75736802569104</v>
      </c>
      <c r="G12" s="22">
        <f>'[12]Dia 6 (b)'!$V18</f>
        <v>21.305758646435212</v>
      </c>
      <c r="H12" s="22">
        <f>'[12]Dia 7 (b)'!$V18</f>
        <v>19.193831265181142</v>
      </c>
      <c r="I12" s="22">
        <f>'[12]Dia 8 (b)'!$V18</f>
        <v>19.840142570786366</v>
      </c>
      <c r="J12" s="22">
        <f>'[12]Dia 9 (b)'!$V18</f>
        <v>19.968063566696003</v>
      </c>
      <c r="K12" s="22">
        <f>'[12]Dia 10 (b)'!$V18</f>
        <v>20.346675050089718</v>
      </c>
      <c r="L12" s="22">
        <f>'[12]Dia 11 (b)'!$V18</f>
        <v>17.581957234802562</v>
      </c>
      <c r="M12" s="22">
        <f>'[12]Dia 12 (b)'!$V18</f>
        <v>15.470777739181234</v>
      </c>
      <c r="N12" s="22">
        <f>'[12]Dia 13 (b)'!$V18</f>
        <v>16.713727874954497</v>
      </c>
      <c r="O12" s="22">
        <f>'[12]Dia 14 (b)'!$V18</f>
        <v>17.946001000475583</v>
      </c>
      <c r="P12" s="22">
        <f>'[12]Dia 15 (b)'!$V18</f>
        <v>18.506676727486617</v>
      </c>
      <c r="Q12" s="22">
        <f>'[12]Dia 16 (b)'!$V18</f>
        <v>13.934550955229847</v>
      </c>
      <c r="R12" s="22">
        <f>'[12]Dia 17 (b)'!$V18</f>
        <v>15.338448734033033</v>
      </c>
      <c r="S12" s="22">
        <f>'[12]Dia 18 (b)'!$V18</f>
        <v>15.006609648829674</v>
      </c>
      <c r="T12" s="22">
        <f>'[12]Dia 19 (b)'!$V18</f>
        <v>17.323821624093771</v>
      </c>
      <c r="U12" s="22">
        <f>'[12]Dia 20 (b)'!$V18</f>
        <v>19.083842677419359</v>
      </c>
      <c r="V12" s="22">
        <f>'[12]Dia 21 (b)'!$V18</f>
        <v>19.795653276995509</v>
      </c>
      <c r="W12" s="22">
        <f>'[12]Dia 22 (b)'!$V18</f>
        <v>19.412540525845191</v>
      </c>
      <c r="X12" s="22">
        <f>'[12]Dia 23 (b)'!$V18</f>
        <v>19.672721182516977</v>
      </c>
      <c r="Y12" s="22">
        <f>'[12]Dia 24 (b)'!$V18</f>
        <v>16.718305303431912</v>
      </c>
      <c r="Z12" s="22">
        <f>'[12]Dia 25 (b)'!$V18</f>
        <v>18.400302368490348</v>
      </c>
      <c r="AA12" s="22">
        <f>'[12]Dia 26 (b)'!$V18</f>
        <v>20.292937954012107</v>
      </c>
      <c r="AB12" s="22">
        <f>'[12]Dia 27 (b)'!$V18</f>
        <v>19.714115263213184</v>
      </c>
      <c r="AC12" s="22">
        <f>'[12]Dia 28 (b)'!$V18</f>
        <v>19.794715720491237</v>
      </c>
      <c r="AD12" s="22">
        <f>'[12]Dia 29 (b)'!$V18</f>
        <v>18.126930443452501</v>
      </c>
      <c r="AE12" s="22">
        <f>'[12]Dia 30 (b)'!$V18</f>
        <v>17.524943456771304</v>
      </c>
      <c r="AF12" s="23">
        <f>'[12]Dia 31 (b)'!$V18</f>
        <v>17.518494153703852</v>
      </c>
      <c r="AG12" s="19"/>
      <c r="AH12" s="20"/>
      <c r="AI12" s="21"/>
    </row>
    <row r="13" spans="1:35" ht="15.75">
      <c r="A13" s="16">
        <v>10</v>
      </c>
      <c r="B13" s="22">
        <f>'[12]Dia 1 (b)'!$V19</f>
        <v>17.906607736806389</v>
      </c>
      <c r="C13" s="22">
        <f>'[12]Dia 2 (b)'!$V19</f>
        <v>21.15033502577591</v>
      </c>
      <c r="D13" s="22">
        <f>'[12]Dia 3 (b)'!$V19</f>
        <v>20.697459399556518</v>
      </c>
      <c r="E13" s="22">
        <f>'[12]Dia 4 (b)'!$V19</f>
        <v>15.390833652853971</v>
      </c>
      <c r="F13" s="22">
        <f>'[12]Dia 5 (b)'!$V19</f>
        <v>18.130231516365377</v>
      </c>
      <c r="G13" s="22">
        <f>'[12]Dia 6 (b)'!$V19</f>
        <v>20.560151418346173</v>
      </c>
      <c r="H13" s="22">
        <f>'[12]Dia 7 (b)'!$V19</f>
        <v>19.224039309658011</v>
      </c>
      <c r="I13" s="22">
        <f>'[12]Dia 8 (b)'!$V19</f>
        <v>20.007428695815289</v>
      </c>
      <c r="J13" s="22">
        <f>'[12]Dia 9 (b)'!$V19</f>
        <v>21.217105050103104</v>
      </c>
      <c r="K13" s="22">
        <f>'[12]Dia 10 (b)'!$V19</f>
        <v>20.141093046196996</v>
      </c>
      <c r="L13" s="22">
        <f>'[12]Dia 11 (b)'!$V19</f>
        <v>16.461510125133564</v>
      </c>
      <c r="M13" s="22">
        <f>'[12]Dia 12 (b)'!$V19</f>
        <v>14.197101821863184</v>
      </c>
      <c r="N13" s="22">
        <f>'[12]Dia 13 (b)'!$V19</f>
        <v>17.066925821690923</v>
      </c>
      <c r="O13" s="22">
        <f>'[12]Dia 14 (b)'!$V19</f>
        <v>16.315354568513772</v>
      </c>
      <c r="P13" s="22">
        <f>'[12]Dia 15 (b)'!$V19</f>
        <v>19.115329077939176</v>
      </c>
      <c r="Q13" s="22">
        <f>'[12]Dia 16 (b)'!$V19</f>
        <v>14.785759989351366</v>
      </c>
      <c r="R13" s="22">
        <f>'[12]Dia 17 (b)'!$V19</f>
        <v>15.187644178700745</v>
      </c>
      <c r="S13" s="22">
        <f>'[12]Dia 18 (b)'!$V19</f>
        <v>14.911317829729697</v>
      </c>
      <c r="T13" s="22">
        <f>'[12]Dia 19 (b)'!$V19</f>
        <v>16.585665951121541</v>
      </c>
      <c r="U13" s="22">
        <f>'[12]Dia 20 (b)'!$V19</f>
        <v>19.417344834126229</v>
      </c>
      <c r="V13" s="22">
        <f>'[12]Dia 21 (b)'!$V19</f>
        <v>20.241362308620001</v>
      </c>
      <c r="W13" s="22">
        <f>'[12]Dia 22 (b)'!$V19</f>
        <v>19.29429212441778</v>
      </c>
      <c r="X13" s="22">
        <f>'[12]Dia 23 (b)'!$V19</f>
        <v>19.444442088599743</v>
      </c>
      <c r="Y13" s="22">
        <f>'[12]Dia 24 (b)'!$V19</f>
        <v>17.222572465612533</v>
      </c>
      <c r="Z13" s="22">
        <f>'[12]Dia 25 (b)'!$V19</f>
        <v>18.442398938669282</v>
      </c>
      <c r="AA13" s="22">
        <f>'[12]Dia 26 (b)'!$V19</f>
        <v>20.798834970376674</v>
      </c>
      <c r="AB13" s="22">
        <f>'[12]Dia 27 (b)'!$V19</f>
        <v>19.819748889390645</v>
      </c>
      <c r="AC13" s="22">
        <f>'[12]Dia 28 (b)'!$V19</f>
        <v>19.493087571874472</v>
      </c>
      <c r="AD13" s="22">
        <f>'[12]Dia 29 (b)'!$V19</f>
        <v>17.638656913490802</v>
      </c>
      <c r="AE13" s="22">
        <f>'[12]Dia 30 (b)'!$V19</f>
        <v>16.761531424247583</v>
      </c>
      <c r="AF13" s="23">
        <f>'[12]Dia 31 (b)'!$V19</f>
        <v>16.443382376469543</v>
      </c>
      <c r="AG13" s="19"/>
      <c r="AH13" s="20"/>
      <c r="AI13" s="21"/>
    </row>
    <row r="14" spans="1:35" ht="15.75">
      <c r="A14" s="16">
        <v>11</v>
      </c>
      <c r="B14" s="22">
        <f>'[12]Dia 1 (b)'!$V20</f>
        <v>17.383846020600849</v>
      </c>
      <c r="C14" s="22">
        <f>'[12]Dia 2 (b)'!$V20</f>
        <v>20.526499773779282</v>
      </c>
      <c r="D14" s="22">
        <f>'[12]Dia 3 (b)'!$V20</f>
        <v>20.757978582992898</v>
      </c>
      <c r="E14" s="22">
        <f>'[12]Dia 4 (b)'!$V20</f>
        <v>15.22614299778772</v>
      </c>
      <c r="F14" s="22">
        <f>'[12]Dia 5 (b)'!$V20</f>
        <v>18.924049465613621</v>
      </c>
      <c r="G14" s="22">
        <f>'[12]Dia 6 (b)'!$V20</f>
        <v>19.498110115526011</v>
      </c>
      <c r="H14" s="22">
        <f>'[12]Dia 7 (b)'!$V20</f>
        <v>17.285951030014729</v>
      </c>
      <c r="I14" s="22">
        <f>'[12]Dia 8 (b)'!$V20</f>
        <v>20.113373513122685</v>
      </c>
      <c r="J14" s="22">
        <f>'[12]Dia 9 (b)'!$V20</f>
        <v>20.737075369576608</v>
      </c>
      <c r="K14" s="22">
        <f>'[12]Dia 10 (b)'!$V20</f>
        <v>20.822312976634375</v>
      </c>
      <c r="L14" s="22">
        <f>'[12]Dia 11 (b)'!$V20</f>
        <v>15.292654787989175</v>
      </c>
      <c r="M14" s="22">
        <f>'[12]Dia 12 (b)'!$V20</f>
        <v>15.854787580901002</v>
      </c>
      <c r="N14" s="22">
        <f>'[12]Dia 13 (b)'!$V20</f>
        <v>17.699182545214356</v>
      </c>
      <c r="O14" s="22">
        <f>'[12]Dia 14 (b)'!$V20</f>
        <v>18.141718302346458</v>
      </c>
      <c r="P14" s="22">
        <f>'[12]Dia 15 (b)'!$V20</f>
        <v>18.753564209922185</v>
      </c>
      <c r="Q14" s="22">
        <f>'[12]Dia 16 (b)'!$V20</f>
        <v>14.579340272305735</v>
      </c>
      <c r="R14" s="22">
        <f>'[12]Dia 17 (b)'!$V20</f>
        <v>16.065369190854067</v>
      </c>
      <c r="S14" s="22">
        <f>'[12]Dia 18 (b)'!$V20</f>
        <v>15.186194446852067</v>
      </c>
      <c r="T14" s="22">
        <f>'[12]Dia 19 (b)'!$V20</f>
        <v>13.214315887124654</v>
      </c>
      <c r="U14" s="22">
        <f>'[12]Dia 20 (b)'!$V20</f>
        <v>19.198510861794393</v>
      </c>
      <c r="V14" s="22">
        <f>'[12]Dia 21 (b)'!$V20</f>
        <v>19.407694083109636</v>
      </c>
      <c r="W14" s="22">
        <f>'[12]Dia 22 (b)'!$V20</f>
        <v>18.984820338357778</v>
      </c>
      <c r="X14" s="22">
        <f>'[12]Dia 23 (b)'!$V20</f>
        <v>19.367382130071071</v>
      </c>
      <c r="Y14" s="22">
        <f>'[12]Dia 24 (b)'!$V20</f>
        <v>18.090627176257374</v>
      </c>
      <c r="Z14" s="22">
        <f>'[12]Dia 25 (b)'!$V20</f>
        <v>17.978557104197687</v>
      </c>
      <c r="AA14" s="22">
        <f>'[12]Dia 26 (b)'!$V20</f>
        <v>20.011794551461247</v>
      </c>
      <c r="AB14" s="22">
        <f>'[12]Dia 27 (b)'!$V20</f>
        <v>20.223489630090629</v>
      </c>
      <c r="AC14" s="22">
        <f>'[12]Dia 28 (b)'!$V20</f>
        <v>17.515653655867229</v>
      </c>
      <c r="AD14" s="22">
        <f>'[12]Dia 29 (b)'!$V20</f>
        <v>17.474637717601919</v>
      </c>
      <c r="AE14" s="22">
        <f>'[12]Dia 30 (b)'!$V20</f>
        <v>16.660334515868854</v>
      </c>
      <c r="AF14" s="23">
        <f>'[12]Dia 31 (b)'!$V20</f>
        <v>17.283910221738431</v>
      </c>
      <c r="AG14" s="19"/>
      <c r="AH14" s="20"/>
      <c r="AI14" s="21"/>
    </row>
    <row r="15" spans="1:35" ht="15.75">
      <c r="A15" s="16">
        <v>12</v>
      </c>
      <c r="B15" s="22">
        <f>'[12]Dia 1 (b)'!$V21</f>
        <v>17.18198731816917</v>
      </c>
      <c r="C15" s="22">
        <f>'[12]Dia 2 (b)'!$V21</f>
        <v>20.750052917562265</v>
      </c>
      <c r="D15" s="22">
        <f>'[12]Dia 3 (b)'!$V21</f>
        <v>21.207711785065467</v>
      </c>
      <c r="E15" s="22">
        <f>'[12]Dia 4 (b)'!$V21</f>
        <v>15.705886896220834</v>
      </c>
      <c r="F15" s="22">
        <f>'[12]Dia 5 (b)'!$V21</f>
        <v>19.051541031846796</v>
      </c>
      <c r="G15" s="22">
        <f>'[12]Dia 6 (b)'!$V21</f>
        <v>18.865505149749616</v>
      </c>
      <c r="H15" s="22">
        <f>'[12]Dia 7 (b)'!$V21</f>
        <v>17.51780667848017</v>
      </c>
      <c r="I15" s="22">
        <f>'[12]Dia 8 (b)'!$V21</f>
        <v>20.69939109277361</v>
      </c>
      <c r="J15" s="22">
        <f>'[12]Dia 9 (b)'!$V21</f>
        <v>20.899852565389665</v>
      </c>
      <c r="K15" s="22">
        <f>'[12]Dia 10 (b)'!$V21</f>
        <v>19.978055533705671</v>
      </c>
      <c r="L15" s="22">
        <f>'[12]Dia 11 (b)'!$V21</f>
        <v>16.265989025190763</v>
      </c>
      <c r="M15" s="22">
        <f>'[12]Dia 12 (b)'!$V21</f>
        <v>15.63116567841371</v>
      </c>
      <c r="N15" s="22">
        <f>'[12]Dia 13 (b)'!$V21</f>
        <v>17.441930395443904</v>
      </c>
      <c r="O15" s="22">
        <f>'[12]Dia 14 (b)'!$V21</f>
        <v>17.8979945633758</v>
      </c>
      <c r="P15" s="22">
        <f>'[12]Dia 15 (b)'!$V21</f>
        <v>18.928706228577024</v>
      </c>
      <c r="Q15" s="22">
        <f>'[12]Dia 16 (b)'!$V21</f>
        <v>14.881620515544324</v>
      </c>
      <c r="R15" s="22">
        <f>'[12]Dia 17 (b)'!$V21</f>
        <v>16.771812558082779</v>
      </c>
      <c r="S15" s="22">
        <f>'[12]Dia 18 (b)'!$V21</f>
        <v>16.490215423612895</v>
      </c>
      <c r="T15" s="22">
        <f>'[12]Dia 19 (b)'!$V21</f>
        <v>13.402828855019814</v>
      </c>
      <c r="U15" s="22">
        <f>'[12]Dia 20 (b)'!$V21</f>
        <v>19.629530361453174</v>
      </c>
      <c r="V15" s="22">
        <f>'[12]Dia 21 (b)'!$V21</f>
        <v>20.059292645676337</v>
      </c>
      <c r="W15" s="22">
        <f>'[12]Dia 22 (b)'!$V21</f>
        <v>19.186192695496306</v>
      </c>
      <c r="X15" s="22">
        <f>'[12]Dia 23 (b)'!$V21</f>
        <v>19.820693918417472</v>
      </c>
      <c r="Y15" s="22">
        <f>'[12]Dia 24 (b)'!$V21</f>
        <v>18.107041548327299</v>
      </c>
      <c r="Z15" s="22">
        <f>'[12]Dia 25 (b)'!$V21</f>
        <v>18.085245041465463</v>
      </c>
      <c r="AA15" s="22">
        <f>'[12]Dia 26 (b)'!$V21</f>
        <v>21.055206999551647</v>
      </c>
      <c r="AB15" s="22">
        <f>'[12]Dia 27 (b)'!$V21</f>
        <v>20.074900841384753</v>
      </c>
      <c r="AC15" s="22">
        <f>'[12]Dia 28 (b)'!$V21</f>
        <v>20.239587381712759</v>
      </c>
      <c r="AD15" s="22">
        <f>'[12]Dia 29 (b)'!$V21</f>
        <v>18.804663377448584</v>
      </c>
      <c r="AE15" s="22">
        <f>'[12]Dia 30 (b)'!$V21</f>
        <v>18.536438197173936</v>
      </c>
      <c r="AF15" s="23">
        <f>'[12]Dia 31 (b)'!$V21</f>
        <v>19.541826922690333</v>
      </c>
      <c r="AG15" s="19"/>
      <c r="AH15" s="20"/>
      <c r="AI15" s="21"/>
    </row>
    <row r="16" spans="1:35" ht="15.75">
      <c r="A16" s="16">
        <v>13</v>
      </c>
      <c r="B16" s="22">
        <f>'[12]Dia 1 (b)'!$V22</f>
        <v>19.777718305825985</v>
      </c>
      <c r="C16" s="22">
        <f>'[12]Dia 2 (b)'!$V22</f>
        <v>20.218007727038401</v>
      </c>
      <c r="D16" s="22">
        <f>'[12]Dia 3 (b)'!$V22</f>
        <v>21.562939466090064</v>
      </c>
      <c r="E16" s="22">
        <f>'[12]Dia 4 (b)'!$V22</f>
        <v>15.759769525282948</v>
      </c>
      <c r="F16" s="22">
        <f>'[12]Dia 5 (b)'!$V22</f>
        <v>19.075987355789046</v>
      </c>
      <c r="G16" s="22">
        <f>'[12]Dia 6 (b)'!$V22</f>
        <v>17.738857406490954</v>
      </c>
      <c r="H16" s="22">
        <f>'[12]Dia 7 (b)'!$V22</f>
        <v>16.817825059411376</v>
      </c>
      <c r="I16" s="22">
        <f>'[12]Dia 8 (b)'!$V22</f>
        <v>20.540300491622965</v>
      </c>
      <c r="J16" s="22">
        <f>'[12]Dia 9 (b)'!$V22</f>
        <v>20.677368626568835</v>
      </c>
      <c r="K16" s="22">
        <f>'[12]Dia 10 (b)'!$V22</f>
        <v>20.329314542750623</v>
      </c>
      <c r="L16" s="22">
        <f>'[12]Dia 11 (b)'!$V22</f>
        <v>16.213868195149335</v>
      </c>
      <c r="M16" s="22">
        <f>'[12]Dia 12 (b)'!$V22</f>
        <v>15.387382381874831</v>
      </c>
      <c r="N16" s="22">
        <f>'[12]Dia 13 (b)'!$V22</f>
        <v>18.34584593930353</v>
      </c>
      <c r="O16" s="22">
        <f>'[12]Dia 14 (b)'!$V22</f>
        <v>18.115541693569696</v>
      </c>
      <c r="P16" s="22">
        <f>'[12]Dia 15 (b)'!$V22</f>
        <v>17.298231834987632</v>
      </c>
      <c r="Q16" s="22">
        <f>'[12]Dia 16 (b)'!$V22</f>
        <v>15.350106394802589</v>
      </c>
      <c r="R16" s="22">
        <f>'[12]Dia 17 (b)'!$V22</f>
        <v>16.949785777430883</v>
      </c>
      <c r="S16" s="22">
        <f>'[12]Dia 18 (b)'!$V22</f>
        <v>17.531291715411122</v>
      </c>
      <c r="T16" s="22">
        <f>'[12]Dia 19 (b)'!$V22</f>
        <v>12.861853038390993</v>
      </c>
      <c r="U16" s="22">
        <f>'[12]Dia 20 (b)'!$V22</f>
        <v>19.142130692645523</v>
      </c>
      <c r="V16" s="22">
        <f>'[12]Dia 21 (b)'!$V22</f>
        <v>24.231145686014852</v>
      </c>
      <c r="W16" s="22">
        <f>'[12]Dia 22 (b)'!$V22</f>
        <v>19.343058352711804</v>
      </c>
      <c r="X16" s="22">
        <f>'[12]Dia 23 (b)'!$V22</f>
        <v>18.975180527860704</v>
      </c>
      <c r="Y16" s="22">
        <f>'[12]Dia 24 (b)'!$V22</f>
        <v>18.201795205035367</v>
      </c>
      <c r="Z16" s="22">
        <f>'[12]Dia 25 (b)'!$V22</f>
        <v>16.787669044161543</v>
      </c>
      <c r="AA16" s="22">
        <f>'[12]Dia 26 (b)'!$V22</f>
        <v>20.766364677209246</v>
      </c>
      <c r="AB16" s="22">
        <f>'[12]Dia 27 (b)'!$V22</f>
        <v>19.830233892999413</v>
      </c>
      <c r="AC16" s="22">
        <f>'[12]Dia 28 (b)'!$V22</f>
        <v>20.673382997625517</v>
      </c>
      <c r="AD16" s="22">
        <f>'[12]Dia 29 (b)'!$V22</f>
        <v>19.281861359097142</v>
      </c>
      <c r="AE16" s="22">
        <f>'[12]Dia 30 (b)'!$V22</f>
        <v>20.158677341667538</v>
      </c>
      <c r="AF16" s="23">
        <f>'[12]Dia 31 (b)'!$V22</f>
        <v>19.515506303017492</v>
      </c>
      <c r="AG16" s="19"/>
      <c r="AH16" s="20"/>
      <c r="AI16" s="21"/>
    </row>
    <row r="17" spans="1:35" ht="15.75">
      <c r="A17" s="16">
        <v>14</v>
      </c>
      <c r="B17" s="22">
        <f>'[12]Dia 1 (b)'!$V23</f>
        <v>20.436620665199083</v>
      </c>
      <c r="C17" s="22">
        <f>'[12]Dia 2 (b)'!$V23</f>
        <v>19.812605731954886</v>
      </c>
      <c r="D17" s="22">
        <f>'[12]Dia 3 (b)'!$V23</f>
        <v>20.59577959710737</v>
      </c>
      <c r="E17" s="22">
        <f>'[12]Dia 4 (b)'!$V23</f>
        <v>15.00059774976943</v>
      </c>
      <c r="F17" s="22">
        <f>'[12]Dia 5 (b)'!$V23</f>
        <v>20.276545622392074</v>
      </c>
      <c r="G17" s="22">
        <f>'[12]Dia 6 (b)'!$V23</f>
        <v>18.023165500949634</v>
      </c>
      <c r="H17" s="22">
        <f>'[12]Dia 7 (b)'!$V23</f>
        <v>16.272384614404238</v>
      </c>
      <c r="I17" s="22">
        <f>'[12]Dia 8 (b)'!$V23</f>
        <v>20.411009908039762</v>
      </c>
      <c r="J17" s="22">
        <f>'[12]Dia 9 (b)'!$V23</f>
        <v>20.011726320893469</v>
      </c>
      <c r="K17" s="22">
        <f>'[12]Dia 10 (b)'!$V23</f>
        <v>20.24967378944114</v>
      </c>
      <c r="L17" s="22">
        <f>'[12]Dia 11 (b)'!$V23</f>
        <v>16.004610123834436</v>
      </c>
      <c r="M17" s="22">
        <f>'[12]Dia 12 (b)'!$V23</f>
        <v>15.848616494140677</v>
      </c>
      <c r="N17" s="22">
        <f>'[12]Dia 13 (b)'!$V23</f>
        <v>18.489775601718108</v>
      </c>
      <c r="O17" s="22">
        <f>'[12]Dia 14 (b)'!$V23</f>
        <v>17.927842242213526</v>
      </c>
      <c r="P17" s="22">
        <f>'[12]Dia 15 (b)'!$V23</f>
        <v>16.41479272658859</v>
      </c>
      <c r="Q17" s="22">
        <f>'[12]Dia 16 (b)'!$V23</f>
        <v>14.346196451857688</v>
      </c>
      <c r="R17" s="22">
        <f>'[12]Dia 17 (b)'!$V23</f>
        <v>17.07507115060471</v>
      </c>
      <c r="S17" s="22">
        <f>'[12]Dia 18 (b)'!$V23</f>
        <v>16.798391646434297</v>
      </c>
      <c r="T17" s="22">
        <f>'[12]Dia 19 (b)'!$V23</f>
        <v>19.118118634104466</v>
      </c>
      <c r="U17" s="22">
        <f>'[12]Dia 20 (b)'!$V23</f>
        <v>17.93645293322286</v>
      </c>
      <c r="V17" s="22">
        <f>'[12]Dia 21 (b)'!$V23</f>
        <v>21.339845021980793</v>
      </c>
      <c r="W17" s="22">
        <f>'[12]Dia 22 (b)'!$V23</f>
        <v>19.276360602574243</v>
      </c>
      <c r="X17" s="22">
        <f>'[12]Dia 23 (b)'!$V23</f>
        <v>18.710645691667601</v>
      </c>
      <c r="Y17" s="22">
        <f>'[12]Dia 24 (b)'!$V23</f>
        <v>18.873944318589558</v>
      </c>
      <c r="Z17" s="22">
        <f>'[12]Dia 25 (b)'!$V23</f>
        <v>17.039118557477199</v>
      </c>
      <c r="AA17" s="22">
        <f>'[12]Dia 26 (b)'!$V23</f>
        <v>20.082174176361956</v>
      </c>
      <c r="AB17" s="22">
        <f>'[12]Dia 27 (b)'!$V23</f>
        <v>21.874956068439587</v>
      </c>
      <c r="AC17" s="22">
        <f>'[12]Dia 28 (b)'!$V23</f>
        <v>19.842023147837253</v>
      </c>
      <c r="AD17" s="22">
        <f>'[12]Dia 29 (b)'!$V23</f>
        <v>19.050119624637279</v>
      </c>
      <c r="AE17" s="22">
        <f>'[12]Dia 30 (b)'!$V23</f>
        <v>18.514331295580273</v>
      </c>
      <c r="AF17" s="23">
        <f>'[12]Dia 31 (b)'!$V23</f>
        <v>19.497401590011869</v>
      </c>
      <c r="AG17" s="19"/>
      <c r="AH17" s="20"/>
      <c r="AI17" s="21"/>
    </row>
    <row r="18" spans="1:35" ht="15.75">
      <c r="A18" s="16">
        <v>15</v>
      </c>
      <c r="B18" s="22">
        <f>'[12]Dia 1 (b)'!$V24</f>
        <v>20.194733290650461</v>
      </c>
      <c r="C18" s="22">
        <f>'[12]Dia 2 (b)'!$V24</f>
        <v>19.861128168172147</v>
      </c>
      <c r="D18" s="22">
        <f>'[12]Dia 3 (b)'!$V24</f>
        <v>20.181174254638215</v>
      </c>
      <c r="E18" s="22">
        <f>'[12]Dia 4 (b)'!$V24</f>
        <v>15.501513804848013</v>
      </c>
      <c r="F18" s="22">
        <f>'[12]Dia 5 (b)'!$V24</f>
        <v>20.055690218611403</v>
      </c>
      <c r="G18" s="22">
        <f>'[12]Dia 6 (b)'!$V24</f>
        <v>18.597931945290139</v>
      </c>
      <c r="H18" s="22">
        <f>'[12]Dia 7 (b)'!$V24</f>
        <v>16.246908279511125</v>
      </c>
      <c r="I18" s="22">
        <f>'[12]Dia 8 (b)'!$V24</f>
        <v>21.109611406816704</v>
      </c>
      <c r="J18" s="22">
        <f>'[12]Dia 9 (b)'!$V24</f>
        <v>20.138834892343034</v>
      </c>
      <c r="K18" s="22">
        <f>'[12]Dia 10 (b)'!$V24</f>
        <v>21.616368047606347</v>
      </c>
      <c r="L18" s="22">
        <f>'[12]Dia 11 (b)'!$V24</f>
        <v>15.620854144374233</v>
      </c>
      <c r="M18" s="22">
        <f>'[12]Dia 12 (b)'!$V24</f>
        <v>15.822085793504373</v>
      </c>
      <c r="N18" s="22">
        <f>'[12]Dia 13 (b)'!$V24</f>
        <v>18.730074608783742</v>
      </c>
      <c r="O18" s="22">
        <f>'[12]Dia 14 (b)'!$V24</f>
        <v>17.044124265873229</v>
      </c>
      <c r="P18" s="22">
        <f>'[12]Dia 15 (b)'!$V24</f>
        <v>14.163665934801477</v>
      </c>
      <c r="Q18" s="22">
        <f>'[12]Dia 16 (b)'!$V24</f>
        <v>13.638889475892357</v>
      </c>
      <c r="R18" s="22">
        <f>'[12]Dia 17 (b)'!$V24</f>
        <v>17.701380879768404</v>
      </c>
      <c r="S18" s="22">
        <f>'[12]Dia 18 (b)'!$V24</f>
        <v>17.28962954436475</v>
      </c>
      <c r="T18" s="22">
        <f>'[12]Dia 19 (b)'!$V24</f>
        <v>19.658443208356058</v>
      </c>
      <c r="U18" s="22">
        <f>'[12]Dia 20 (b)'!$V24</f>
        <v>19.510101785075047</v>
      </c>
      <c r="V18" s="22">
        <f>'[12]Dia 21 (b)'!$V24</f>
        <v>21.411478883558608</v>
      </c>
      <c r="W18" s="22">
        <f>'[12]Dia 22 (b)'!$V24</f>
        <v>19.508055473555157</v>
      </c>
      <c r="X18" s="22">
        <f>'[12]Dia 23 (b)'!$V24</f>
        <v>18.817607147596867</v>
      </c>
      <c r="Y18" s="22">
        <f>'[12]Dia 24 (b)'!$V24</f>
        <v>19.054911499675406</v>
      </c>
      <c r="Z18" s="22">
        <f>'[12]Dia 25 (b)'!$V24</f>
        <v>21.343657363058902</v>
      </c>
      <c r="AA18" s="22">
        <f>'[12]Dia 26 (b)'!$V24</f>
        <v>21.56351305867279</v>
      </c>
      <c r="AB18" s="22">
        <f>'[12]Dia 27 (b)'!$V24</f>
        <v>20.846565844158416</v>
      </c>
      <c r="AC18" s="22">
        <f>'[12]Dia 28 (b)'!$V24</f>
        <v>21.870233742200337</v>
      </c>
      <c r="AD18" s="22">
        <f>'[12]Dia 29 (b)'!$V24</f>
        <v>19.201383790286567</v>
      </c>
      <c r="AE18" s="22">
        <f>'[12]Dia 30 (b)'!$V24</f>
        <v>18.85205348027343</v>
      </c>
      <c r="AF18" s="23">
        <f>'[12]Dia 31 (b)'!$V24</f>
        <v>20.082459543968429</v>
      </c>
      <c r="AG18" s="19"/>
      <c r="AH18" s="20"/>
      <c r="AI18" s="21"/>
    </row>
    <row r="19" spans="1:35" ht="15.75">
      <c r="A19" s="16">
        <v>16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8"/>
      <c r="AG19" s="19"/>
      <c r="AH19" s="20"/>
      <c r="AI19" s="21"/>
    </row>
    <row r="20" spans="1:35" ht="15.75">
      <c r="A20" s="16">
        <v>17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8"/>
      <c r="AG20" s="19"/>
      <c r="AH20" s="20"/>
      <c r="AI20" s="21"/>
    </row>
    <row r="21" spans="1:35" ht="15.75">
      <c r="A21" s="16">
        <v>18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8"/>
      <c r="AG21" s="19"/>
      <c r="AH21" s="20"/>
      <c r="AI21" s="21"/>
    </row>
    <row r="22" spans="1:35" ht="15.75">
      <c r="A22" s="16">
        <v>19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8"/>
      <c r="AG22" s="19"/>
      <c r="AH22" s="20"/>
      <c r="AI22" s="21"/>
    </row>
    <row r="23" spans="1:35" ht="15.75">
      <c r="A23" s="16">
        <v>20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8"/>
      <c r="AG23" s="19"/>
      <c r="AH23" s="20"/>
      <c r="AI23" s="21"/>
    </row>
    <row r="24" spans="1:35" ht="15.75">
      <c r="A24" s="16">
        <v>21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8"/>
      <c r="AG24" s="19"/>
      <c r="AH24" s="20"/>
      <c r="AI24" s="21"/>
    </row>
    <row r="25" spans="1:35" ht="15.75">
      <c r="A25" s="16">
        <v>22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8"/>
      <c r="AG25" s="19"/>
      <c r="AH25" s="20"/>
      <c r="AI25" s="21"/>
    </row>
    <row r="26" spans="1:35" ht="15.75">
      <c r="A26" s="16">
        <v>23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8"/>
      <c r="AG26" s="19"/>
      <c r="AH26" s="20"/>
      <c r="AI26" s="21"/>
    </row>
    <row r="27" spans="1:35" ht="16.5" thickBot="1">
      <c r="A27" s="16">
        <v>24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8"/>
      <c r="AG27" s="19"/>
      <c r="AH27" s="20"/>
      <c r="AI27" s="21"/>
    </row>
    <row r="28" spans="1:35" ht="16.5" thickTop="1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6"/>
      <c r="AG28" s="19"/>
      <c r="AH28" s="20"/>
      <c r="AI28" s="21"/>
    </row>
    <row r="29" spans="1:35" ht="15.75">
      <c r="A29" s="27"/>
      <c r="B29" s="28" t="s">
        <v>5</v>
      </c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30"/>
      <c r="AG29" s="19"/>
      <c r="AH29" s="20"/>
      <c r="AI29" s="21"/>
    </row>
    <row r="30" spans="1:35" ht="15.75">
      <c r="A30" s="31" t="s">
        <v>6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0"/>
    </row>
    <row r="31" spans="1:35" ht="15.75">
      <c r="A31" s="31" t="s">
        <v>7</v>
      </c>
      <c r="B31" s="33">
        <f>AVERAGE(B4:B27)</f>
        <v>18.646781668298988</v>
      </c>
      <c r="C31" s="33">
        <f t="shared" ref="C31:AF31" si="0">AVERAGE(C4:C27)</f>
        <v>20.564752545081099</v>
      </c>
      <c r="D31" s="33">
        <f t="shared" si="0"/>
        <v>20.954676459015907</v>
      </c>
      <c r="E31" s="33">
        <f t="shared" si="0"/>
        <v>15.751073356966723</v>
      </c>
      <c r="F31" s="33">
        <f t="shared" si="0"/>
        <v>18.708782038645285</v>
      </c>
      <c r="G31" s="33">
        <f t="shared" si="0"/>
        <v>19.529204759152254</v>
      </c>
      <c r="H31" s="33">
        <f t="shared" si="0"/>
        <v>18.223550094938613</v>
      </c>
      <c r="I31" s="33">
        <f t="shared" si="0"/>
        <v>20.291734371626589</v>
      </c>
      <c r="J31" s="33">
        <f t="shared" si="0"/>
        <v>20.424516214920477</v>
      </c>
      <c r="K31" s="33">
        <f t="shared" si="0"/>
        <v>20.354788721968603</v>
      </c>
      <c r="L31" s="33">
        <f t="shared" si="0"/>
        <v>16.350509988083122</v>
      </c>
      <c r="M31" s="33">
        <f t="shared" si="0"/>
        <v>15.282884223972523</v>
      </c>
      <c r="N31" s="33">
        <f t="shared" si="0"/>
        <v>17.471511250716766</v>
      </c>
      <c r="O31" s="33">
        <f t="shared" si="0"/>
        <v>17.914633953578623</v>
      </c>
      <c r="P31" s="33">
        <f>AVERAGE(P4:P27)</f>
        <v>17.819378149850916</v>
      </c>
      <c r="Q31" s="33">
        <f t="shared" si="0"/>
        <v>14.591369162086526</v>
      </c>
      <c r="R31" s="33">
        <f t="shared" si="0"/>
        <v>16.302681671508097</v>
      </c>
      <c r="S31" s="33">
        <f t="shared" si="0"/>
        <v>15.803966061705657</v>
      </c>
      <c r="T31" s="33">
        <f t="shared" si="0"/>
        <v>16.21257334501713</v>
      </c>
      <c r="U31" s="33">
        <f t="shared" si="0"/>
        <v>19.079324730703544</v>
      </c>
      <c r="V31" s="33">
        <f t="shared" si="0"/>
        <v>20.571169093852994</v>
      </c>
      <c r="W31" s="33">
        <f t="shared" si="0"/>
        <v>19.433281730043689</v>
      </c>
      <c r="X31" s="33">
        <f t="shared" si="0"/>
        <v>19.358298759139117</v>
      </c>
      <c r="Y31" s="33">
        <f t="shared" si="0"/>
        <v>17.71078272120079</v>
      </c>
      <c r="Z31" s="33">
        <f t="shared" si="0"/>
        <v>18.31572386682036</v>
      </c>
      <c r="AA31" s="33">
        <f t="shared" si="0"/>
        <v>20.481283790390613</v>
      </c>
      <c r="AB31" s="33">
        <f t="shared" si="0"/>
        <v>20.413561241744855</v>
      </c>
      <c r="AC31" s="33">
        <f t="shared" si="0"/>
        <v>20.011137915397889</v>
      </c>
      <c r="AD31" s="33">
        <f t="shared" si="0"/>
        <v>18.558512165777572</v>
      </c>
      <c r="AE31" s="33">
        <f t="shared" si="0"/>
        <v>18.104534756527741</v>
      </c>
      <c r="AF31" s="34">
        <f t="shared" si="0"/>
        <v>18.196681188960852</v>
      </c>
    </row>
    <row r="32" spans="1:35" ht="15">
      <c r="A32" s="35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7"/>
    </row>
    <row r="33" spans="1:32" ht="15">
      <c r="A33" s="35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7"/>
    </row>
    <row r="34" spans="1:32" ht="15.75">
      <c r="A34" s="31" t="s">
        <v>8</v>
      </c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7"/>
    </row>
    <row r="35" spans="1:32" ht="15.75">
      <c r="A35" s="31" t="s">
        <v>7</v>
      </c>
      <c r="B35" s="33">
        <f>MAX(B4:B27)</f>
        <v>20.436620665199083</v>
      </c>
      <c r="C35" s="33">
        <f t="shared" ref="C35:AF35" si="1">MAX(C4:C27)</f>
        <v>21.15033502577591</v>
      </c>
      <c r="D35" s="33">
        <f t="shared" si="1"/>
        <v>21.562939466090064</v>
      </c>
      <c r="E35" s="33">
        <f t="shared" si="1"/>
        <v>16.545877436808659</v>
      </c>
      <c r="F35" s="33">
        <f t="shared" si="1"/>
        <v>20.276545622392074</v>
      </c>
      <c r="G35" s="33">
        <f t="shared" si="1"/>
        <v>21.305758646435212</v>
      </c>
      <c r="H35" s="33">
        <f t="shared" si="1"/>
        <v>21.351833410336916</v>
      </c>
      <c r="I35" s="33">
        <f t="shared" si="1"/>
        <v>21.109611406816704</v>
      </c>
      <c r="J35" s="33">
        <f t="shared" si="1"/>
        <v>21.217105050103104</v>
      </c>
      <c r="K35" s="33">
        <f t="shared" si="1"/>
        <v>21.616368047606347</v>
      </c>
      <c r="L35" s="33">
        <f t="shared" si="1"/>
        <v>17.581957234802562</v>
      </c>
      <c r="M35" s="33">
        <f t="shared" si="1"/>
        <v>15.854787580901002</v>
      </c>
      <c r="N35" s="33">
        <f t="shared" si="1"/>
        <v>18.730074608783742</v>
      </c>
      <c r="O35" s="33">
        <f t="shared" si="1"/>
        <v>18.946550412543289</v>
      </c>
      <c r="P35" s="33">
        <f>MAX(P4:P27)</f>
        <v>19.115329077939176</v>
      </c>
      <c r="Q35" s="33">
        <f t="shared" si="1"/>
        <v>15.698867907807687</v>
      </c>
      <c r="R35" s="33">
        <f t="shared" si="1"/>
        <v>17.701380879768404</v>
      </c>
      <c r="S35" s="33">
        <f t="shared" si="1"/>
        <v>17.531291715411122</v>
      </c>
      <c r="T35" s="33">
        <f t="shared" si="1"/>
        <v>19.658443208356058</v>
      </c>
      <c r="U35" s="33">
        <f t="shared" si="1"/>
        <v>19.629530361453174</v>
      </c>
      <c r="V35" s="33">
        <f t="shared" si="1"/>
        <v>24.231145686014852</v>
      </c>
      <c r="W35" s="33">
        <f t="shared" si="1"/>
        <v>19.963168848195551</v>
      </c>
      <c r="X35" s="33">
        <f t="shared" si="1"/>
        <v>19.820693918417472</v>
      </c>
      <c r="Y35" s="33">
        <f t="shared" si="1"/>
        <v>19.054911499675406</v>
      </c>
      <c r="Z35" s="33">
        <f t="shared" si="1"/>
        <v>21.343657363058902</v>
      </c>
      <c r="AA35" s="33">
        <f t="shared" si="1"/>
        <v>21.56351305867279</v>
      </c>
      <c r="AB35" s="33">
        <f t="shared" si="1"/>
        <v>21.874956068439587</v>
      </c>
      <c r="AC35" s="33">
        <f t="shared" si="1"/>
        <v>21.870233742200337</v>
      </c>
      <c r="AD35" s="33">
        <f t="shared" si="1"/>
        <v>19.281861359097142</v>
      </c>
      <c r="AE35" s="33">
        <f t="shared" si="1"/>
        <v>20.158677341667538</v>
      </c>
      <c r="AF35" s="34">
        <f t="shared" si="1"/>
        <v>20.082459543968429</v>
      </c>
    </row>
    <row r="36" spans="1:32" ht="15">
      <c r="A36" s="35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7"/>
    </row>
    <row r="37" spans="1:32" ht="15">
      <c r="A37" s="35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7"/>
    </row>
    <row r="38" spans="1:32" ht="15.75">
      <c r="A38" s="31" t="s">
        <v>9</v>
      </c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7"/>
    </row>
    <row r="39" spans="1:32" ht="15.75">
      <c r="A39" s="31" t="s">
        <v>7</v>
      </c>
      <c r="B39" s="33">
        <f>MIN(B4:B27)</f>
        <v>17.18198731816917</v>
      </c>
      <c r="C39" s="33">
        <f t="shared" ref="C39:AF39" si="2">MIN(C4:C27)</f>
        <v>19.812605731954886</v>
      </c>
      <c r="D39" s="33">
        <f t="shared" si="2"/>
        <v>20.181174254638215</v>
      </c>
      <c r="E39" s="33">
        <f t="shared" si="2"/>
        <v>15.00059774976943</v>
      </c>
      <c r="F39" s="33">
        <f t="shared" si="2"/>
        <v>17.46270503166706</v>
      </c>
      <c r="G39" s="33">
        <f t="shared" si="2"/>
        <v>17.738857406490954</v>
      </c>
      <c r="H39" s="33">
        <f t="shared" si="2"/>
        <v>16.246908279511125</v>
      </c>
      <c r="I39" s="33">
        <f t="shared" si="2"/>
        <v>19.840142570786366</v>
      </c>
      <c r="J39" s="33">
        <f t="shared" si="2"/>
        <v>19.968063566696003</v>
      </c>
      <c r="K39" s="33">
        <f t="shared" si="2"/>
        <v>19.686114338433558</v>
      </c>
      <c r="L39" s="33">
        <f t="shared" si="2"/>
        <v>15.292654787989175</v>
      </c>
      <c r="M39" s="33">
        <f t="shared" si="2"/>
        <v>14.197101821863184</v>
      </c>
      <c r="N39" s="33">
        <f t="shared" si="2"/>
        <v>16.242154057466855</v>
      </c>
      <c r="O39" s="33">
        <f t="shared" si="2"/>
        <v>16.315354568513772</v>
      </c>
      <c r="P39" s="33">
        <f>MIN(P4:P27)</f>
        <v>14.163665934801477</v>
      </c>
      <c r="Q39" s="33">
        <f t="shared" si="2"/>
        <v>13.638889475892357</v>
      </c>
      <c r="R39" s="33">
        <f t="shared" si="2"/>
        <v>15.187644178700745</v>
      </c>
      <c r="S39" s="33">
        <f t="shared" si="2"/>
        <v>14.074958026950593</v>
      </c>
      <c r="T39" s="33">
        <f t="shared" si="2"/>
        <v>12.861853038390993</v>
      </c>
      <c r="U39" s="33">
        <f t="shared" si="2"/>
        <v>17.93645293322286</v>
      </c>
      <c r="V39" s="33">
        <f t="shared" si="2"/>
        <v>19.265239731415619</v>
      </c>
      <c r="W39" s="33">
        <f t="shared" si="2"/>
        <v>18.984820338357778</v>
      </c>
      <c r="X39" s="33">
        <f t="shared" si="2"/>
        <v>18.710645691667601</v>
      </c>
      <c r="Y39" s="33">
        <f t="shared" si="2"/>
        <v>16.31483852844547</v>
      </c>
      <c r="Z39" s="33">
        <f t="shared" si="2"/>
        <v>16.787669044161543</v>
      </c>
      <c r="AA39" s="33">
        <f t="shared" si="2"/>
        <v>19.787345621665665</v>
      </c>
      <c r="AB39" s="33">
        <f t="shared" si="2"/>
        <v>19.714115263213184</v>
      </c>
      <c r="AC39" s="33">
        <f t="shared" si="2"/>
        <v>17.515653655867229</v>
      </c>
      <c r="AD39" s="33">
        <f t="shared" si="2"/>
        <v>17.474637717601919</v>
      </c>
      <c r="AE39" s="33">
        <f t="shared" si="2"/>
        <v>16.660334515868854</v>
      </c>
      <c r="AF39" s="34">
        <f t="shared" si="2"/>
        <v>16.443382376469543</v>
      </c>
    </row>
    <row r="40" spans="1:32" ht="15">
      <c r="A40" s="35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38"/>
    </row>
    <row r="41" spans="1:32" ht="15">
      <c r="A41" s="35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38"/>
    </row>
    <row r="42" spans="1:32" ht="15.75">
      <c r="A42" s="31" t="s">
        <v>10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38"/>
    </row>
    <row r="43" spans="1:32" ht="15.75">
      <c r="A43" s="31" t="s">
        <v>7</v>
      </c>
      <c r="B43" s="39">
        <f>B35-B39</f>
        <v>3.2546333470299125</v>
      </c>
      <c r="C43" s="39">
        <f t="shared" ref="C43:AF43" si="3">C35-C39</f>
        <v>1.3377292938210239</v>
      </c>
      <c r="D43" s="39">
        <f t="shared" si="3"/>
        <v>1.3817652114518495</v>
      </c>
      <c r="E43" s="39">
        <f t="shared" si="3"/>
        <v>1.5452796870392298</v>
      </c>
      <c r="F43" s="39">
        <f t="shared" si="3"/>
        <v>2.8138405907250146</v>
      </c>
      <c r="G43" s="39">
        <f t="shared" si="3"/>
        <v>3.5669012399442579</v>
      </c>
      <c r="H43" s="39">
        <f t="shared" si="3"/>
        <v>5.1049251308257908</v>
      </c>
      <c r="I43" s="39">
        <f t="shared" si="3"/>
        <v>1.2694688360303381</v>
      </c>
      <c r="J43" s="39">
        <f t="shared" si="3"/>
        <v>1.2490414834071011</v>
      </c>
      <c r="K43" s="39">
        <f t="shared" si="3"/>
        <v>1.9302537091727885</v>
      </c>
      <c r="L43" s="39">
        <f t="shared" si="3"/>
        <v>2.2893024468133873</v>
      </c>
      <c r="M43" s="39">
        <f t="shared" si="3"/>
        <v>1.6576857590378182</v>
      </c>
      <c r="N43" s="39">
        <f t="shared" si="3"/>
        <v>2.4879205513168863</v>
      </c>
      <c r="O43" s="39">
        <f t="shared" si="3"/>
        <v>2.6311958440295165</v>
      </c>
      <c r="P43" s="39">
        <f>P35-P39</f>
        <v>4.951663143137699</v>
      </c>
      <c r="Q43" s="39">
        <f t="shared" si="3"/>
        <v>2.0599784319153294</v>
      </c>
      <c r="R43" s="39">
        <f t="shared" si="3"/>
        <v>2.5137367010676588</v>
      </c>
      <c r="S43" s="39">
        <f t="shared" si="3"/>
        <v>3.4563336884605285</v>
      </c>
      <c r="T43" s="39">
        <f t="shared" si="3"/>
        <v>6.7965901699650644</v>
      </c>
      <c r="U43" s="39">
        <f t="shared" si="3"/>
        <v>1.693077428230314</v>
      </c>
      <c r="V43" s="39">
        <f t="shared" si="3"/>
        <v>4.9659059545992328</v>
      </c>
      <c r="W43" s="39">
        <f t="shared" si="3"/>
        <v>0.97834850983777244</v>
      </c>
      <c r="X43" s="39">
        <f t="shared" si="3"/>
        <v>1.1100482267498712</v>
      </c>
      <c r="Y43" s="39">
        <f t="shared" si="3"/>
        <v>2.7400729712299352</v>
      </c>
      <c r="Z43" s="39">
        <f t="shared" si="3"/>
        <v>4.5559883188973593</v>
      </c>
      <c r="AA43" s="39">
        <f t="shared" si="3"/>
        <v>1.7761674370071248</v>
      </c>
      <c r="AB43" s="39">
        <f t="shared" si="3"/>
        <v>2.1608408052264032</v>
      </c>
      <c r="AC43" s="39">
        <f t="shared" si="3"/>
        <v>4.3545800863331081</v>
      </c>
      <c r="AD43" s="39">
        <f t="shared" si="3"/>
        <v>1.8072236414952236</v>
      </c>
      <c r="AE43" s="39">
        <f t="shared" si="3"/>
        <v>3.4983428257986837</v>
      </c>
      <c r="AF43" s="34">
        <f t="shared" si="3"/>
        <v>3.6390771674988862</v>
      </c>
    </row>
    <row r="44" spans="1:32">
      <c r="A44" s="27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38"/>
    </row>
    <row r="45" spans="1:32">
      <c r="A45" s="27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38"/>
    </row>
    <row r="46" spans="1:32" ht="15.75">
      <c r="A46" s="27"/>
      <c r="B46" s="1"/>
      <c r="C46" s="1"/>
      <c r="D46" s="1"/>
      <c r="E46" s="1"/>
      <c r="F46" s="1"/>
      <c r="G46" s="1"/>
      <c r="H46" s="1"/>
      <c r="I46" s="40" t="s">
        <v>6</v>
      </c>
      <c r="J46" s="41"/>
      <c r="K46" s="41"/>
      <c r="L46" s="42" t="s">
        <v>8</v>
      </c>
      <c r="M46" s="43"/>
      <c r="N46" s="43"/>
      <c r="O46" s="42" t="s">
        <v>9</v>
      </c>
      <c r="P46" s="43"/>
      <c r="Q46" s="43"/>
      <c r="R46" s="42" t="s">
        <v>10</v>
      </c>
      <c r="S46" s="44"/>
      <c r="T46" s="41"/>
      <c r="U46" s="43" t="s">
        <v>6</v>
      </c>
      <c r="V46" s="43"/>
      <c r="W46" s="43" t="s">
        <v>6</v>
      </c>
      <c r="X46" s="43"/>
      <c r="Y46" s="43" t="s">
        <v>11</v>
      </c>
      <c r="Z46" s="43"/>
      <c r="AA46" s="1"/>
      <c r="AB46" s="1"/>
      <c r="AC46" s="1"/>
      <c r="AD46" s="1"/>
      <c r="AE46" s="1"/>
      <c r="AF46" s="38"/>
    </row>
    <row r="47" spans="1:32" ht="15.75">
      <c r="A47" s="27"/>
      <c r="B47" s="1"/>
      <c r="C47" s="1"/>
      <c r="D47" s="1"/>
      <c r="E47" s="1"/>
      <c r="F47" s="1"/>
      <c r="G47" s="1"/>
      <c r="H47" s="1"/>
      <c r="I47" s="45" t="s">
        <v>12</v>
      </c>
      <c r="J47" s="41"/>
      <c r="K47" s="41"/>
      <c r="L47" s="43" t="s">
        <v>12</v>
      </c>
      <c r="M47" s="43"/>
      <c r="N47" s="43"/>
      <c r="O47" s="43" t="s">
        <v>12</v>
      </c>
      <c r="P47" s="43"/>
      <c r="Q47" s="43"/>
      <c r="R47" s="43" t="s">
        <v>12</v>
      </c>
      <c r="S47" s="44"/>
      <c r="T47" s="41"/>
      <c r="U47" s="43" t="s">
        <v>13</v>
      </c>
      <c r="V47" s="43"/>
      <c r="W47" s="43" t="s">
        <v>14</v>
      </c>
      <c r="X47" s="43"/>
      <c r="Y47" s="43" t="s">
        <v>15</v>
      </c>
      <c r="Z47" s="43"/>
      <c r="AA47" s="1"/>
      <c r="AB47" s="1"/>
      <c r="AC47" s="1"/>
      <c r="AD47" s="1"/>
      <c r="AE47" s="1"/>
      <c r="AF47" s="38"/>
    </row>
    <row r="48" spans="1:32" ht="15">
      <c r="A48" s="27"/>
      <c r="B48" s="1"/>
      <c r="C48" s="1"/>
      <c r="D48" s="1"/>
      <c r="E48" s="1"/>
      <c r="F48" s="1"/>
      <c r="G48" s="1"/>
      <c r="H48" s="1"/>
      <c r="I48" s="29"/>
      <c r="J48" s="1"/>
      <c r="K48" s="1"/>
      <c r="L48" s="36"/>
      <c r="M48" s="36"/>
      <c r="N48" s="36"/>
      <c r="O48" s="36"/>
      <c r="P48" s="36"/>
      <c r="Q48" s="36"/>
      <c r="R48" s="36"/>
      <c r="S48" s="36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38"/>
    </row>
    <row r="49" spans="1:35" s="52" customFormat="1" ht="15.75" thickBot="1">
      <c r="A49" s="46"/>
      <c r="B49" s="47"/>
      <c r="C49" s="47"/>
      <c r="D49" s="47"/>
      <c r="E49" s="47"/>
      <c r="F49" s="47"/>
      <c r="G49" s="47"/>
      <c r="H49" s="47"/>
      <c r="I49" s="48">
        <f>AVERAGE(B31:AF31)</f>
        <v>18.433343870893353</v>
      </c>
      <c r="J49" s="47"/>
      <c r="K49" s="47"/>
      <c r="L49" s="48">
        <f>MAX(B35:AF35)</f>
        <v>24.231145686014852</v>
      </c>
      <c r="M49" s="49"/>
      <c r="N49" s="49"/>
      <c r="O49" s="48">
        <f>MIN(B39:AF39)</f>
        <v>12.861853038390993</v>
      </c>
      <c r="P49" s="49"/>
      <c r="Q49" s="49"/>
      <c r="R49" s="48">
        <f>L49-O49</f>
        <v>11.369292647623858</v>
      </c>
      <c r="S49" s="49"/>
      <c r="T49" s="47"/>
      <c r="U49" s="48">
        <f>AVERAGE(B35:AF35)</f>
        <v>19.879564070798004</v>
      </c>
      <c r="V49" s="50"/>
      <c r="W49" s="48">
        <f>AVERAGE(B39:AF39)</f>
        <v>17.118986050214296</v>
      </c>
      <c r="X49" s="50"/>
      <c r="Y49" s="48">
        <f>U49-W49</f>
        <v>2.7605780205837078</v>
      </c>
      <c r="Z49" s="47"/>
      <c r="AA49" s="47"/>
      <c r="AB49" s="47"/>
      <c r="AC49" s="47"/>
      <c r="AD49" s="47"/>
      <c r="AE49" s="47"/>
      <c r="AF49" s="51"/>
    </row>
    <row r="50" spans="1:35" ht="13.5" thickTop="1">
      <c r="AI50" s="53"/>
    </row>
  </sheetData>
  <pageMargins left="0.78740157499999996" right="0.78740157499999996" top="0.984251969" bottom="0.984251969" header="0.49212598499999999" footer="0.49212598499999999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</vt:lpstr>
      <vt:lpstr>FEV</vt:lpstr>
      <vt:lpstr>MAR</vt:lpstr>
      <vt:lpstr>ABR</vt:lpstr>
      <vt:lpstr>MAI</vt:lpstr>
      <vt:lpstr>JUN</vt:lpstr>
      <vt:lpstr>JUL</vt:lpstr>
      <vt:lpstr>AGO</vt:lpstr>
      <vt:lpstr>SET</vt:lpstr>
      <vt:lpstr>OUT</vt:lpstr>
      <vt:lpstr>NOV</vt:lpstr>
      <vt:lpstr>DEZ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</dc:creator>
  <cp:lastModifiedBy>Emilia</cp:lastModifiedBy>
  <dcterms:created xsi:type="dcterms:W3CDTF">2026-03-11T01:21:23Z</dcterms:created>
  <dcterms:modified xsi:type="dcterms:W3CDTF">2026-03-11T01:21:44Z</dcterms:modified>
</cp:coreProperties>
</file>