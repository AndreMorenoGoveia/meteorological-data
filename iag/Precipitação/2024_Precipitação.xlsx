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50" windowWidth="19155" windowHeight="9285"/>
  </bookViews>
  <sheets>
    <sheet name="janeiro" sheetId="1" r:id="rId1"/>
    <sheet name="fevereiro" sheetId="2" r:id="rId2"/>
    <sheet name="marco" sheetId="3" r:id="rId3"/>
    <sheet name="abril" sheetId="4" r:id="rId4"/>
    <sheet name="maio" sheetId="5" r:id="rId5"/>
    <sheet name="junho" sheetId="6" r:id="rId6"/>
    <sheet name="julho" sheetId="7" r:id="rId7"/>
    <sheet name="agosto" sheetId="8" r:id="rId8"/>
    <sheet name="setembro" sheetId="9" r:id="rId9"/>
    <sheet name="outubro" sheetId="10" r:id="rId10"/>
    <sheet name="novembro" sheetId="11" r:id="rId11"/>
    <sheet name="dezembro" sheetId="12" r:id="rId12"/>
  </sheets>
  <externalReferences>
    <externalReference r:id="rId13"/>
  </externalReferences>
  <definedNames>
    <definedName name="_xlnm.Print_Area" localSheetId="3">abril!$A$1:$BB$48</definedName>
    <definedName name="_xlnm.Print_Area" localSheetId="7">agosto!$A$1:$BB$48</definedName>
    <definedName name="_xlnm.Print_Area" localSheetId="11">dezembro!$A$1:$BB$48</definedName>
    <definedName name="_xlnm.Print_Area" localSheetId="1">fevereiro!$A$1:$BB$48</definedName>
    <definedName name="_xlnm.Print_Area" localSheetId="0">janeiro!$A$1:$BB$49</definedName>
    <definedName name="_xlnm.Print_Area" localSheetId="6">julho!$A$1:$BB$48</definedName>
    <definedName name="_xlnm.Print_Area" localSheetId="5">junho!$A$1:$BB$48</definedName>
    <definedName name="_xlnm.Print_Area" localSheetId="4">maio!$A$1:$BB$49</definedName>
    <definedName name="_xlnm.Print_Area" localSheetId="2">marco!$A$1:$BB$48</definedName>
    <definedName name="_xlnm.Print_Area" localSheetId="10">novembro!$A$1:$BB$48</definedName>
    <definedName name="_xlnm.Print_Area" localSheetId="9">outubro!$A$1:$BB$48</definedName>
    <definedName name="_xlnm.Print_Area" localSheetId="8">setembro!$A$1:$BB$48</definedName>
  </definedNames>
  <calcPr calcId="125725"/>
</workbook>
</file>

<file path=xl/calcChain.xml><?xml version="1.0" encoding="utf-8"?>
<calcChain xmlns="http://schemas.openxmlformats.org/spreadsheetml/2006/main">
  <c r="AY46" i="12"/>
  <c r="AV45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H40"/>
  <c r="BG39" s="1"/>
  <c r="BI39"/>
  <c r="BE39"/>
  <c r="BD39"/>
  <c r="BB39"/>
  <c r="BA39"/>
  <c r="AZ39"/>
  <c r="AY39"/>
  <c r="BI38"/>
  <c r="BG38"/>
  <c r="BE38"/>
  <c r="BB38"/>
  <c r="BD38" s="1"/>
  <c r="BA38"/>
  <c r="AZ38"/>
  <c r="AY38"/>
  <c r="BI37"/>
  <c r="BG37"/>
  <c r="BE37"/>
  <c r="BD37"/>
  <c r="BB37"/>
  <c r="BA37"/>
  <c r="AZ37"/>
  <c r="AY37"/>
  <c r="BI36"/>
  <c r="BG36"/>
  <c r="BE36"/>
  <c r="BB36"/>
  <c r="BD36" s="1"/>
  <c r="BA36"/>
  <c r="AZ36"/>
  <c r="AY36"/>
  <c r="BI35"/>
  <c r="BG35"/>
  <c r="BE35"/>
  <c r="BD35"/>
  <c r="BB35"/>
  <c r="BA35"/>
  <c r="AZ35"/>
  <c r="AY35"/>
  <c r="BI34"/>
  <c r="BG34"/>
  <c r="BE34"/>
  <c r="BB34"/>
  <c r="BD34" s="1"/>
  <c r="BA34"/>
  <c r="AZ34"/>
  <c r="AY34"/>
  <c r="BI33"/>
  <c r="BG33"/>
  <c r="BE33"/>
  <c r="BD33"/>
  <c r="BB33"/>
  <c r="BA33"/>
  <c r="AZ33"/>
  <c r="AY33"/>
  <c r="BI32"/>
  <c r="BG32"/>
  <c r="BE32"/>
  <c r="BB32"/>
  <c r="BD32" s="1"/>
  <c r="BA32"/>
  <c r="AZ32"/>
  <c r="AY32"/>
  <c r="BI31"/>
  <c r="BG31"/>
  <c r="BE31"/>
  <c r="BD31"/>
  <c r="BB31"/>
  <c r="BA31"/>
  <c r="AZ31"/>
  <c r="AY31"/>
  <c r="BI30"/>
  <c r="BG30"/>
  <c r="BE30"/>
  <c r="BB30"/>
  <c r="BD30" s="1"/>
  <c r="BA30"/>
  <c r="AZ30"/>
  <c r="AY30"/>
  <c r="BI29"/>
  <c r="BG29"/>
  <c r="BE29"/>
  <c r="BD29"/>
  <c r="BB29"/>
  <c r="BA29"/>
  <c r="AZ29"/>
  <c r="AY29"/>
  <c r="BI28"/>
  <c r="BG28"/>
  <c r="BE28"/>
  <c r="BB28"/>
  <c r="BD28" s="1"/>
  <c r="BA28"/>
  <c r="AZ28"/>
  <c r="AY28"/>
  <c r="BI27"/>
  <c r="BG27"/>
  <c r="BE27"/>
  <c r="BD27"/>
  <c r="BB27"/>
  <c r="BA27"/>
  <c r="AZ27"/>
  <c r="AY27"/>
  <c r="BI26"/>
  <c r="BG26"/>
  <c r="BE26"/>
  <c r="BB26"/>
  <c r="BD26" s="1"/>
  <c r="BA26"/>
  <c r="AZ26"/>
  <c r="AY26"/>
  <c r="BI25"/>
  <c r="BG25"/>
  <c r="BE25"/>
  <c r="BD25"/>
  <c r="BB25"/>
  <c r="BA25"/>
  <c r="AZ25"/>
  <c r="AY25"/>
  <c r="BI24"/>
  <c r="BG24"/>
  <c r="BE24"/>
  <c r="BB24"/>
  <c r="BD24" s="1"/>
  <c r="BA24"/>
  <c r="AZ24"/>
  <c r="AY24"/>
  <c r="BI23"/>
  <c r="BG23"/>
  <c r="BE23"/>
  <c r="BD23"/>
  <c r="BB23"/>
  <c r="BA23"/>
  <c r="AZ23"/>
  <c r="AY23"/>
  <c r="BI22"/>
  <c r="BG22"/>
  <c r="BE22"/>
  <c r="BB22"/>
  <c r="BD22" s="1"/>
  <c r="BA22"/>
  <c r="AZ22"/>
  <c r="AY22"/>
  <c r="BI21"/>
  <c r="BG21"/>
  <c r="BE21"/>
  <c r="BD21"/>
  <c r="BB21"/>
  <c r="BA21"/>
  <c r="AZ21"/>
  <c r="AY21"/>
  <c r="BI20"/>
  <c r="BG20"/>
  <c r="BE20"/>
  <c r="BG19" s="1"/>
  <c r="BB20"/>
  <c r="BD20" s="1"/>
  <c r="BA20"/>
  <c r="AZ20"/>
  <c r="AY20"/>
  <c r="BI19"/>
  <c r="BE19"/>
  <c r="BD19"/>
  <c r="BB19"/>
  <c r="BA19"/>
  <c r="AZ19"/>
  <c r="AY19"/>
  <c r="BI18"/>
  <c r="BG18"/>
  <c r="BE18"/>
  <c r="BG17" s="1"/>
  <c r="BB18"/>
  <c r="BD18" s="1"/>
  <c r="BA18"/>
  <c r="AZ18"/>
  <c r="AY18"/>
  <c r="BI17"/>
  <c r="BE17"/>
  <c r="BD17"/>
  <c r="BB17"/>
  <c r="BA17"/>
  <c r="AZ17"/>
  <c r="AY17"/>
  <c r="BI16"/>
  <c r="BG16"/>
  <c r="BE16"/>
  <c r="BG15" s="1"/>
  <c r="BB16"/>
  <c r="BD16" s="1"/>
  <c r="BA16"/>
  <c r="AZ16"/>
  <c r="AY16"/>
  <c r="BI15"/>
  <c r="BE15"/>
  <c r="BG14" s="1"/>
  <c r="BD15"/>
  <c r="BB15"/>
  <c r="BA15"/>
  <c r="AZ15"/>
  <c r="AY15"/>
  <c r="BI14"/>
  <c r="BE14"/>
  <c r="BG13" s="1"/>
  <c r="BB14"/>
  <c r="BD14" s="1"/>
  <c r="BA14"/>
  <c r="AZ14"/>
  <c r="AY14"/>
  <c r="BI13"/>
  <c r="BE13"/>
  <c r="BG12" s="1"/>
  <c r="BD13"/>
  <c r="BB13"/>
  <c r="BA13"/>
  <c r="AZ13"/>
  <c r="AY13"/>
  <c r="BI12"/>
  <c r="BE12"/>
  <c r="BG11" s="1"/>
  <c r="BB12"/>
  <c r="BD12" s="1"/>
  <c r="BA12"/>
  <c r="AZ12"/>
  <c r="AY12"/>
  <c r="BI11"/>
  <c r="BE11"/>
  <c r="BG10" s="1"/>
  <c r="BB11"/>
  <c r="BD11" s="1"/>
  <c r="BA11"/>
  <c r="AZ11"/>
  <c r="AY11"/>
  <c r="BI10"/>
  <c r="BE10"/>
  <c r="BG9" s="1"/>
  <c r="BB10"/>
  <c r="BD10" s="1"/>
  <c r="BB48" s="1"/>
  <c r="BA10"/>
  <c r="BA44" s="1"/>
  <c r="AZ10"/>
  <c r="AY10"/>
  <c r="BI9"/>
  <c r="BD9"/>
  <c r="BB9"/>
  <c r="BB44" s="1"/>
  <c r="BA9"/>
  <c r="AZ9"/>
  <c r="AZ44" s="1"/>
  <c r="AY9"/>
  <c r="AY44" s="1"/>
  <c r="AY48" s="1"/>
  <c r="AY46" i="11"/>
  <c r="AV45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AZ44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H40"/>
  <c r="BE9" i="12" s="1"/>
  <c r="BI39" i="11"/>
  <c r="BI38"/>
  <c r="BG38"/>
  <c r="BE38"/>
  <c r="BG37" s="1"/>
  <c r="BB38"/>
  <c r="BD38" s="1"/>
  <c r="BA38"/>
  <c r="AZ38"/>
  <c r="AY38"/>
  <c r="BI37"/>
  <c r="BE37"/>
  <c r="BG36" s="1"/>
  <c r="BB37"/>
  <c r="BD37" s="1"/>
  <c r="BA37"/>
  <c r="AZ37"/>
  <c r="AY37"/>
  <c r="BI36"/>
  <c r="BE36"/>
  <c r="BG35" s="1"/>
  <c r="BB36"/>
  <c r="BD36" s="1"/>
  <c r="BA36"/>
  <c r="AZ36"/>
  <c r="AY36"/>
  <c r="BI35"/>
  <c r="BE35"/>
  <c r="BG34" s="1"/>
  <c r="BB35"/>
  <c r="BD35" s="1"/>
  <c r="BA35"/>
  <c r="AZ35"/>
  <c r="AY35"/>
  <c r="BI34"/>
  <c r="BE34"/>
  <c r="BG33" s="1"/>
  <c r="BB34"/>
  <c r="BD34" s="1"/>
  <c r="BA34"/>
  <c r="AZ34"/>
  <c r="AY34"/>
  <c r="BI33"/>
  <c r="BE33"/>
  <c r="BG32" s="1"/>
  <c r="BB33"/>
  <c r="BD33" s="1"/>
  <c r="BA33"/>
  <c r="AZ33"/>
  <c r="AY33"/>
  <c r="BI32"/>
  <c r="BE32"/>
  <c r="BG31" s="1"/>
  <c r="BB32"/>
  <c r="BD32" s="1"/>
  <c r="BA32"/>
  <c r="AZ32"/>
  <c r="AY32"/>
  <c r="BI31"/>
  <c r="BE31"/>
  <c r="BG30" s="1"/>
  <c r="BB31"/>
  <c r="BD31" s="1"/>
  <c r="BA31"/>
  <c r="AZ31"/>
  <c r="AY31"/>
  <c r="BI30"/>
  <c r="BE30"/>
  <c r="BG29" s="1"/>
  <c r="BB30"/>
  <c r="BD30" s="1"/>
  <c r="BA30"/>
  <c r="AZ30"/>
  <c r="AY30"/>
  <c r="BI29"/>
  <c r="BE29"/>
  <c r="BG28" s="1"/>
  <c r="BB29"/>
  <c r="BD29" s="1"/>
  <c r="BA29"/>
  <c r="AZ29"/>
  <c r="AY29"/>
  <c r="BI28"/>
  <c r="BE28"/>
  <c r="BG27" s="1"/>
  <c r="BB28"/>
  <c r="BD28" s="1"/>
  <c r="BA28"/>
  <c r="AZ28"/>
  <c r="AY28"/>
  <c r="BI27"/>
  <c r="BE27"/>
  <c r="BG26" s="1"/>
  <c r="BB27"/>
  <c r="BD27" s="1"/>
  <c r="BA27"/>
  <c r="AZ27"/>
  <c r="AY27"/>
  <c r="BI26"/>
  <c r="BE26"/>
  <c r="BG25" s="1"/>
  <c r="BB26"/>
  <c r="BD26" s="1"/>
  <c r="BA26"/>
  <c r="AZ26"/>
  <c r="AY26"/>
  <c r="BI25"/>
  <c r="BE25"/>
  <c r="BG24" s="1"/>
  <c r="BB25"/>
  <c r="BD25" s="1"/>
  <c r="BA25"/>
  <c r="AZ25"/>
  <c r="AY25"/>
  <c r="BI24"/>
  <c r="BE24"/>
  <c r="BG23" s="1"/>
  <c r="BB24"/>
  <c r="BD24" s="1"/>
  <c r="BA24"/>
  <c r="AZ24"/>
  <c r="AY24"/>
  <c r="BI23"/>
  <c r="BE23"/>
  <c r="BG22" s="1"/>
  <c r="BB23"/>
  <c r="BD23" s="1"/>
  <c r="BA23"/>
  <c r="AZ23"/>
  <c r="AY23"/>
  <c r="BI22"/>
  <c r="BE22"/>
  <c r="BG21" s="1"/>
  <c r="BB22"/>
  <c r="BD22" s="1"/>
  <c r="BA22"/>
  <c r="AZ22"/>
  <c r="AY22"/>
  <c r="BI21"/>
  <c r="BE21"/>
  <c r="BG20" s="1"/>
  <c r="BB21"/>
  <c r="BD21" s="1"/>
  <c r="BA21"/>
  <c r="AZ21"/>
  <c r="AY21"/>
  <c r="BI20"/>
  <c r="BE20"/>
  <c r="BG19" s="1"/>
  <c r="BB20"/>
  <c r="BD20" s="1"/>
  <c r="BA20"/>
  <c r="AZ20"/>
  <c r="AY20"/>
  <c r="BI19"/>
  <c r="BE19"/>
  <c r="BG18" s="1"/>
  <c r="BB19"/>
  <c r="BD19" s="1"/>
  <c r="BA19"/>
  <c r="AZ19"/>
  <c r="AY19"/>
  <c r="BI18"/>
  <c r="BE18"/>
  <c r="BG17" s="1"/>
  <c r="BB18"/>
  <c r="BD18" s="1"/>
  <c r="BA18"/>
  <c r="AZ18"/>
  <c r="AY18"/>
  <c r="BI17"/>
  <c r="BE17"/>
  <c r="BG16" s="1"/>
  <c r="BB17"/>
  <c r="BD17" s="1"/>
  <c r="BA17"/>
  <c r="AZ17"/>
  <c r="AY17"/>
  <c r="BI16"/>
  <c r="BE16"/>
  <c r="BG15" s="1"/>
  <c r="BB16"/>
  <c r="BD16" s="1"/>
  <c r="BA16"/>
  <c r="AZ16"/>
  <c r="AY16"/>
  <c r="BI15"/>
  <c r="BE15"/>
  <c r="BG14" s="1"/>
  <c r="BB15"/>
  <c r="BD15" s="1"/>
  <c r="BA15"/>
  <c r="AZ15"/>
  <c r="AY15"/>
  <c r="BI14"/>
  <c r="BE14"/>
  <c r="BG13" s="1"/>
  <c r="BB14"/>
  <c r="BD14" s="1"/>
  <c r="BA14"/>
  <c r="AZ14"/>
  <c r="AY14"/>
  <c r="BI13"/>
  <c r="BE13"/>
  <c r="BG12" s="1"/>
  <c r="BB13"/>
  <c r="BD13" s="1"/>
  <c r="BA13"/>
  <c r="AZ13"/>
  <c r="AY13"/>
  <c r="BI12"/>
  <c r="BE12"/>
  <c r="BG11" s="1"/>
  <c r="BB12"/>
  <c r="BD12" s="1"/>
  <c r="BA12"/>
  <c r="AZ12"/>
  <c r="AY12"/>
  <c r="BI11"/>
  <c r="BE11"/>
  <c r="BG10" s="1"/>
  <c r="BB11"/>
  <c r="BD11" s="1"/>
  <c r="BA11"/>
  <c r="AZ11"/>
  <c r="AY11"/>
  <c r="BI10"/>
  <c r="BE10"/>
  <c r="BG9" s="1"/>
  <c r="BB10"/>
  <c r="BD10" s="1"/>
  <c r="BA10"/>
  <c r="AZ10"/>
  <c r="AY10"/>
  <c r="BI9"/>
  <c r="BE9"/>
  <c r="BE40" s="1"/>
  <c r="BB9"/>
  <c r="BD9" s="1"/>
  <c r="BB48" s="1"/>
  <c r="BA9"/>
  <c r="BA44" s="1"/>
  <c r="AZ9"/>
  <c r="AY9"/>
  <c r="AY49" s="1"/>
  <c r="AV45" i="10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BB44"/>
  <c r="AZ44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H40"/>
  <c r="BG39" s="1"/>
  <c r="BI39"/>
  <c r="BE39"/>
  <c r="BG38" s="1"/>
  <c r="BD39"/>
  <c r="BB39"/>
  <c r="BA39"/>
  <c r="AZ39"/>
  <c r="AY39"/>
  <c r="BI38"/>
  <c r="BE38"/>
  <c r="BG37" s="1"/>
  <c r="BD38"/>
  <c r="BB38"/>
  <c r="BA38"/>
  <c r="AZ38"/>
  <c r="AY38"/>
  <c r="BI37"/>
  <c r="BE37"/>
  <c r="BG36" s="1"/>
  <c r="BD37"/>
  <c r="BB37"/>
  <c r="BA37"/>
  <c r="AZ37"/>
  <c r="AY37"/>
  <c r="BI36"/>
  <c r="BE36"/>
  <c r="BG35" s="1"/>
  <c r="BD36"/>
  <c r="BB36"/>
  <c r="BA36"/>
  <c r="AZ36"/>
  <c r="AY36"/>
  <c r="BI35"/>
  <c r="BE35"/>
  <c r="BG34" s="1"/>
  <c r="BD35"/>
  <c r="BB35"/>
  <c r="BA35"/>
  <c r="AZ35"/>
  <c r="AY35"/>
  <c r="BI34"/>
  <c r="BE34"/>
  <c r="BG33" s="1"/>
  <c r="BD34"/>
  <c r="BB34"/>
  <c r="BA34"/>
  <c r="AZ34"/>
  <c r="AY34"/>
  <c r="BI33"/>
  <c r="BE33"/>
  <c r="BG32" s="1"/>
  <c r="BD33"/>
  <c r="BB33"/>
  <c r="BA33"/>
  <c r="AZ33"/>
  <c r="AY33"/>
  <c r="BI32"/>
  <c r="BE32"/>
  <c r="BG31" s="1"/>
  <c r="BD32"/>
  <c r="BB32"/>
  <c r="BA32"/>
  <c r="AZ32"/>
  <c r="AY32"/>
  <c r="BI31"/>
  <c r="BE31"/>
  <c r="BG30" s="1"/>
  <c r="BD31"/>
  <c r="BB31"/>
  <c r="BA31"/>
  <c r="AZ31"/>
  <c r="AY31"/>
  <c r="BI30"/>
  <c r="BE30"/>
  <c r="BG29" s="1"/>
  <c r="BD30"/>
  <c r="BB30"/>
  <c r="BA30"/>
  <c r="AZ30"/>
  <c r="AY30"/>
  <c r="BI29"/>
  <c r="BE29"/>
  <c r="BG28" s="1"/>
  <c r="BD29"/>
  <c r="BB29"/>
  <c r="BA29"/>
  <c r="AZ29"/>
  <c r="AY29"/>
  <c r="BI28"/>
  <c r="BE28"/>
  <c r="BG27" s="1"/>
  <c r="BD28"/>
  <c r="BB28"/>
  <c r="BA28"/>
  <c r="AZ28"/>
  <c r="AY28"/>
  <c r="BI27"/>
  <c r="BE27"/>
  <c r="BG26" s="1"/>
  <c r="BD27"/>
  <c r="BB27"/>
  <c r="BA27"/>
  <c r="AZ27"/>
  <c r="AY27"/>
  <c r="BI26"/>
  <c r="BE26"/>
  <c r="BG25" s="1"/>
  <c r="BD26"/>
  <c r="BB26"/>
  <c r="BA26"/>
  <c r="AZ26"/>
  <c r="AY26"/>
  <c r="BI25"/>
  <c r="BE25"/>
  <c r="BG24" s="1"/>
  <c r="BD25"/>
  <c r="BB25"/>
  <c r="BA25"/>
  <c r="AZ25"/>
  <c r="AY25"/>
  <c r="BI24"/>
  <c r="BE24"/>
  <c r="BG23" s="1"/>
  <c r="BD24"/>
  <c r="BB24"/>
  <c r="BA24"/>
  <c r="AZ24"/>
  <c r="AY24"/>
  <c r="BI23"/>
  <c r="BE23"/>
  <c r="BG22" s="1"/>
  <c r="BD23"/>
  <c r="BB23"/>
  <c r="BA23"/>
  <c r="AZ23"/>
  <c r="AY23"/>
  <c r="BI22"/>
  <c r="BE22"/>
  <c r="BG21" s="1"/>
  <c r="BD22"/>
  <c r="BB22"/>
  <c r="BA22"/>
  <c r="AZ22"/>
  <c r="AY22"/>
  <c r="BI21"/>
  <c r="BE21"/>
  <c r="BG20" s="1"/>
  <c r="BD21"/>
  <c r="BB21"/>
  <c r="BA21"/>
  <c r="AZ21"/>
  <c r="AY21"/>
  <c r="BI20"/>
  <c r="BE20"/>
  <c r="BG19" s="1"/>
  <c r="BD20"/>
  <c r="BB20"/>
  <c r="BA20"/>
  <c r="AZ20"/>
  <c r="AY20"/>
  <c r="BI19"/>
  <c r="BE19"/>
  <c r="BG18" s="1"/>
  <c r="BD19"/>
  <c r="BB19"/>
  <c r="BA19"/>
  <c r="AZ19"/>
  <c r="AY19"/>
  <c r="BI18"/>
  <c r="BE18"/>
  <c r="BG17" s="1"/>
  <c r="BD18"/>
  <c r="BB18"/>
  <c r="BA18"/>
  <c r="AZ18"/>
  <c r="AY18"/>
  <c r="BI17"/>
  <c r="BE17"/>
  <c r="BG16" s="1"/>
  <c r="BD17"/>
  <c r="BB17"/>
  <c r="BA17"/>
  <c r="AZ17"/>
  <c r="AY17"/>
  <c r="BI16"/>
  <c r="BE16"/>
  <c r="BG15" s="1"/>
  <c r="BD16"/>
  <c r="BB16"/>
  <c r="BA16"/>
  <c r="AZ16"/>
  <c r="AY16"/>
  <c r="BI15"/>
  <c r="BE15"/>
  <c r="BG14" s="1"/>
  <c r="BD15"/>
  <c r="BB15"/>
  <c r="BA15"/>
  <c r="AZ15"/>
  <c r="AY15"/>
  <c r="BI14"/>
  <c r="BE14"/>
  <c r="BG13" s="1"/>
  <c r="BD14"/>
  <c r="BB14"/>
  <c r="BA14"/>
  <c r="AZ14"/>
  <c r="AY14"/>
  <c r="BI13"/>
  <c r="BE13"/>
  <c r="BG12" s="1"/>
  <c r="BD13"/>
  <c r="BB13"/>
  <c r="BA13"/>
  <c r="AZ13"/>
  <c r="AY13"/>
  <c r="BI12"/>
  <c r="BE12"/>
  <c r="BG11" s="1"/>
  <c r="BD12"/>
  <c r="BB12"/>
  <c r="BA12"/>
  <c r="AZ12"/>
  <c r="AY12"/>
  <c r="BI11"/>
  <c r="BE11"/>
  <c r="BG10" s="1"/>
  <c r="BD11"/>
  <c r="BB11"/>
  <c r="BA11"/>
  <c r="AZ11"/>
  <c r="AY11"/>
  <c r="BI10"/>
  <c r="BE10"/>
  <c r="BG9" s="1"/>
  <c r="BD10"/>
  <c r="BB10"/>
  <c r="BA10"/>
  <c r="AZ10"/>
  <c r="AY10"/>
  <c r="BI9"/>
  <c r="BD9"/>
  <c r="BB48" s="1"/>
  <c r="BB9"/>
  <c r="BA9"/>
  <c r="BA44" s="1"/>
  <c r="AZ9"/>
  <c r="AY9"/>
  <c r="AY44" s="1"/>
  <c r="AY48" s="1"/>
  <c r="AY46" i="9"/>
  <c r="AV45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H40"/>
  <c r="BE9" i="10" s="1"/>
  <c r="BI38" i="9"/>
  <c r="BG38"/>
  <c r="BE38"/>
  <c r="BG37" s="1"/>
  <c r="BB38"/>
  <c r="BD38" s="1"/>
  <c r="BA38"/>
  <c r="AZ38"/>
  <c r="AY38"/>
  <c r="BI37"/>
  <c r="BE37"/>
  <c r="BB37"/>
  <c r="BD37" s="1"/>
  <c r="BA37"/>
  <c r="AZ37"/>
  <c r="AY37"/>
  <c r="BI36"/>
  <c r="BG36"/>
  <c r="BE36"/>
  <c r="BG35" s="1"/>
  <c r="BB36"/>
  <c r="BD36" s="1"/>
  <c r="BA36"/>
  <c r="AZ36"/>
  <c r="AY36"/>
  <c r="BI35"/>
  <c r="BE35"/>
  <c r="BB35"/>
  <c r="BD35" s="1"/>
  <c r="BA35"/>
  <c r="AZ35"/>
  <c r="AY35"/>
  <c r="BI34"/>
  <c r="BG34"/>
  <c r="BE34"/>
  <c r="BG33" s="1"/>
  <c r="BB34"/>
  <c r="BD34" s="1"/>
  <c r="BA34"/>
  <c r="AZ34"/>
  <c r="AY34"/>
  <c r="BI33"/>
  <c r="BE33"/>
  <c r="BB33"/>
  <c r="BD33" s="1"/>
  <c r="BA33"/>
  <c r="AZ33"/>
  <c r="AY33"/>
  <c r="BI32"/>
  <c r="BG32"/>
  <c r="BE32"/>
  <c r="BG31" s="1"/>
  <c r="BB32"/>
  <c r="BD32" s="1"/>
  <c r="BA32"/>
  <c r="AZ32"/>
  <c r="AY32"/>
  <c r="BI31"/>
  <c r="BE31"/>
  <c r="BB31"/>
  <c r="BD31" s="1"/>
  <c r="BA31"/>
  <c r="AZ31"/>
  <c r="AY31"/>
  <c r="BI30"/>
  <c r="BG30"/>
  <c r="BE30"/>
  <c r="BG29" s="1"/>
  <c r="BB30"/>
  <c r="BD30" s="1"/>
  <c r="BA30"/>
  <c r="AZ30"/>
  <c r="AY30"/>
  <c r="BI29"/>
  <c r="BE29"/>
  <c r="BB29"/>
  <c r="BD29" s="1"/>
  <c r="BA29"/>
  <c r="AZ29"/>
  <c r="AY29"/>
  <c r="BI28"/>
  <c r="BG28"/>
  <c r="BE28"/>
  <c r="BG27" s="1"/>
  <c r="BB28"/>
  <c r="BD28" s="1"/>
  <c r="BA28"/>
  <c r="AZ28"/>
  <c r="AY28"/>
  <c r="BI27"/>
  <c r="BE27"/>
  <c r="BB27"/>
  <c r="BD27" s="1"/>
  <c r="BA27"/>
  <c r="AZ27"/>
  <c r="AY27"/>
  <c r="BI26"/>
  <c r="BG26"/>
  <c r="BE26"/>
  <c r="BG25" s="1"/>
  <c r="BB26"/>
  <c r="BD26" s="1"/>
  <c r="BA26"/>
  <c r="AZ26"/>
  <c r="AY26"/>
  <c r="BI25"/>
  <c r="BE25"/>
  <c r="BB25"/>
  <c r="BD25" s="1"/>
  <c r="BA25"/>
  <c r="AZ25"/>
  <c r="AY25"/>
  <c r="BI24"/>
  <c r="BG24"/>
  <c r="BE24"/>
  <c r="BG23" s="1"/>
  <c r="BB24"/>
  <c r="BD24" s="1"/>
  <c r="BA24"/>
  <c r="AZ24"/>
  <c r="AY24"/>
  <c r="BI23"/>
  <c r="BE23"/>
  <c r="BB23"/>
  <c r="BD23" s="1"/>
  <c r="BA23"/>
  <c r="AZ23"/>
  <c r="AY23"/>
  <c r="BI22"/>
  <c r="BG22"/>
  <c r="BE22"/>
  <c r="BG21" s="1"/>
  <c r="BB22"/>
  <c r="BD22" s="1"/>
  <c r="BA22"/>
  <c r="AZ22"/>
  <c r="AY22"/>
  <c r="BI21"/>
  <c r="BE21"/>
  <c r="BB21"/>
  <c r="BD21" s="1"/>
  <c r="BA21"/>
  <c r="AZ21"/>
  <c r="AY21"/>
  <c r="BI20"/>
  <c r="BG20"/>
  <c r="BE20"/>
  <c r="BG19" s="1"/>
  <c r="BB20"/>
  <c r="BD20" s="1"/>
  <c r="BA20"/>
  <c r="AZ20"/>
  <c r="AY20"/>
  <c r="BI19"/>
  <c r="BE19"/>
  <c r="BB19"/>
  <c r="BD19" s="1"/>
  <c r="BA19"/>
  <c r="AZ19"/>
  <c r="AY19"/>
  <c r="BI18"/>
  <c r="BG18"/>
  <c r="BE18"/>
  <c r="BG17" s="1"/>
  <c r="BB18"/>
  <c r="BD18" s="1"/>
  <c r="BA18"/>
  <c r="AZ18"/>
  <c r="AY18"/>
  <c r="BI17"/>
  <c r="BE17"/>
  <c r="BB17"/>
  <c r="BD17" s="1"/>
  <c r="BA17"/>
  <c r="AZ17"/>
  <c r="AY17"/>
  <c r="BI16"/>
  <c r="BG16"/>
  <c r="BE16"/>
  <c r="BG15" s="1"/>
  <c r="BB16"/>
  <c r="BD16" s="1"/>
  <c r="BA16"/>
  <c r="AZ16"/>
  <c r="AY16"/>
  <c r="BI15"/>
  <c r="BE15"/>
  <c r="BB15"/>
  <c r="BD15" s="1"/>
  <c r="BA15"/>
  <c r="AZ15"/>
  <c r="AY15"/>
  <c r="BI14"/>
  <c r="BG14"/>
  <c r="BE14"/>
  <c r="BG13" s="1"/>
  <c r="BB14"/>
  <c r="BD14" s="1"/>
  <c r="BA14"/>
  <c r="AZ14"/>
  <c r="AY14"/>
  <c r="BI13"/>
  <c r="BE13"/>
  <c r="BB13"/>
  <c r="BD13" s="1"/>
  <c r="BA13"/>
  <c r="AZ13"/>
  <c r="AY13"/>
  <c r="BI12"/>
  <c r="BG12"/>
  <c r="BE12"/>
  <c r="BG11" s="1"/>
  <c r="BB12"/>
  <c r="BD12" s="1"/>
  <c r="BA12"/>
  <c r="AZ12"/>
  <c r="AY12"/>
  <c r="BI11"/>
  <c r="BE11"/>
  <c r="BB11"/>
  <c r="BD11" s="1"/>
  <c r="BA11"/>
  <c r="AZ11"/>
  <c r="AY11"/>
  <c r="BI10"/>
  <c r="BG10"/>
  <c r="BE10"/>
  <c r="BG9" s="1"/>
  <c r="BB10"/>
  <c r="BD10" s="1"/>
  <c r="BA10"/>
  <c r="AZ10"/>
  <c r="AY10"/>
  <c r="BI9"/>
  <c r="BB9"/>
  <c r="BD9" s="1"/>
  <c r="BA9"/>
  <c r="BA44" s="1"/>
  <c r="AZ9"/>
  <c r="AZ44" s="1"/>
  <c r="AY9"/>
  <c r="AY44" s="1"/>
  <c r="AY48" s="1"/>
  <c r="AY46" i="8"/>
  <c r="AV45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BA44"/>
  <c r="AY44"/>
  <c r="AY48" s="1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H40"/>
  <c r="BE9" i="9" s="1"/>
  <c r="BI39" i="8"/>
  <c r="BG39"/>
  <c r="BE39"/>
  <c r="BD39"/>
  <c r="BB39"/>
  <c r="BA39"/>
  <c r="AZ39"/>
  <c r="AY39"/>
  <c r="BI38"/>
  <c r="BG38"/>
  <c r="BE38"/>
  <c r="BD38"/>
  <c r="BB38"/>
  <c r="BA38"/>
  <c r="AZ38"/>
  <c r="AY38"/>
  <c r="BI37"/>
  <c r="BG37"/>
  <c r="BE37"/>
  <c r="BD37"/>
  <c r="BB37"/>
  <c r="BA37"/>
  <c r="AZ37"/>
  <c r="AY37"/>
  <c r="BI36"/>
  <c r="BG36"/>
  <c r="BE36"/>
  <c r="BD36"/>
  <c r="BB36"/>
  <c r="BA36"/>
  <c r="AZ36"/>
  <c r="AY36"/>
  <c r="BI35"/>
  <c r="BG35"/>
  <c r="BE35"/>
  <c r="BD35"/>
  <c r="BB35"/>
  <c r="BA35"/>
  <c r="AZ35"/>
  <c r="AY35"/>
  <c r="BI34"/>
  <c r="BG34"/>
  <c r="BE34"/>
  <c r="BD34"/>
  <c r="BB34"/>
  <c r="BA34"/>
  <c r="AZ34"/>
  <c r="AY34"/>
  <c r="BI33"/>
  <c r="BG33"/>
  <c r="BE33"/>
  <c r="BD33"/>
  <c r="BB33"/>
  <c r="BA33"/>
  <c r="AZ33"/>
  <c r="AY33"/>
  <c r="BI32"/>
  <c r="BG32"/>
  <c r="BE32"/>
  <c r="BD32"/>
  <c r="BB32"/>
  <c r="BA32"/>
  <c r="AZ32"/>
  <c r="AY32"/>
  <c r="BI31"/>
  <c r="BG31"/>
  <c r="BE31"/>
  <c r="BD31"/>
  <c r="BB31"/>
  <c r="BA31"/>
  <c r="AZ31"/>
  <c r="AY31"/>
  <c r="BI30"/>
  <c r="BG30"/>
  <c r="BE30"/>
  <c r="BD30"/>
  <c r="BB30"/>
  <c r="BA30"/>
  <c r="AZ30"/>
  <c r="AY30"/>
  <c r="BI29"/>
  <c r="BG29"/>
  <c r="BE29"/>
  <c r="BD29"/>
  <c r="BB29"/>
  <c r="BA29"/>
  <c r="AZ29"/>
  <c r="AY29"/>
  <c r="BI28"/>
  <c r="BG28"/>
  <c r="BE28"/>
  <c r="BD28"/>
  <c r="BB28"/>
  <c r="BA28"/>
  <c r="AZ28"/>
  <c r="AY28"/>
  <c r="BI27"/>
  <c r="BG27"/>
  <c r="BE27"/>
  <c r="BD27"/>
  <c r="BB27"/>
  <c r="BA27"/>
  <c r="AZ27"/>
  <c r="AY27"/>
  <c r="BI26"/>
  <c r="BG26"/>
  <c r="BE26"/>
  <c r="BD26"/>
  <c r="BB26"/>
  <c r="BA26"/>
  <c r="AZ26"/>
  <c r="AY26"/>
  <c r="BI25"/>
  <c r="BG25"/>
  <c r="BE25"/>
  <c r="BD25"/>
  <c r="BB25"/>
  <c r="BA25"/>
  <c r="AZ25"/>
  <c r="AY25"/>
  <c r="BI24"/>
  <c r="BG24"/>
  <c r="BE24"/>
  <c r="BD24"/>
  <c r="BB24"/>
  <c r="BA24"/>
  <c r="AZ24"/>
  <c r="AY24"/>
  <c r="BI23"/>
  <c r="BG23"/>
  <c r="BE23"/>
  <c r="BD23"/>
  <c r="BB23"/>
  <c r="BA23"/>
  <c r="AZ23"/>
  <c r="AY23"/>
  <c r="BI22"/>
  <c r="BG22"/>
  <c r="BE22"/>
  <c r="BD22"/>
  <c r="BB22"/>
  <c r="BA22"/>
  <c r="AZ22"/>
  <c r="AY22"/>
  <c r="BI21"/>
  <c r="BG21"/>
  <c r="BE21"/>
  <c r="BD21"/>
  <c r="BB21"/>
  <c r="BA21"/>
  <c r="AZ21"/>
  <c r="AY21"/>
  <c r="BI20"/>
  <c r="BG20"/>
  <c r="BE20"/>
  <c r="BD20"/>
  <c r="BB20"/>
  <c r="BA20"/>
  <c r="AZ20"/>
  <c r="AY20"/>
  <c r="BI19"/>
  <c r="BG19"/>
  <c r="BE19"/>
  <c r="BD19"/>
  <c r="BB19"/>
  <c r="BA19"/>
  <c r="AZ19"/>
  <c r="AY19"/>
  <c r="BI18"/>
  <c r="BG18"/>
  <c r="BE18"/>
  <c r="BD18"/>
  <c r="BB18"/>
  <c r="BA18"/>
  <c r="AZ18"/>
  <c r="AY18"/>
  <c r="BI17"/>
  <c r="BG17"/>
  <c r="BE17"/>
  <c r="BD17"/>
  <c r="BB17"/>
  <c r="BA17"/>
  <c r="AZ17"/>
  <c r="AY17"/>
  <c r="BI16"/>
  <c r="BG16"/>
  <c r="BE16"/>
  <c r="BD16"/>
  <c r="BB16"/>
  <c r="BA16"/>
  <c r="AZ16"/>
  <c r="AY16"/>
  <c r="BI15"/>
  <c r="BG15"/>
  <c r="BE15"/>
  <c r="BD15"/>
  <c r="BB15"/>
  <c r="BA15"/>
  <c r="AZ15"/>
  <c r="AY15"/>
  <c r="BI14"/>
  <c r="BG14"/>
  <c r="BE14"/>
  <c r="BD14"/>
  <c r="BB14"/>
  <c r="BA14"/>
  <c r="AZ14"/>
  <c r="AY14"/>
  <c r="BI13"/>
  <c r="BG13"/>
  <c r="BE13"/>
  <c r="BD13"/>
  <c r="BB13"/>
  <c r="BA13"/>
  <c r="AZ13"/>
  <c r="AY13"/>
  <c r="BI12"/>
  <c r="BG12"/>
  <c r="BE12"/>
  <c r="BB12"/>
  <c r="BD12" s="1"/>
  <c r="BA12"/>
  <c r="AZ12"/>
  <c r="AY12"/>
  <c r="BI11"/>
  <c r="BG11"/>
  <c r="BE11"/>
  <c r="BD11"/>
  <c r="BB11"/>
  <c r="BA11"/>
  <c r="AZ11"/>
  <c r="AY11"/>
  <c r="BI10"/>
  <c r="BG10"/>
  <c r="BE10"/>
  <c r="BB10"/>
  <c r="BD10" s="1"/>
  <c r="BA10"/>
  <c r="AZ10"/>
  <c r="AY10"/>
  <c r="BI9"/>
  <c r="BG9"/>
  <c r="BD9"/>
  <c r="BB9"/>
  <c r="BB44" s="1"/>
  <c r="BA9"/>
  <c r="AZ9"/>
  <c r="AZ44" s="1"/>
  <c r="AY9"/>
  <c r="AY46" i="7"/>
  <c r="AV45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BA44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H40"/>
  <c r="BE9" i="8" s="1"/>
  <c r="BI39" i="7"/>
  <c r="BG39"/>
  <c r="BE39"/>
  <c r="BD39"/>
  <c r="BB39"/>
  <c r="BA39"/>
  <c r="AZ39"/>
  <c r="AY39"/>
  <c r="BI38"/>
  <c r="BG38"/>
  <c r="BE38"/>
  <c r="BB38"/>
  <c r="BD38" s="1"/>
  <c r="BA38"/>
  <c r="AZ38"/>
  <c r="AY38"/>
  <c r="BI37"/>
  <c r="BG37"/>
  <c r="BE37"/>
  <c r="BD37"/>
  <c r="BB37"/>
  <c r="BA37"/>
  <c r="AZ37"/>
  <c r="AY37"/>
  <c r="BI36"/>
  <c r="BG36"/>
  <c r="BE36"/>
  <c r="BB36"/>
  <c r="BD36" s="1"/>
  <c r="BA36"/>
  <c r="AZ36"/>
  <c r="AY36"/>
  <c r="BI35"/>
  <c r="BG35"/>
  <c r="BE35"/>
  <c r="BD35"/>
  <c r="BB35"/>
  <c r="BA35"/>
  <c r="AZ35"/>
  <c r="AY35"/>
  <c r="BI34"/>
  <c r="BG34"/>
  <c r="BE34"/>
  <c r="BB34"/>
  <c r="BD34" s="1"/>
  <c r="BA34"/>
  <c r="AZ34"/>
  <c r="AY34"/>
  <c r="BI33"/>
  <c r="BG33"/>
  <c r="BE33"/>
  <c r="BD33"/>
  <c r="BB33"/>
  <c r="BA33"/>
  <c r="AZ33"/>
  <c r="AY33"/>
  <c r="BI32"/>
  <c r="BG32"/>
  <c r="BE32"/>
  <c r="BB32"/>
  <c r="BD32" s="1"/>
  <c r="BA32"/>
  <c r="AZ32"/>
  <c r="AY32"/>
  <c r="BI31"/>
  <c r="BG31"/>
  <c r="BE31"/>
  <c r="BD31"/>
  <c r="BB31"/>
  <c r="BA31"/>
  <c r="AZ31"/>
  <c r="AY31"/>
  <c r="BI30"/>
  <c r="BG30"/>
  <c r="BE30"/>
  <c r="BB30"/>
  <c r="BD30" s="1"/>
  <c r="BA30"/>
  <c r="AZ30"/>
  <c r="AY30"/>
  <c r="BI29"/>
  <c r="BG29"/>
  <c r="BE29"/>
  <c r="BD29"/>
  <c r="BB29"/>
  <c r="BA29"/>
  <c r="AZ29"/>
  <c r="AY29"/>
  <c r="BI28"/>
  <c r="BG28"/>
  <c r="BE28"/>
  <c r="BB28"/>
  <c r="BD28" s="1"/>
  <c r="BA28"/>
  <c r="AZ28"/>
  <c r="AY28"/>
  <c r="BI27"/>
  <c r="BG27"/>
  <c r="BE27"/>
  <c r="BD27"/>
  <c r="BB27"/>
  <c r="BA27"/>
  <c r="AZ27"/>
  <c r="AY27"/>
  <c r="BI26"/>
  <c r="BG26"/>
  <c r="BE26"/>
  <c r="BB26"/>
  <c r="BD26" s="1"/>
  <c r="BA26"/>
  <c r="AZ26"/>
  <c r="AY26"/>
  <c r="BI25"/>
  <c r="BG25"/>
  <c r="BE25"/>
  <c r="BD25"/>
  <c r="BB25"/>
  <c r="BA25"/>
  <c r="AZ25"/>
  <c r="AY25"/>
  <c r="BI24"/>
  <c r="BG24"/>
  <c r="BE24"/>
  <c r="BB24"/>
  <c r="BD24" s="1"/>
  <c r="BA24"/>
  <c r="AZ24"/>
  <c r="AY24"/>
  <c r="BI23"/>
  <c r="BG23"/>
  <c r="BE23"/>
  <c r="BD23"/>
  <c r="BB23"/>
  <c r="BA23"/>
  <c r="AZ23"/>
  <c r="AY23"/>
  <c r="BI22"/>
  <c r="BG22"/>
  <c r="BE22"/>
  <c r="BB22"/>
  <c r="BD22" s="1"/>
  <c r="BA22"/>
  <c r="AZ22"/>
  <c r="AY22"/>
  <c r="BI21"/>
  <c r="BG21"/>
  <c r="BE21"/>
  <c r="BD21"/>
  <c r="BB21"/>
  <c r="BA21"/>
  <c r="AZ21"/>
  <c r="AY21"/>
  <c r="BI20"/>
  <c r="BG20"/>
  <c r="BE20"/>
  <c r="BB20"/>
  <c r="BD20" s="1"/>
  <c r="BA20"/>
  <c r="AZ20"/>
  <c r="AY20"/>
  <c r="BI19"/>
  <c r="BG19"/>
  <c r="BE19"/>
  <c r="BD19"/>
  <c r="BB19"/>
  <c r="BA19"/>
  <c r="AZ19"/>
  <c r="AY19"/>
  <c r="BI18"/>
  <c r="BG18"/>
  <c r="BE18"/>
  <c r="BB18"/>
  <c r="BD18" s="1"/>
  <c r="BA18"/>
  <c r="AZ18"/>
  <c r="AY18"/>
  <c r="BI17"/>
  <c r="BG17"/>
  <c r="BE17"/>
  <c r="BD17"/>
  <c r="BB17"/>
  <c r="BA17"/>
  <c r="AZ17"/>
  <c r="AY17"/>
  <c r="BI16"/>
  <c r="BG16"/>
  <c r="BE16"/>
  <c r="BB16"/>
  <c r="BD16" s="1"/>
  <c r="BA16"/>
  <c r="AZ16"/>
  <c r="AY16"/>
  <c r="BI15"/>
  <c r="BG15"/>
  <c r="BE15"/>
  <c r="BD15"/>
  <c r="BB15"/>
  <c r="BA15"/>
  <c r="AZ15"/>
  <c r="AY15"/>
  <c r="BI14"/>
  <c r="BG14"/>
  <c r="BE14"/>
  <c r="BB14"/>
  <c r="BD14" s="1"/>
  <c r="BA14"/>
  <c r="AZ14"/>
  <c r="AY14"/>
  <c r="BI13"/>
  <c r="BG13"/>
  <c r="BE13"/>
  <c r="BD13"/>
  <c r="BB13"/>
  <c r="BA13"/>
  <c r="AZ13"/>
  <c r="AY13"/>
  <c r="BI12"/>
  <c r="BG12"/>
  <c r="BE12"/>
  <c r="BB12"/>
  <c r="BD12" s="1"/>
  <c r="BA12"/>
  <c r="AZ12"/>
  <c r="AY12"/>
  <c r="BI11"/>
  <c r="BG11"/>
  <c r="BE11"/>
  <c r="BD11"/>
  <c r="BB11"/>
  <c r="BA11"/>
  <c r="AZ11"/>
  <c r="AY11"/>
  <c r="BI10"/>
  <c r="BG10"/>
  <c r="BE10"/>
  <c r="BB10"/>
  <c r="BD10" s="1"/>
  <c r="BA10"/>
  <c r="AZ10"/>
  <c r="AY10"/>
  <c r="BI9"/>
  <c r="BG9"/>
  <c r="BD9"/>
  <c r="BB9"/>
  <c r="BB44" s="1"/>
  <c r="BA9"/>
  <c r="AZ9"/>
  <c r="AZ44" s="1"/>
  <c r="AY9"/>
  <c r="AY44" s="1"/>
  <c r="AY48" s="1"/>
  <c r="AY46" i="6"/>
  <c r="AV45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H40"/>
  <c r="BE9" i="7" s="1"/>
  <c r="BI38" i="6"/>
  <c r="BF38"/>
  <c r="BE38"/>
  <c r="BG37" s="1"/>
  <c r="BB38"/>
  <c r="BD38" s="1"/>
  <c r="BA38"/>
  <c r="AZ38"/>
  <c r="AY38"/>
  <c r="BI37"/>
  <c r="BF37"/>
  <c r="BE37"/>
  <c r="BB37"/>
  <c r="BD37" s="1"/>
  <c r="BA37"/>
  <c r="AZ37"/>
  <c r="AY37"/>
  <c r="BI36"/>
  <c r="BG36"/>
  <c r="BF36"/>
  <c r="BE36"/>
  <c r="BG35" s="1"/>
  <c r="BD36"/>
  <c r="BB36"/>
  <c r="BA36"/>
  <c r="AZ36"/>
  <c r="AY36"/>
  <c r="BI35"/>
  <c r="BF35"/>
  <c r="BE35"/>
  <c r="BD35"/>
  <c r="BB35"/>
  <c r="BA35"/>
  <c r="AZ35"/>
  <c r="AY35"/>
  <c r="BI34"/>
  <c r="BG34"/>
  <c r="BF34"/>
  <c r="BE34"/>
  <c r="BD34"/>
  <c r="BB34"/>
  <c r="BA34"/>
  <c r="AZ34"/>
  <c r="AY34"/>
  <c r="BI33"/>
  <c r="BG33"/>
  <c r="BF33"/>
  <c r="BE33"/>
  <c r="BB33"/>
  <c r="BD33" s="1"/>
  <c r="BA33"/>
  <c r="AZ33"/>
  <c r="AY33"/>
  <c r="BI32"/>
  <c r="BG32"/>
  <c r="BF32"/>
  <c r="BE32"/>
  <c r="BG31" s="1"/>
  <c r="BB32"/>
  <c r="BD32" s="1"/>
  <c r="BA32"/>
  <c r="AZ32"/>
  <c r="AY32"/>
  <c r="BI31"/>
  <c r="BF31"/>
  <c r="BE31"/>
  <c r="BD31"/>
  <c r="BB31"/>
  <c r="BA31"/>
  <c r="AZ31"/>
  <c r="AY31"/>
  <c r="BI30"/>
  <c r="BG30"/>
  <c r="BF30"/>
  <c r="BE30"/>
  <c r="BG29" s="1"/>
  <c r="BB30"/>
  <c r="BD30" s="1"/>
  <c r="BA30"/>
  <c r="AZ30"/>
  <c r="AY30"/>
  <c r="BI29"/>
  <c r="BF29"/>
  <c r="BE29"/>
  <c r="BD29"/>
  <c r="BB29"/>
  <c r="BA29"/>
  <c r="AZ29"/>
  <c r="AY29"/>
  <c r="BI28"/>
  <c r="BG28"/>
  <c r="BF28"/>
  <c r="BE28"/>
  <c r="BG27" s="1"/>
  <c r="BD28"/>
  <c r="BB28"/>
  <c r="BA28"/>
  <c r="AZ28"/>
  <c r="AY28"/>
  <c r="BI27"/>
  <c r="BF27"/>
  <c r="BE27"/>
  <c r="BG26" s="1"/>
  <c r="BB27"/>
  <c r="BD27" s="1"/>
  <c r="BA27"/>
  <c r="AZ27"/>
  <c r="AY27"/>
  <c r="BI26"/>
  <c r="BF26"/>
  <c r="BE26"/>
  <c r="BB26"/>
  <c r="BD26" s="1"/>
  <c r="BA26"/>
  <c r="AZ26"/>
  <c r="AY26"/>
  <c r="BI25"/>
  <c r="BG25"/>
  <c r="BF25"/>
  <c r="BE25"/>
  <c r="BG24" s="1"/>
  <c r="BD25"/>
  <c r="BB25"/>
  <c r="BA25"/>
  <c r="AZ25"/>
  <c r="AY25"/>
  <c r="BI24"/>
  <c r="BF24"/>
  <c r="BE24"/>
  <c r="BB24"/>
  <c r="BD24" s="1"/>
  <c r="BA24"/>
  <c r="AZ24"/>
  <c r="AY24"/>
  <c r="BI23"/>
  <c r="BG23"/>
  <c r="BF23"/>
  <c r="BE23"/>
  <c r="BG22" s="1"/>
  <c r="BD23"/>
  <c r="BB23"/>
  <c r="BA23"/>
  <c r="AZ23"/>
  <c r="AY23"/>
  <c r="BI22"/>
  <c r="BF22"/>
  <c r="BE22"/>
  <c r="BG21" s="1"/>
  <c r="BB22"/>
  <c r="BD22" s="1"/>
  <c r="BA22"/>
  <c r="AZ22"/>
  <c r="AY22"/>
  <c r="BI21"/>
  <c r="BF21"/>
  <c r="BE21"/>
  <c r="BB21"/>
  <c r="BD21" s="1"/>
  <c r="BA21"/>
  <c r="AZ21"/>
  <c r="AY21"/>
  <c r="BI20"/>
  <c r="BG20"/>
  <c r="BF20"/>
  <c r="BE20"/>
  <c r="BG19" s="1"/>
  <c r="BD20"/>
  <c r="BB20"/>
  <c r="BA20"/>
  <c r="AZ20"/>
  <c r="AY20"/>
  <c r="BI19"/>
  <c r="BF19"/>
  <c r="BE19"/>
  <c r="BD19"/>
  <c r="BB19"/>
  <c r="BA19"/>
  <c r="AZ19"/>
  <c r="AY19"/>
  <c r="BI18"/>
  <c r="BG18"/>
  <c r="BF18"/>
  <c r="BE18"/>
  <c r="BD18"/>
  <c r="BB18"/>
  <c r="BA18"/>
  <c r="AZ18"/>
  <c r="AY18"/>
  <c r="BI17"/>
  <c r="BG17"/>
  <c r="BF17"/>
  <c r="BE17"/>
  <c r="BB17"/>
  <c r="BD17" s="1"/>
  <c r="BA17"/>
  <c r="AZ17"/>
  <c r="AY17"/>
  <c r="BI16"/>
  <c r="BG16"/>
  <c r="BF16"/>
  <c r="BE16"/>
  <c r="BG15" s="1"/>
  <c r="BB16"/>
  <c r="BD16" s="1"/>
  <c r="BA16"/>
  <c r="AZ16"/>
  <c r="AY16"/>
  <c r="BI15"/>
  <c r="BF15"/>
  <c r="BE15"/>
  <c r="BD15"/>
  <c r="BB15"/>
  <c r="BA15"/>
  <c r="AZ15"/>
  <c r="AY15"/>
  <c r="BI14"/>
  <c r="BG14"/>
  <c r="BF14"/>
  <c r="BE14"/>
  <c r="BG13" s="1"/>
  <c r="BB14"/>
  <c r="BD14" s="1"/>
  <c r="BA14"/>
  <c r="AZ14"/>
  <c r="AY14"/>
  <c r="BI13"/>
  <c r="BF13"/>
  <c r="BE13"/>
  <c r="BD13"/>
  <c r="BB13"/>
  <c r="BA13"/>
  <c r="AZ13"/>
  <c r="AY13"/>
  <c r="BI12"/>
  <c r="BG12"/>
  <c r="BF12"/>
  <c r="BE12"/>
  <c r="BG11" s="1"/>
  <c r="BD12"/>
  <c r="BB12"/>
  <c r="BA12"/>
  <c r="AZ12"/>
  <c r="AY12"/>
  <c r="BI11"/>
  <c r="BF11"/>
  <c r="BE11"/>
  <c r="BG10" s="1"/>
  <c r="BB11"/>
  <c r="BD11" s="1"/>
  <c r="BA11"/>
  <c r="AZ11"/>
  <c r="AY11"/>
  <c r="BI10"/>
  <c r="BE10"/>
  <c r="BD10"/>
  <c r="BB10"/>
  <c r="BA10"/>
  <c r="AZ10"/>
  <c r="AY10"/>
  <c r="BI9"/>
  <c r="BG9"/>
  <c r="BB9"/>
  <c r="BB44" s="1"/>
  <c r="BA9"/>
  <c r="BA44" s="1"/>
  <c r="AZ9"/>
  <c r="AZ44" s="1"/>
  <c r="AY9"/>
  <c r="AY44" s="1"/>
  <c r="AY48" s="1"/>
  <c r="AY46" i="5"/>
  <c r="AV45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BA44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H40"/>
  <c r="BE9" i="6" s="1"/>
  <c r="BI39" i="5"/>
  <c r="BE39"/>
  <c r="BB39"/>
  <c r="BD39" s="1"/>
  <c r="BA39"/>
  <c r="AZ39"/>
  <c r="AY39"/>
  <c r="BI38"/>
  <c r="BG38"/>
  <c r="BE38"/>
  <c r="BG37" s="1"/>
  <c r="BB38"/>
  <c r="BD38" s="1"/>
  <c r="BA38"/>
  <c r="AZ38"/>
  <c r="AY38"/>
  <c r="BI37"/>
  <c r="BE37"/>
  <c r="BB37"/>
  <c r="BD37" s="1"/>
  <c r="BA37"/>
  <c r="AZ37"/>
  <c r="AY37"/>
  <c r="BI36"/>
  <c r="BG36"/>
  <c r="BE36"/>
  <c r="BG35" s="1"/>
  <c r="BB36"/>
  <c r="BD36" s="1"/>
  <c r="BA36"/>
  <c r="AZ36"/>
  <c r="AY36"/>
  <c r="BI35"/>
  <c r="BE35"/>
  <c r="BB35"/>
  <c r="BD35" s="1"/>
  <c r="BA35"/>
  <c r="AZ35"/>
  <c r="AY35"/>
  <c r="BI34"/>
  <c r="BG34"/>
  <c r="BE34"/>
  <c r="BG33" s="1"/>
  <c r="BB34"/>
  <c r="BD34" s="1"/>
  <c r="BA34"/>
  <c r="AZ34"/>
  <c r="AY34"/>
  <c r="BI33"/>
  <c r="BE33"/>
  <c r="BB33"/>
  <c r="BD33" s="1"/>
  <c r="BA33"/>
  <c r="AZ33"/>
  <c r="AY33"/>
  <c r="BI32"/>
  <c r="BG32"/>
  <c r="BE32"/>
  <c r="BG31" s="1"/>
  <c r="BB32"/>
  <c r="BD32" s="1"/>
  <c r="BA32"/>
  <c r="AZ32"/>
  <c r="AY32"/>
  <c r="BI31"/>
  <c r="BE31"/>
  <c r="BB31"/>
  <c r="BD31" s="1"/>
  <c r="BA31"/>
  <c r="AZ31"/>
  <c r="AY31"/>
  <c r="BI30"/>
  <c r="BG30"/>
  <c r="BE30"/>
  <c r="BG29" s="1"/>
  <c r="BB30"/>
  <c r="BD30" s="1"/>
  <c r="BA30"/>
  <c r="AZ30"/>
  <c r="AY30"/>
  <c r="BI29"/>
  <c r="BE29"/>
  <c r="BB29"/>
  <c r="BD29" s="1"/>
  <c r="BA29"/>
  <c r="AZ29"/>
  <c r="AY29"/>
  <c r="BI28"/>
  <c r="BG28"/>
  <c r="BE28"/>
  <c r="BG27" s="1"/>
  <c r="BB28"/>
  <c r="BD28" s="1"/>
  <c r="BA28"/>
  <c r="AZ28"/>
  <c r="AY28"/>
  <c r="BI27"/>
  <c r="BE27"/>
  <c r="BB27"/>
  <c r="BD27" s="1"/>
  <c r="BA27"/>
  <c r="AZ27"/>
  <c r="AY27"/>
  <c r="BI26"/>
  <c r="BG26"/>
  <c r="BE26"/>
  <c r="BG25" s="1"/>
  <c r="BB26"/>
  <c r="BD26" s="1"/>
  <c r="BA26"/>
  <c r="AZ26"/>
  <c r="AY26"/>
  <c r="BI25"/>
  <c r="BE25"/>
  <c r="BB25"/>
  <c r="BD25" s="1"/>
  <c r="BA25"/>
  <c r="AZ25"/>
  <c r="AY25"/>
  <c r="BI24"/>
  <c r="BG24"/>
  <c r="BE24"/>
  <c r="BG23" s="1"/>
  <c r="BB24"/>
  <c r="BD24" s="1"/>
  <c r="BA24"/>
  <c r="AZ24"/>
  <c r="AY24"/>
  <c r="BI23"/>
  <c r="BE23"/>
  <c r="BB23"/>
  <c r="BD23" s="1"/>
  <c r="BA23"/>
  <c r="AZ23"/>
  <c r="AY23"/>
  <c r="BI22"/>
  <c r="BG22"/>
  <c r="BE22"/>
  <c r="BG21" s="1"/>
  <c r="BB22"/>
  <c r="BD22" s="1"/>
  <c r="BA22"/>
  <c r="AZ22"/>
  <c r="AY22"/>
  <c r="BI21"/>
  <c r="BE21"/>
  <c r="BB21"/>
  <c r="BD21" s="1"/>
  <c r="BA21"/>
  <c r="AZ21"/>
  <c r="AY21"/>
  <c r="BI20"/>
  <c r="BG20"/>
  <c r="BE20"/>
  <c r="BG19" s="1"/>
  <c r="BB20"/>
  <c r="BD20" s="1"/>
  <c r="BA20"/>
  <c r="AZ20"/>
  <c r="AY20"/>
  <c r="BI19"/>
  <c r="BE19"/>
  <c r="BB19"/>
  <c r="BD19" s="1"/>
  <c r="BA19"/>
  <c r="AZ19"/>
  <c r="AY19"/>
  <c r="BI18"/>
  <c r="BG18"/>
  <c r="BE18"/>
  <c r="BG17" s="1"/>
  <c r="BB18"/>
  <c r="BD18" s="1"/>
  <c r="BA18"/>
  <c r="AZ18"/>
  <c r="AY18"/>
  <c r="BI17"/>
  <c r="BE17"/>
  <c r="BB17"/>
  <c r="BD17" s="1"/>
  <c r="BA17"/>
  <c r="AZ17"/>
  <c r="AY17"/>
  <c r="BI16"/>
  <c r="BG16"/>
  <c r="BE16"/>
  <c r="BG15" s="1"/>
  <c r="BB16"/>
  <c r="BD16" s="1"/>
  <c r="BA16"/>
  <c r="AZ16"/>
  <c r="AY16"/>
  <c r="BI15"/>
  <c r="BE15"/>
  <c r="BB15"/>
  <c r="BD15" s="1"/>
  <c r="BA15"/>
  <c r="AZ15"/>
  <c r="AY15"/>
  <c r="BI14"/>
  <c r="BG14"/>
  <c r="BE14"/>
  <c r="BG13" s="1"/>
  <c r="BB14"/>
  <c r="BD14" s="1"/>
  <c r="BA14"/>
  <c r="AZ14"/>
  <c r="AY14"/>
  <c r="BI13"/>
  <c r="BE13"/>
  <c r="BB13"/>
  <c r="BD13" s="1"/>
  <c r="BA13"/>
  <c r="AZ13"/>
  <c r="AY13"/>
  <c r="BI12"/>
  <c r="BG12"/>
  <c r="BE12"/>
  <c r="BG11" s="1"/>
  <c r="BB12"/>
  <c r="BD12" s="1"/>
  <c r="BA12"/>
  <c r="AZ12"/>
  <c r="AY12"/>
  <c r="BI11"/>
  <c r="BE11"/>
  <c r="BB11"/>
  <c r="BD11" s="1"/>
  <c r="BA11"/>
  <c r="AZ11"/>
  <c r="AY11"/>
  <c r="BI10"/>
  <c r="BG10"/>
  <c r="BE10"/>
  <c r="BG9" s="1"/>
  <c r="BB10"/>
  <c r="BD10" s="1"/>
  <c r="BA10"/>
  <c r="AZ10"/>
  <c r="AY10"/>
  <c r="BI9"/>
  <c r="BB9"/>
  <c r="BB44" s="1"/>
  <c r="BA9"/>
  <c r="AZ9"/>
  <c r="AZ44" s="1"/>
  <c r="AY9"/>
  <c r="AY44" s="1"/>
  <c r="AY48" s="1"/>
  <c r="AY46" i="4"/>
  <c r="AV45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BA44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H40"/>
  <c r="BE9" i="5" s="1"/>
  <c r="BI38" i="4"/>
  <c r="BG38"/>
  <c r="BE38"/>
  <c r="BB38"/>
  <c r="BD38" s="1"/>
  <c r="BA38"/>
  <c r="AZ38"/>
  <c r="AY38"/>
  <c r="BI37"/>
  <c r="BG37"/>
  <c r="BE37"/>
  <c r="BB37"/>
  <c r="BD37" s="1"/>
  <c r="BA37"/>
  <c r="AZ37"/>
  <c r="AY37"/>
  <c r="BI36"/>
  <c r="BG36"/>
  <c r="BE36"/>
  <c r="BB36"/>
  <c r="BD36" s="1"/>
  <c r="BA36"/>
  <c r="AZ36"/>
  <c r="AY36"/>
  <c r="BI35"/>
  <c r="BG35"/>
  <c r="BE35"/>
  <c r="BB35"/>
  <c r="BD35" s="1"/>
  <c r="BA35"/>
  <c r="AZ35"/>
  <c r="AY35"/>
  <c r="BI34"/>
  <c r="BG34"/>
  <c r="BE34"/>
  <c r="BB34"/>
  <c r="BD34" s="1"/>
  <c r="BA34"/>
  <c r="AZ34"/>
  <c r="AY34"/>
  <c r="BI33"/>
  <c r="BG33"/>
  <c r="BE33"/>
  <c r="BB33"/>
  <c r="BD33" s="1"/>
  <c r="BA33"/>
  <c r="AZ33"/>
  <c r="AY33"/>
  <c r="BI32"/>
  <c r="BG32"/>
  <c r="BE32"/>
  <c r="BB32"/>
  <c r="BD32" s="1"/>
  <c r="BA32"/>
  <c r="AZ32"/>
  <c r="AY32"/>
  <c r="BI31"/>
  <c r="BG31"/>
  <c r="BE31"/>
  <c r="BB31"/>
  <c r="BD31" s="1"/>
  <c r="BA31"/>
  <c r="AZ31"/>
  <c r="AY31"/>
  <c r="BI30"/>
  <c r="BG30"/>
  <c r="BE30"/>
  <c r="BB30"/>
  <c r="BD30" s="1"/>
  <c r="BA30"/>
  <c r="AZ30"/>
  <c r="AY30"/>
  <c r="BI29"/>
  <c r="BG29"/>
  <c r="BE29"/>
  <c r="BB29"/>
  <c r="BD29" s="1"/>
  <c r="BA29"/>
  <c r="AZ29"/>
  <c r="AY29"/>
  <c r="BI28"/>
  <c r="BG28"/>
  <c r="BE28"/>
  <c r="BB28"/>
  <c r="BD28" s="1"/>
  <c r="BA28"/>
  <c r="AZ28"/>
  <c r="AY28"/>
  <c r="BI27"/>
  <c r="BG27"/>
  <c r="BE27"/>
  <c r="BB27"/>
  <c r="BD27" s="1"/>
  <c r="BA27"/>
  <c r="AZ27"/>
  <c r="AY27"/>
  <c r="BI26"/>
  <c r="BG26"/>
  <c r="BE26"/>
  <c r="BB26"/>
  <c r="BD26" s="1"/>
  <c r="BA26"/>
  <c r="AZ26"/>
  <c r="AY26"/>
  <c r="BI25"/>
  <c r="BG25"/>
  <c r="BE25"/>
  <c r="BB25"/>
  <c r="BD25" s="1"/>
  <c r="BA25"/>
  <c r="AZ25"/>
  <c r="AY25"/>
  <c r="BI24"/>
  <c r="BG24"/>
  <c r="BE24"/>
  <c r="BB24"/>
  <c r="BD24" s="1"/>
  <c r="BA24"/>
  <c r="AZ24"/>
  <c r="AY24"/>
  <c r="BI23"/>
  <c r="BG23"/>
  <c r="BE23"/>
  <c r="BB23"/>
  <c r="BD23" s="1"/>
  <c r="BA23"/>
  <c r="AZ23"/>
  <c r="AY23"/>
  <c r="BI22"/>
  <c r="BG22"/>
  <c r="BE22"/>
  <c r="BB22"/>
  <c r="BD22" s="1"/>
  <c r="BA22"/>
  <c r="AZ22"/>
  <c r="AY22"/>
  <c r="BI21"/>
  <c r="BG21"/>
  <c r="BE21"/>
  <c r="BB21"/>
  <c r="BD21" s="1"/>
  <c r="BA21"/>
  <c r="AZ21"/>
  <c r="AY21"/>
  <c r="BI20"/>
  <c r="BG20"/>
  <c r="BE20"/>
  <c r="BB20"/>
  <c r="BD20" s="1"/>
  <c r="BA20"/>
  <c r="AZ20"/>
  <c r="AY20"/>
  <c r="BI19"/>
  <c r="BG19"/>
  <c r="BE19"/>
  <c r="BB19"/>
  <c r="BD19" s="1"/>
  <c r="BA19"/>
  <c r="AZ19"/>
  <c r="AY19"/>
  <c r="BI18"/>
  <c r="BG18"/>
  <c r="BE18"/>
  <c r="BB18"/>
  <c r="BD18" s="1"/>
  <c r="BA18"/>
  <c r="AZ18"/>
  <c r="AY18"/>
  <c r="BI17"/>
  <c r="BG17"/>
  <c r="BE17"/>
  <c r="BB17"/>
  <c r="BD17" s="1"/>
  <c r="BA17"/>
  <c r="AZ17"/>
  <c r="AY17"/>
  <c r="BI16"/>
  <c r="BG16"/>
  <c r="BE16"/>
  <c r="BB16"/>
  <c r="BD16" s="1"/>
  <c r="BA16"/>
  <c r="AZ16"/>
  <c r="AY16"/>
  <c r="BI15"/>
  <c r="BG15"/>
  <c r="BE15"/>
  <c r="BB15"/>
  <c r="BD15" s="1"/>
  <c r="BA15"/>
  <c r="AZ15"/>
  <c r="AY15"/>
  <c r="BI14"/>
  <c r="BG14"/>
  <c r="BE14"/>
  <c r="BB14"/>
  <c r="BD14" s="1"/>
  <c r="BA14"/>
  <c r="AZ14"/>
  <c r="AY14"/>
  <c r="BI13"/>
  <c r="BG13"/>
  <c r="BE13"/>
  <c r="BB13"/>
  <c r="BD13" s="1"/>
  <c r="BA13"/>
  <c r="AZ13"/>
  <c r="AY13"/>
  <c r="BI12"/>
  <c r="BG12"/>
  <c r="BE12"/>
  <c r="BB12"/>
  <c r="BD12" s="1"/>
  <c r="BA12"/>
  <c r="AZ12"/>
  <c r="AY12"/>
  <c r="BI11"/>
  <c r="BG11"/>
  <c r="BE11"/>
  <c r="BB11"/>
  <c r="BD11" s="1"/>
  <c r="BA11"/>
  <c r="AZ11"/>
  <c r="AY11"/>
  <c r="BI10"/>
  <c r="BG10"/>
  <c r="BE10"/>
  <c r="BB10"/>
  <c r="BD10" s="1"/>
  <c r="BA10"/>
  <c r="AZ10"/>
  <c r="AY10"/>
  <c r="BI9"/>
  <c r="BG9"/>
  <c r="BB9"/>
  <c r="BD9" s="1"/>
  <c r="BA9"/>
  <c r="AZ9"/>
  <c r="AZ44" s="1"/>
  <c r="AY9"/>
  <c r="AY44" s="1"/>
  <c r="AY48" s="1"/>
  <c r="AY46" i="3"/>
  <c r="AV45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BB44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H40"/>
  <c r="BE9" i="4" s="1"/>
  <c r="BI39" i="3"/>
  <c r="BE39"/>
  <c r="BG38" s="1"/>
  <c r="BD39"/>
  <c r="BB39"/>
  <c r="BA39"/>
  <c r="AZ39"/>
  <c r="AY39"/>
  <c r="BI38"/>
  <c r="BE38"/>
  <c r="BG37" s="1"/>
  <c r="BD38"/>
  <c r="BB38"/>
  <c r="BA38"/>
  <c r="AZ38"/>
  <c r="AY38"/>
  <c r="BI37"/>
  <c r="BE37"/>
  <c r="BG36" s="1"/>
  <c r="BD37"/>
  <c r="BB37"/>
  <c r="BA37"/>
  <c r="AZ37"/>
  <c r="AY37"/>
  <c r="BI36"/>
  <c r="BE36"/>
  <c r="BG35" s="1"/>
  <c r="BD36"/>
  <c r="BB36"/>
  <c r="BA36"/>
  <c r="AZ36"/>
  <c r="AY36"/>
  <c r="BI35"/>
  <c r="BE35"/>
  <c r="BG34" s="1"/>
  <c r="BD35"/>
  <c r="BB35"/>
  <c r="BA35"/>
  <c r="AZ35"/>
  <c r="AY35"/>
  <c r="BI34"/>
  <c r="BE34"/>
  <c r="BG33" s="1"/>
  <c r="BD34"/>
  <c r="BB34"/>
  <c r="BA34"/>
  <c r="AZ34"/>
  <c r="AY34"/>
  <c r="BI33"/>
  <c r="BE33"/>
  <c r="BG32" s="1"/>
  <c r="BD33"/>
  <c r="BB33"/>
  <c r="BA33"/>
  <c r="AZ33"/>
  <c r="AY33"/>
  <c r="BI32"/>
  <c r="BE32"/>
  <c r="BG31" s="1"/>
  <c r="BD32"/>
  <c r="BB32"/>
  <c r="BA32"/>
  <c r="AZ32"/>
  <c r="AY32"/>
  <c r="BI31"/>
  <c r="BE31"/>
  <c r="BG30" s="1"/>
  <c r="BD31"/>
  <c r="BB31"/>
  <c r="BA31"/>
  <c r="AZ31"/>
  <c r="AY31"/>
  <c r="BI30"/>
  <c r="BE30"/>
  <c r="BG29" s="1"/>
  <c r="BD30"/>
  <c r="BB30"/>
  <c r="BA30"/>
  <c r="AZ30"/>
  <c r="AY30"/>
  <c r="BI29"/>
  <c r="BE29"/>
  <c r="BG28" s="1"/>
  <c r="BD29"/>
  <c r="BB29"/>
  <c r="BA29"/>
  <c r="AZ29"/>
  <c r="AY29"/>
  <c r="BI28"/>
  <c r="BE28"/>
  <c r="BG27" s="1"/>
  <c r="BD28"/>
  <c r="BB28"/>
  <c r="BA28"/>
  <c r="AZ28"/>
  <c r="AY28"/>
  <c r="BI27"/>
  <c r="BE27"/>
  <c r="BG26" s="1"/>
  <c r="BD27"/>
  <c r="BB27"/>
  <c r="BA27"/>
  <c r="AZ27"/>
  <c r="AY27"/>
  <c r="BI26"/>
  <c r="BE26"/>
  <c r="BG25" s="1"/>
  <c r="BD26"/>
  <c r="BB26"/>
  <c r="BA26"/>
  <c r="AZ26"/>
  <c r="AY26"/>
  <c r="BI25"/>
  <c r="BE25"/>
  <c r="BG24" s="1"/>
  <c r="BD25"/>
  <c r="BB25"/>
  <c r="BA25"/>
  <c r="AZ25"/>
  <c r="AY25"/>
  <c r="BI24"/>
  <c r="BE24"/>
  <c r="BG23" s="1"/>
  <c r="BD24"/>
  <c r="BB24"/>
  <c r="BA24"/>
  <c r="AZ24"/>
  <c r="AY24"/>
  <c r="BI23"/>
  <c r="BE23"/>
  <c r="BG22" s="1"/>
  <c r="BD23"/>
  <c r="BB23"/>
  <c r="BA23"/>
  <c r="AZ23"/>
  <c r="AY23"/>
  <c r="BI22"/>
  <c r="BE22"/>
  <c r="BG21" s="1"/>
  <c r="BD22"/>
  <c r="BB22"/>
  <c r="BA22"/>
  <c r="AZ22"/>
  <c r="AY22"/>
  <c r="BI21"/>
  <c r="BE21"/>
  <c r="BG20" s="1"/>
  <c r="BD21"/>
  <c r="BB21"/>
  <c r="BA21"/>
  <c r="AZ21"/>
  <c r="AY21"/>
  <c r="BI20"/>
  <c r="BE20"/>
  <c r="BG19" s="1"/>
  <c r="BD20"/>
  <c r="BB20"/>
  <c r="BA20"/>
  <c r="AZ20"/>
  <c r="AY20"/>
  <c r="BI19"/>
  <c r="BE19"/>
  <c r="BG18" s="1"/>
  <c r="BD19"/>
  <c r="BB19"/>
  <c r="BA19"/>
  <c r="AZ19"/>
  <c r="AY19"/>
  <c r="BI18"/>
  <c r="BE18"/>
  <c r="BG17" s="1"/>
  <c r="BD18"/>
  <c r="BB18"/>
  <c r="BA18"/>
  <c r="AZ18"/>
  <c r="AY18"/>
  <c r="BI17"/>
  <c r="BE17"/>
  <c r="BG16" s="1"/>
  <c r="BD17"/>
  <c r="BB17"/>
  <c r="BA17"/>
  <c r="AZ17"/>
  <c r="AY17"/>
  <c r="BI16"/>
  <c r="BE16"/>
  <c r="BG15" s="1"/>
  <c r="BD16"/>
  <c r="BB16"/>
  <c r="BA16"/>
  <c r="AZ16"/>
  <c r="AY16"/>
  <c r="BI15"/>
  <c r="BE15"/>
  <c r="BG14" s="1"/>
  <c r="BD15"/>
  <c r="BB15"/>
  <c r="BA15"/>
  <c r="AZ15"/>
  <c r="AY15"/>
  <c r="BI14"/>
  <c r="BE14"/>
  <c r="BG13" s="1"/>
  <c r="BD14"/>
  <c r="BB14"/>
  <c r="BA14"/>
  <c r="AZ14"/>
  <c r="AY14"/>
  <c r="BI13"/>
  <c r="BE13"/>
  <c r="BG12" s="1"/>
  <c r="BD13"/>
  <c r="BB13"/>
  <c r="BA13"/>
  <c r="AZ13"/>
  <c r="AY13"/>
  <c r="BI12"/>
  <c r="BE12"/>
  <c r="BG11" s="1"/>
  <c r="BD12"/>
  <c r="BB12"/>
  <c r="BA12"/>
  <c r="AZ12"/>
  <c r="AY12"/>
  <c r="BI11"/>
  <c r="BE11"/>
  <c r="BG10" s="1"/>
  <c r="BD11"/>
  <c r="BB11"/>
  <c r="BA11"/>
  <c r="AZ11"/>
  <c r="AY11"/>
  <c r="BI10"/>
  <c r="BE10"/>
  <c r="BG9" s="1"/>
  <c r="BD10"/>
  <c r="BB10"/>
  <c r="BA10"/>
  <c r="AZ10"/>
  <c r="AY10"/>
  <c r="BI9"/>
  <c r="BE9"/>
  <c r="BE42" s="1"/>
  <c r="BD9"/>
  <c r="BB48" s="1"/>
  <c r="BB9"/>
  <c r="BA9"/>
  <c r="BA44" s="1"/>
  <c r="AZ9"/>
  <c r="AZ44" s="1"/>
  <c r="AY9"/>
  <c r="AY51" s="1"/>
  <c r="AY46" i="2"/>
  <c r="AV45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BB44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H40"/>
  <c r="BI38"/>
  <c r="BG38"/>
  <c r="BI37"/>
  <c r="BG37"/>
  <c r="BE37"/>
  <c r="BG36" s="1"/>
  <c r="BD37"/>
  <c r="BB37"/>
  <c r="BA37"/>
  <c r="AZ37"/>
  <c r="AY37"/>
  <c r="BI36"/>
  <c r="BE36"/>
  <c r="BG35" s="1"/>
  <c r="BD36"/>
  <c r="BB36"/>
  <c r="BA36"/>
  <c r="AZ36"/>
  <c r="AY36"/>
  <c r="BI35"/>
  <c r="BE35"/>
  <c r="BG34" s="1"/>
  <c r="BD35"/>
  <c r="BB35"/>
  <c r="BA35"/>
  <c r="AZ35"/>
  <c r="AY35"/>
  <c r="BI34"/>
  <c r="BE34"/>
  <c r="BG33" s="1"/>
  <c r="BD34"/>
  <c r="BB34"/>
  <c r="BA34"/>
  <c r="AZ34"/>
  <c r="AY34"/>
  <c r="BI33"/>
  <c r="BE33"/>
  <c r="BG32" s="1"/>
  <c r="BD33"/>
  <c r="BB33"/>
  <c r="BA33"/>
  <c r="AZ33"/>
  <c r="AY33"/>
  <c r="BI32"/>
  <c r="BE32"/>
  <c r="BG31" s="1"/>
  <c r="BD32"/>
  <c r="BB32"/>
  <c r="BA32"/>
  <c r="AZ32"/>
  <c r="AY32"/>
  <c r="BI31"/>
  <c r="BE31"/>
  <c r="BG30" s="1"/>
  <c r="BD31"/>
  <c r="BB31"/>
  <c r="BA31"/>
  <c r="AZ31"/>
  <c r="AY31"/>
  <c r="BI30"/>
  <c r="BE30"/>
  <c r="BG29" s="1"/>
  <c r="BD30"/>
  <c r="BB30"/>
  <c r="BA30"/>
  <c r="AZ30"/>
  <c r="AY30"/>
  <c r="BI29"/>
  <c r="BE29"/>
  <c r="BG28" s="1"/>
  <c r="BD29"/>
  <c r="BB29"/>
  <c r="BA29"/>
  <c r="AZ29"/>
  <c r="AY29"/>
  <c r="BI28"/>
  <c r="BE28"/>
  <c r="BG27" s="1"/>
  <c r="BD28"/>
  <c r="BB28"/>
  <c r="BA28"/>
  <c r="AZ28"/>
  <c r="AY28"/>
  <c r="BI27"/>
  <c r="BE27"/>
  <c r="BG26" s="1"/>
  <c r="BD27"/>
  <c r="BB27"/>
  <c r="BA27"/>
  <c r="AZ27"/>
  <c r="AY27"/>
  <c r="BI26"/>
  <c r="BE26"/>
  <c r="BG25" s="1"/>
  <c r="BD26"/>
  <c r="BB26"/>
  <c r="BA26"/>
  <c r="AZ26"/>
  <c r="AY26"/>
  <c r="BI25"/>
  <c r="BE25"/>
  <c r="BG24" s="1"/>
  <c r="BD25"/>
  <c r="BB25"/>
  <c r="BA25"/>
  <c r="AZ25"/>
  <c r="AY25"/>
  <c r="BI24"/>
  <c r="BE24"/>
  <c r="BG23" s="1"/>
  <c r="BD24"/>
  <c r="BB24"/>
  <c r="BA24"/>
  <c r="AZ24"/>
  <c r="AY24"/>
  <c r="BI23"/>
  <c r="BE23"/>
  <c r="BG22" s="1"/>
  <c r="BD23"/>
  <c r="BB23"/>
  <c r="BA23"/>
  <c r="AZ23"/>
  <c r="AY23"/>
  <c r="BI22"/>
  <c r="BE22"/>
  <c r="BG21" s="1"/>
  <c r="BD22"/>
  <c r="BB22"/>
  <c r="BA22"/>
  <c r="AZ22"/>
  <c r="AY22"/>
  <c r="BI21"/>
  <c r="BE21"/>
  <c r="BG20" s="1"/>
  <c r="BD21"/>
  <c r="BB21"/>
  <c r="BA21"/>
  <c r="AZ21"/>
  <c r="AY21"/>
  <c r="BI20"/>
  <c r="BE20"/>
  <c r="BG19" s="1"/>
  <c r="BD20"/>
  <c r="BB20"/>
  <c r="BA20"/>
  <c r="AZ20"/>
  <c r="AY20"/>
  <c r="BI19"/>
  <c r="BE19"/>
  <c r="BG18" s="1"/>
  <c r="BD19"/>
  <c r="BB19"/>
  <c r="BA19"/>
  <c r="AZ19"/>
  <c r="AY19"/>
  <c r="BI18"/>
  <c r="BE18"/>
  <c r="BG17" s="1"/>
  <c r="BD18"/>
  <c r="BB18"/>
  <c r="BA18"/>
  <c r="AZ18"/>
  <c r="AY18"/>
  <c r="BI17"/>
  <c r="BE17"/>
  <c r="BG16" s="1"/>
  <c r="BD17"/>
  <c r="BB17"/>
  <c r="BA17"/>
  <c r="AZ17"/>
  <c r="AY17"/>
  <c r="BI16"/>
  <c r="BE16"/>
  <c r="BG15" s="1"/>
  <c r="BD16"/>
  <c r="BB16"/>
  <c r="BA16"/>
  <c r="AZ16"/>
  <c r="AY16"/>
  <c r="BI15"/>
  <c r="BE15"/>
  <c r="BG14" s="1"/>
  <c r="BD15"/>
  <c r="BB15"/>
  <c r="BA15"/>
  <c r="AZ15"/>
  <c r="AY15"/>
  <c r="BI14"/>
  <c r="BE14"/>
  <c r="BG13" s="1"/>
  <c r="BD14"/>
  <c r="BB14"/>
  <c r="BA14"/>
  <c r="AZ14"/>
  <c r="AY14"/>
  <c r="BI13"/>
  <c r="BE13"/>
  <c r="BG12" s="1"/>
  <c r="BD13"/>
  <c r="BB13"/>
  <c r="BA13"/>
  <c r="AZ13"/>
  <c r="AY13"/>
  <c r="BI12"/>
  <c r="BE12"/>
  <c r="BG11" s="1"/>
  <c r="BD12"/>
  <c r="BB12"/>
  <c r="BA12"/>
  <c r="AZ12"/>
  <c r="AY12"/>
  <c r="BI11"/>
  <c r="BE11"/>
  <c r="BG10" s="1"/>
  <c r="BD11"/>
  <c r="BB11"/>
  <c r="BA11"/>
  <c r="AZ11"/>
  <c r="AY11"/>
  <c r="BI10"/>
  <c r="BE10"/>
  <c r="BG9" s="1"/>
  <c r="BD10"/>
  <c r="BB10"/>
  <c r="BA10"/>
  <c r="AZ10"/>
  <c r="AY10"/>
  <c r="BI9"/>
  <c r="BE9"/>
  <c r="BE40" s="1"/>
  <c r="BD9"/>
  <c r="BB48" s="1"/>
  <c r="BB9"/>
  <c r="BA9"/>
  <c r="BA44" s="1"/>
  <c r="AZ9"/>
  <c r="AZ44" s="1"/>
  <c r="AY9"/>
  <c r="AY44" s="1"/>
  <c r="AY48" s="1"/>
  <c r="AY47" i="1"/>
  <c r="AV46"/>
  <c r="AT46"/>
  <c r="AR46"/>
  <c r="AP46"/>
  <c r="AN46"/>
  <c r="AL46"/>
  <c r="AJ46"/>
  <c r="AH46"/>
  <c r="AF46"/>
  <c r="AD46"/>
  <c r="AB46"/>
  <c r="Z46"/>
  <c r="X46"/>
  <c r="V46"/>
  <c r="T46"/>
  <c r="R46"/>
  <c r="P46"/>
  <c r="N46"/>
  <c r="L46"/>
  <c r="J46"/>
  <c r="H46"/>
  <c r="F46"/>
  <c r="D46"/>
  <c r="B46"/>
  <c r="AW45"/>
  <c r="AU45"/>
  <c r="AS45"/>
  <c r="AQ45"/>
  <c r="AO45"/>
  <c r="AM45"/>
  <c r="AK45"/>
  <c r="AI45"/>
  <c r="AG45"/>
  <c r="AE45"/>
  <c r="AC45"/>
  <c r="AA45"/>
  <c r="Y45"/>
  <c r="W45"/>
  <c r="U45"/>
  <c r="S45"/>
  <c r="Q45"/>
  <c r="O45"/>
  <c r="M45"/>
  <c r="K45"/>
  <c r="I45"/>
  <c r="G45"/>
  <c r="E45"/>
  <c r="C45"/>
  <c r="AV44"/>
  <c r="AT44"/>
  <c r="AR44"/>
  <c r="AP44"/>
  <c r="AN44"/>
  <c r="AL44"/>
  <c r="AJ44"/>
  <c r="AH44"/>
  <c r="AF44"/>
  <c r="AD44"/>
  <c r="AB44"/>
  <c r="Z44"/>
  <c r="X44"/>
  <c r="V44"/>
  <c r="T44"/>
  <c r="R44"/>
  <c r="P44"/>
  <c r="N44"/>
  <c r="L44"/>
  <c r="J44"/>
  <c r="H44"/>
  <c r="F44"/>
  <c r="D44"/>
  <c r="B44"/>
  <c r="BH41"/>
  <c r="BG40" s="1"/>
  <c r="BI40"/>
  <c r="BE40"/>
  <c r="BG39" s="1"/>
  <c r="BD40"/>
  <c r="BB40"/>
  <c r="BA40"/>
  <c r="AZ40"/>
  <c r="AY40"/>
  <c r="BI39"/>
  <c r="BE39"/>
  <c r="BG38" s="1"/>
  <c r="BD39"/>
  <c r="BB39"/>
  <c r="BA39"/>
  <c r="AZ39"/>
  <c r="AY39"/>
  <c r="BI38"/>
  <c r="BE38"/>
  <c r="BG37" s="1"/>
  <c r="BD38"/>
  <c r="BB38"/>
  <c r="BA38"/>
  <c r="AZ38"/>
  <c r="AY38"/>
  <c r="BI37"/>
  <c r="BE37"/>
  <c r="BG36" s="1"/>
  <c r="BD37"/>
  <c r="BB37"/>
  <c r="BA37"/>
  <c r="AZ37"/>
  <c r="AY37"/>
  <c r="BI36"/>
  <c r="BE36"/>
  <c r="BG35" s="1"/>
  <c r="BD36"/>
  <c r="BB36"/>
  <c r="BA36"/>
  <c r="AZ36"/>
  <c r="AY36"/>
  <c r="BI35"/>
  <c r="BE35"/>
  <c r="BG34" s="1"/>
  <c r="BD35"/>
  <c r="BB35"/>
  <c r="BA35"/>
  <c r="AZ35"/>
  <c r="AY35"/>
  <c r="BI34"/>
  <c r="BE34"/>
  <c r="BG33" s="1"/>
  <c r="BD34"/>
  <c r="BB34"/>
  <c r="BA34"/>
  <c r="AZ34"/>
  <c r="AY34"/>
  <c r="BI33"/>
  <c r="BE33"/>
  <c r="BG32" s="1"/>
  <c r="BD33"/>
  <c r="BB33"/>
  <c r="BA33"/>
  <c r="AZ33"/>
  <c r="AY33"/>
  <c r="BI32"/>
  <c r="BE32"/>
  <c r="BG31" s="1"/>
  <c r="BD32"/>
  <c r="BB32"/>
  <c r="BA32"/>
  <c r="AZ32"/>
  <c r="AY32"/>
  <c r="BI31"/>
  <c r="BE31"/>
  <c r="BG30" s="1"/>
  <c r="BD31"/>
  <c r="BB31"/>
  <c r="BA31"/>
  <c r="AZ31"/>
  <c r="AY31"/>
  <c r="BI30"/>
  <c r="BE30"/>
  <c r="BG29" s="1"/>
  <c r="BD30"/>
  <c r="BB30"/>
  <c r="BA30"/>
  <c r="AZ30"/>
  <c r="AY30"/>
  <c r="BI29"/>
  <c r="BE29"/>
  <c r="BG28" s="1"/>
  <c r="BD29"/>
  <c r="BB29"/>
  <c r="BA29"/>
  <c r="AZ29"/>
  <c r="AY29"/>
  <c r="BI28"/>
  <c r="BE28"/>
  <c r="BG27" s="1"/>
  <c r="BD28"/>
  <c r="BB28"/>
  <c r="BA28"/>
  <c r="AZ28"/>
  <c r="AY28"/>
  <c r="BI27"/>
  <c r="BE27"/>
  <c r="BG26" s="1"/>
  <c r="BD27"/>
  <c r="BB27"/>
  <c r="BA27"/>
  <c r="AZ27"/>
  <c r="AY27"/>
  <c r="BI26"/>
  <c r="BE26"/>
  <c r="BG25" s="1"/>
  <c r="BD26"/>
  <c r="BB26"/>
  <c r="BA26"/>
  <c r="AZ26"/>
  <c r="AY26"/>
  <c r="BI25"/>
  <c r="BE25"/>
  <c r="BG24" s="1"/>
  <c r="BD25"/>
  <c r="BB25"/>
  <c r="BA25"/>
  <c r="AZ25"/>
  <c r="AY25"/>
  <c r="BI24"/>
  <c r="BE24"/>
  <c r="BG23" s="1"/>
  <c r="BD24"/>
  <c r="BB24"/>
  <c r="BA24"/>
  <c r="AZ24"/>
  <c r="AY24"/>
  <c r="BI23"/>
  <c r="BE23"/>
  <c r="BG22" s="1"/>
  <c r="BD23"/>
  <c r="BB23"/>
  <c r="BA23"/>
  <c r="AZ23"/>
  <c r="AY23"/>
  <c r="BI22"/>
  <c r="BE22"/>
  <c r="BG21" s="1"/>
  <c r="BD22"/>
  <c r="BB22"/>
  <c r="BA22"/>
  <c r="AZ22"/>
  <c r="AY22"/>
  <c r="BI21"/>
  <c r="BE21"/>
  <c r="BG20" s="1"/>
  <c r="BD21"/>
  <c r="BB21"/>
  <c r="BA21"/>
  <c r="AZ21"/>
  <c r="AY21"/>
  <c r="BI20"/>
  <c r="BE20"/>
  <c r="BG19" s="1"/>
  <c r="BD20"/>
  <c r="BB20"/>
  <c r="BA20"/>
  <c r="AZ20"/>
  <c r="AY20"/>
  <c r="BI19"/>
  <c r="BE19"/>
  <c r="BG18" s="1"/>
  <c r="BD19"/>
  <c r="BB19"/>
  <c r="BA19"/>
  <c r="AZ19"/>
  <c r="AY19"/>
  <c r="BI18"/>
  <c r="BE18"/>
  <c r="BG17" s="1"/>
  <c r="BD18"/>
  <c r="BB18"/>
  <c r="BA18"/>
  <c r="AZ18"/>
  <c r="AY18"/>
  <c r="BI17"/>
  <c r="BE17"/>
  <c r="BG16" s="1"/>
  <c r="BD17"/>
  <c r="BB17"/>
  <c r="BA17"/>
  <c r="AZ17"/>
  <c r="AY17"/>
  <c r="BI16"/>
  <c r="BE16"/>
  <c r="BG15" s="1"/>
  <c r="BD16"/>
  <c r="BB16"/>
  <c r="BA16"/>
  <c r="AZ16"/>
  <c r="AY16"/>
  <c r="BI15"/>
  <c r="BE15"/>
  <c r="BG14" s="1"/>
  <c r="BD15"/>
  <c r="BB15"/>
  <c r="BA15"/>
  <c r="AZ15"/>
  <c r="AY15"/>
  <c r="BI14"/>
  <c r="BE14"/>
  <c r="BG13" s="1"/>
  <c r="BD14"/>
  <c r="BB14"/>
  <c r="BA14"/>
  <c r="AZ14"/>
  <c r="AY14"/>
  <c r="BI13"/>
  <c r="BE13"/>
  <c r="BG12" s="1"/>
  <c r="BD13"/>
  <c r="BB13"/>
  <c r="BA13"/>
  <c r="AZ13"/>
  <c r="AY13"/>
  <c r="BI12"/>
  <c r="BE12"/>
  <c r="BG11" s="1"/>
  <c r="BB12"/>
  <c r="BD12" s="1"/>
  <c r="BA12"/>
  <c r="AZ12"/>
  <c r="AY12"/>
  <c r="BI11"/>
  <c r="BE11"/>
  <c r="BG10" s="1"/>
  <c r="BB11"/>
  <c r="BD11" s="1"/>
  <c r="BA11"/>
  <c r="AZ11"/>
  <c r="AY11"/>
  <c r="BI10"/>
  <c r="BE10"/>
  <c r="BE41" s="1"/>
  <c r="BB10"/>
  <c r="BD10" s="1"/>
  <c r="BA10"/>
  <c r="BA45" s="1"/>
  <c r="AZ10"/>
  <c r="AZ45" s="1"/>
  <c r="AY10"/>
  <c r="AY45" s="1"/>
  <c r="AY49" s="1"/>
  <c r="BE9"/>
  <c r="BB9"/>
  <c r="BB45" s="1"/>
  <c r="BA9"/>
  <c r="AZ9"/>
  <c r="AY9"/>
  <c r="BG42" i="9" l="1"/>
  <c r="BE42" i="12"/>
  <c r="BE40"/>
  <c r="BE41"/>
  <c r="BE41" i="8"/>
  <c r="BE42"/>
  <c r="BE40"/>
  <c r="BE40" i="9"/>
  <c r="BE41"/>
  <c r="BE42"/>
  <c r="BB48" i="8"/>
  <c r="BB48" i="9"/>
  <c r="BE40" i="7"/>
  <c r="BE41"/>
  <c r="BE42"/>
  <c r="BE41" i="10"/>
  <c r="BE42"/>
  <c r="BE40"/>
  <c r="BB48" i="7"/>
  <c r="BB49" i="1"/>
  <c r="BE41" i="4"/>
  <c r="BE42"/>
  <c r="BE40"/>
  <c r="BE40" i="6"/>
  <c r="BE41"/>
  <c r="BE42"/>
  <c r="BB48" i="4"/>
  <c r="BE40" i="5"/>
  <c r="BE41"/>
  <c r="BE42"/>
  <c r="AY44" i="3"/>
  <c r="AY48" s="1"/>
  <c r="BE41"/>
  <c r="BE40"/>
  <c r="BG9" i="1"/>
  <c r="BB44" i="9"/>
  <c r="BG39" i="3"/>
  <c r="BG39" i="5"/>
  <c r="BB44" i="11"/>
  <c r="BG38" i="6"/>
  <c r="BE43" i="1"/>
  <c r="BB44" i="4"/>
  <c r="BD9" i="5"/>
  <c r="BB48" s="1"/>
  <c r="BE42" i="1"/>
  <c r="AY44" i="11"/>
  <c r="AY48" s="1"/>
  <c r="BE42"/>
  <c r="BE42" i="2"/>
  <c r="BE41" i="11"/>
  <c r="BE41" i="2"/>
  <c r="BD9" i="6"/>
  <c r="BB48" s="1"/>
</calcChain>
</file>

<file path=xl/sharedStrings.xml><?xml version="1.0" encoding="utf-8"?>
<sst xmlns="http://schemas.openxmlformats.org/spreadsheetml/2006/main" count="2475" uniqueCount="100">
  <si>
    <t>JANEIRO DE 2024</t>
  </si>
  <si>
    <t xml:space="preserve">                     INSTITUTO  ASTRONÔMICO  E  GEOFÍSICO  DA  UNIVERSIDADE  DE  SÃO  PAULO</t>
  </si>
  <si>
    <t>ultima 24horas</t>
  </si>
  <si>
    <t>DIGITADO POR  PETY</t>
  </si>
  <si>
    <t>Planilha atualizada por Edvaldo Gomes</t>
  </si>
  <si>
    <t xml:space="preserve"> até7h do dia </t>
  </si>
  <si>
    <t>até 7H DO DIA ANTERIOR</t>
  </si>
  <si>
    <t>VERIFICADO POR  PETY</t>
  </si>
  <si>
    <t xml:space="preserve">    RESULTADOS  EXTRAÍDOS  DE  PLUVIOGRAMA  DIÁRIO  (mm  DE  CHUVA)</t>
  </si>
  <si>
    <t>VALORES   DIÁRIOS</t>
  </si>
  <si>
    <t>7as7h do dia de hoje</t>
  </si>
  <si>
    <t>(de 00h a 24h)</t>
  </si>
  <si>
    <t>DAEE</t>
  </si>
  <si>
    <t>DESVIO</t>
  </si>
  <si>
    <t>EMAE</t>
  </si>
  <si>
    <t>Altura</t>
  </si>
  <si>
    <t>Duração</t>
  </si>
  <si>
    <t>Máxima</t>
  </si>
  <si>
    <t>H.</t>
  </si>
  <si>
    <t>0 - 1</t>
  </si>
  <si>
    <t>1 - 2</t>
  </si>
  <si>
    <t>2 - 3</t>
  </si>
  <si>
    <t>3 - 4</t>
  </si>
  <si>
    <t>4 - 5</t>
  </si>
  <si>
    <t>5 - 6</t>
  </si>
  <si>
    <t>6 - 7</t>
  </si>
  <si>
    <t>7 - 8</t>
  </si>
  <si>
    <t>8 - 9</t>
  </si>
  <si>
    <t>9 - 10</t>
  </si>
  <si>
    <t>10 - 11</t>
  </si>
  <si>
    <t>11 - 12</t>
  </si>
  <si>
    <t>12 - 13</t>
  </si>
  <si>
    <t>13 - 14</t>
  </si>
  <si>
    <t>14 - 15</t>
  </si>
  <si>
    <t>15 - 16</t>
  </si>
  <si>
    <t>16 - 17</t>
  </si>
  <si>
    <t>17 - 18</t>
  </si>
  <si>
    <t>18 - 19</t>
  </si>
  <si>
    <t>19 - 20</t>
  </si>
  <si>
    <t>20 - 21</t>
  </si>
  <si>
    <t>21 - 22</t>
  </si>
  <si>
    <t>22 - 23</t>
  </si>
  <si>
    <t>23 - 24</t>
  </si>
  <si>
    <t>total</t>
  </si>
  <si>
    <t>altura</t>
  </si>
  <si>
    <t>Freq.</t>
  </si>
  <si>
    <t>D.</t>
  </si>
  <si>
    <t>ALT.</t>
  </si>
  <si>
    <t>DUR.</t>
  </si>
  <si>
    <t>(mm)</t>
  </si>
  <si>
    <t>(min)</t>
  </si>
  <si>
    <t>horária</t>
  </si>
  <si>
    <t>(horas)</t>
  </si>
  <si>
    <t xml:space="preserve">                VALORES MENSAIS</t>
  </si>
  <si>
    <t>TOTAL</t>
  </si>
  <si>
    <t>Horas</t>
  </si>
  <si>
    <t>MÁXIMO</t>
  </si>
  <si>
    <t>Total</t>
  </si>
  <si>
    <t>com</t>
  </si>
  <si>
    <t>DIAS &gt;=1</t>
  </si>
  <si>
    <t>A</t>
  </si>
  <si>
    <t>chuva</t>
  </si>
  <si>
    <t>D</t>
  </si>
  <si>
    <t>F</t>
  </si>
  <si>
    <t>Normal</t>
  </si>
  <si>
    <t>1933-2002</t>
  </si>
  <si>
    <t>Dias</t>
  </si>
  <si>
    <t>A = Altura mensal neste horário (mm)</t>
  </si>
  <si>
    <t>Desvio</t>
  </si>
  <si>
    <t>D = Duração (minutos com chuva no mês neste horário)</t>
  </si>
  <si>
    <t xml:space="preserve">    </t>
  </si>
  <si>
    <t>F = Freqüência (dias com chuva no mês neste horário)</t>
  </si>
  <si>
    <t>FEVEREIRO DE 2024</t>
  </si>
  <si>
    <t>DIGITADO POR PETY</t>
  </si>
  <si>
    <t>MARÇO DE 2024</t>
  </si>
  <si>
    <t>VERIFICADO POR PETY</t>
  </si>
  <si>
    <t>ABRIL DE 2024</t>
  </si>
  <si>
    <t>DIGITADO POR EDVALDO GOMES</t>
  </si>
  <si>
    <t>VERIFICADO POR EDVALDO GOMES</t>
  </si>
  <si>
    <t>MAIO DE 2024</t>
  </si>
  <si>
    <t>VERIFICADO POR  EDVALDO GOMES</t>
  </si>
  <si>
    <t>JUNHO DE 2024</t>
  </si>
  <si>
    <t>JULHO DE 2024</t>
  </si>
  <si>
    <t>ago</t>
  </si>
  <si>
    <t>,,,,,,,,,,0</t>
  </si>
  <si>
    <t>AGOSTO DE 2024</t>
  </si>
  <si>
    <t>set</t>
  </si>
  <si>
    <t>SETEMBRO DE 2024</t>
  </si>
  <si>
    <t xml:space="preserve">DIGITADO POR EDVALDO GOMES </t>
  </si>
  <si>
    <t xml:space="preserve">VERIFICADO POR EDVALDO GOMES  </t>
  </si>
  <si>
    <t>out</t>
  </si>
  <si>
    <t>OUTUBRO DE 2024</t>
  </si>
  <si>
    <t xml:space="preserve">DIGITADO POR  EDVALDO GOMES  </t>
  </si>
  <si>
    <t xml:space="preserve">VERIFICADO POR  EDVALDO GOMES  </t>
  </si>
  <si>
    <t>nov</t>
  </si>
  <si>
    <t>NOVEMBRO DE 2024</t>
  </si>
  <si>
    <t xml:space="preserve">VERIFICADO POR EDVALDO GOMES </t>
  </si>
  <si>
    <t>dez</t>
  </si>
  <si>
    <t xml:space="preserve"> </t>
  </si>
  <si>
    <t>DEZEMBRO DE 2024</t>
  </si>
</sst>
</file>

<file path=xl/styles.xml><?xml version="1.0" encoding="utf-8"?>
<styleSheet xmlns="http://schemas.openxmlformats.org/spreadsheetml/2006/main">
  <numFmts count="6">
    <numFmt numFmtId="164" formatCode="d\-mmm\-yy"/>
    <numFmt numFmtId="165" formatCode="d\-mmm"/>
    <numFmt numFmtId="166" formatCode="mmm\-yy"/>
    <numFmt numFmtId="167" formatCode="0.0"/>
    <numFmt numFmtId="168" formatCode="_(* #,##0.00_);_(* \(#,##0.00\);_(* \-??_);_(@_)"/>
    <numFmt numFmtId="169" formatCode="m/d/yyyy"/>
  </numFmts>
  <fonts count="28">
    <font>
      <sz val="10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4"/>
      <color rgb="FFFF0000"/>
      <name val="Arial"/>
      <family val="2"/>
    </font>
    <font>
      <sz val="14"/>
      <color rgb="FFFF000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indexed="10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sz val="12"/>
      <color theme="1"/>
      <name val="Arial"/>
      <family val="2"/>
    </font>
    <font>
      <b/>
      <sz val="14"/>
      <color indexed="10"/>
      <name val="Arial"/>
      <family val="2"/>
    </font>
    <font>
      <sz val="10"/>
      <color indexed="9"/>
      <name val="Arial"/>
      <family val="2"/>
    </font>
    <font>
      <sz val="8"/>
      <name val="Arial"/>
      <family val="2"/>
    </font>
    <font>
      <b/>
      <sz val="18"/>
      <name val="Arial"/>
      <family val="2"/>
    </font>
    <font>
      <b/>
      <sz val="16"/>
      <color rgb="FFFF0000"/>
      <name val="Arial"/>
      <family val="2"/>
    </font>
    <font>
      <b/>
      <sz val="10"/>
      <color rgb="FFFF0000"/>
      <name val="Arial"/>
      <family val="2"/>
    </font>
    <font>
      <sz val="16"/>
      <name val="Arial"/>
      <family val="2"/>
    </font>
    <font>
      <sz val="14"/>
      <color indexed="9"/>
      <name val="Arial"/>
      <family val="2"/>
    </font>
    <font>
      <b/>
      <sz val="12"/>
      <color indexed="8"/>
      <name val="Arial"/>
      <family val="2"/>
    </font>
    <font>
      <sz val="10"/>
      <color indexed="10"/>
      <name val="Arial"/>
      <family val="2"/>
    </font>
    <font>
      <i/>
      <sz val="14"/>
      <color indexed="10"/>
      <name val="Arial"/>
      <family val="2"/>
    </font>
    <font>
      <u/>
      <sz val="10"/>
      <name val="Arial"/>
      <family val="2"/>
    </font>
    <font>
      <b/>
      <sz val="12"/>
      <color rgb="FFFF0000"/>
      <name val="Arial"/>
      <family val="2"/>
    </font>
    <font>
      <sz val="14"/>
      <color indexed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42"/>
        <bgColor indexed="27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27"/>
      </patternFill>
    </fill>
    <fill>
      <patternFill patternType="solid">
        <fgColor indexed="13"/>
        <bgColor indexed="34"/>
      </patternFill>
    </fill>
    <fill>
      <patternFill patternType="solid">
        <fgColor rgb="FFFFFF99"/>
        <bgColor indexed="34"/>
      </patternFill>
    </fill>
    <fill>
      <patternFill patternType="solid">
        <fgColor indexed="43"/>
        <bgColor indexed="26"/>
      </patternFill>
    </fill>
    <fill>
      <patternFill patternType="solid">
        <fgColor rgb="FFFFFF99"/>
        <bgColor indexed="26"/>
      </patternFill>
    </fill>
    <fill>
      <patternFill patternType="solid">
        <fgColor rgb="FFCCFFCC"/>
        <bgColor indexed="27"/>
      </patternFill>
    </fill>
    <fill>
      <patternFill patternType="solid">
        <fgColor theme="0"/>
        <bgColor indexed="6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indexed="42"/>
        <bgColor indexed="34"/>
      </patternFill>
    </fill>
    <fill>
      <patternFill patternType="solid">
        <fgColor rgb="FFCCFFCC"/>
        <bgColor indexed="26"/>
      </patternFill>
    </fill>
  </fills>
  <borders count="57">
    <border>
      <left/>
      <right/>
      <top/>
      <bottom/>
      <diagonal/>
    </border>
    <border>
      <left/>
      <right/>
      <top/>
      <bottom style="medium">
        <color indexed="63"/>
      </bottom>
      <diagonal/>
    </border>
    <border>
      <left style="medium">
        <color indexed="63"/>
      </left>
      <right style="medium">
        <color indexed="63"/>
      </right>
      <top style="medium">
        <color indexed="63"/>
      </top>
      <bottom style="medium">
        <color indexed="63"/>
      </bottom>
      <diagonal/>
    </border>
    <border>
      <left style="medium">
        <color indexed="63"/>
      </left>
      <right style="medium">
        <color indexed="63"/>
      </right>
      <top style="medium">
        <color indexed="63"/>
      </top>
      <bottom/>
      <diagonal/>
    </border>
    <border>
      <left style="medium">
        <color indexed="63"/>
      </left>
      <right style="medium">
        <color indexed="63"/>
      </right>
      <top/>
      <bottom style="medium">
        <color indexed="63"/>
      </bottom>
      <diagonal/>
    </border>
    <border>
      <left/>
      <right/>
      <top style="medium">
        <color indexed="63"/>
      </top>
      <bottom/>
      <diagonal/>
    </border>
    <border>
      <left/>
      <right style="medium">
        <color indexed="63"/>
      </right>
      <top style="medium">
        <color indexed="63"/>
      </top>
      <bottom/>
      <diagonal/>
    </border>
    <border>
      <left style="medium">
        <color indexed="63"/>
      </left>
      <right/>
      <top style="medium">
        <color indexed="63"/>
      </top>
      <bottom/>
      <diagonal/>
    </border>
    <border>
      <left style="medium">
        <color indexed="63"/>
      </left>
      <right style="medium">
        <color indexed="63"/>
      </right>
      <top/>
      <bottom/>
      <diagonal/>
    </border>
    <border>
      <left/>
      <right style="medium">
        <color indexed="63"/>
      </right>
      <top/>
      <bottom/>
      <diagonal/>
    </border>
    <border>
      <left style="medium">
        <color indexed="63"/>
      </left>
      <right style="medium">
        <color indexed="63"/>
      </right>
      <top style="medium">
        <color indexed="63"/>
      </top>
      <bottom style="thin">
        <color indexed="63"/>
      </bottom>
      <diagonal/>
    </border>
    <border>
      <left style="medium">
        <color indexed="63"/>
      </left>
      <right/>
      <top style="medium">
        <color indexed="63"/>
      </top>
      <bottom style="medium">
        <color indexed="63"/>
      </bottom>
      <diagonal/>
    </border>
    <border>
      <left style="thin">
        <color indexed="63"/>
      </left>
      <right style="thin">
        <color indexed="63"/>
      </right>
      <top style="medium">
        <color indexed="63"/>
      </top>
      <bottom style="medium">
        <color indexed="63"/>
      </bottom>
      <diagonal/>
    </border>
    <border>
      <left style="medium">
        <color indexed="63"/>
      </left>
      <right style="thin">
        <color indexed="63"/>
      </right>
      <top style="medium">
        <color indexed="63"/>
      </top>
      <bottom style="medium">
        <color indexed="63"/>
      </bottom>
      <diagonal/>
    </border>
    <border>
      <left/>
      <right style="thin">
        <color indexed="63"/>
      </right>
      <top style="medium">
        <color indexed="63"/>
      </top>
      <bottom style="medium">
        <color indexed="63"/>
      </bottom>
      <diagonal/>
    </border>
    <border>
      <left/>
      <right style="medium">
        <color indexed="63"/>
      </right>
      <top style="medium">
        <color indexed="63"/>
      </top>
      <bottom style="medium">
        <color indexed="63"/>
      </bottom>
      <diagonal/>
    </border>
    <border>
      <left style="thin">
        <color indexed="63"/>
      </left>
      <right/>
      <top/>
      <bottom style="medium">
        <color indexed="63"/>
      </bottom>
      <diagonal/>
    </border>
    <border>
      <left style="medium">
        <color indexed="63"/>
      </left>
      <right style="thin">
        <color indexed="63"/>
      </right>
      <top/>
      <bottom style="medium">
        <color indexed="63"/>
      </bottom>
      <diagonal/>
    </border>
    <border>
      <left style="medium">
        <color indexed="63"/>
      </left>
      <right style="medium">
        <color indexed="63"/>
      </right>
      <top/>
      <bottom style="thin">
        <color indexed="63"/>
      </bottom>
      <diagonal/>
    </border>
    <border>
      <left style="medium">
        <color indexed="63"/>
      </left>
      <right style="thin">
        <color indexed="63"/>
      </right>
      <top style="medium">
        <color indexed="63"/>
      </top>
      <bottom style="thin">
        <color indexed="63"/>
      </bottom>
      <diagonal/>
    </border>
    <border>
      <left/>
      <right style="thin">
        <color indexed="63"/>
      </right>
      <top style="medium">
        <color indexed="63"/>
      </top>
      <bottom style="thin">
        <color indexed="63"/>
      </bottom>
      <diagonal/>
    </border>
    <border>
      <left style="thin">
        <color indexed="63"/>
      </left>
      <right style="medium">
        <color indexed="63"/>
      </right>
      <top style="medium">
        <color indexed="63"/>
      </top>
      <bottom style="thin">
        <color indexed="63"/>
      </bottom>
      <diagonal/>
    </border>
    <border>
      <left/>
      <right style="medium">
        <color indexed="63"/>
      </right>
      <top style="medium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medium">
        <color indexed="63"/>
      </top>
      <bottom style="thin">
        <color indexed="63"/>
      </bottom>
      <diagonal/>
    </border>
    <border>
      <left style="thin">
        <color indexed="63"/>
      </left>
      <right/>
      <top/>
      <bottom/>
      <diagonal/>
    </border>
    <border>
      <left style="medium">
        <color indexed="63"/>
      </left>
      <right style="thin">
        <color indexed="63"/>
      </right>
      <top style="thin">
        <color indexed="63"/>
      </top>
      <bottom/>
      <diagonal/>
    </border>
    <border>
      <left style="medium">
        <color indexed="63"/>
      </left>
      <right style="medium">
        <color indexed="63"/>
      </right>
      <top style="thin">
        <color indexed="63"/>
      </top>
      <bottom/>
      <diagonal/>
    </border>
    <border>
      <left style="medium">
        <color indexed="63"/>
      </left>
      <right style="thin">
        <color indexed="63"/>
      </right>
      <top/>
      <bottom/>
      <diagonal/>
    </border>
    <border>
      <left style="medium">
        <color indexed="63"/>
      </left>
      <right style="thin">
        <color indexed="63"/>
      </right>
      <top/>
      <bottom style="thin">
        <color indexed="63"/>
      </bottom>
      <diagonal/>
    </border>
    <border>
      <left/>
      <right style="thin">
        <color indexed="63"/>
      </right>
      <top/>
      <bottom style="thin">
        <color indexed="63"/>
      </bottom>
      <diagonal/>
    </border>
    <border>
      <left/>
      <right style="medium">
        <color indexed="63"/>
      </right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medium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/>
      <bottom style="thin">
        <color indexed="63"/>
      </bottom>
      <diagonal/>
    </border>
    <border>
      <left style="medium">
        <color indexed="63"/>
      </left>
      <right style="medium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medium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medium">
        <color indexed="63"/>
      </right>
      <top/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medium">
        <color indexed="63"/>
      </bottom>
      <diagonal/>
    </border>
    <border>
      <left style="medium">
        <color indexed="63"/>
      </left>
      <right style="thin">
        <color indexed="63"/>
      </right>
      <top style="thin">
        <color indexed="63"/>
      </top>
      <bottom style="medium">
        <color indexed="63"/>
      </bottom>
      <diagonal/>
    </border>
    <border>
      <left style="thin">
        <color indexed="63"/>
      </left>
      <right style="medium">
        <color indexed="63"/>
      </right>
      <top style="thin">
        <color indexed="63"/>
      </top>
      <bottom style="medium">
        <color indexed="63"/>
      </bottom>
      <diagonal/>
    </border>
    <border>
      <left/>
      <right style="medium">
        <color indexed="63"/>
      </right>
      <top style="thin">
        <color indexed="63"/>
      </top>
      <bottom style="medium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medium">
        <color indexed="63"/>
      </bottom>
      <diagonal/>
    </border>
    <border>
      <left style="medium">
        <color indexed="63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/>
      <right style="thin">
        <color indexed="63"/>
      </right>
      <top style="thin">
        <color indexed="63"/>
      </top>
      <bottom/>
      <diagonal/>
    </border>
    <border>
      <left/>
      <right/>
      <top style="thin">
        <color indexed="63"/>
      </top>
      <bottom/>
      <diagonal/>
    </border>
    <border>
      <left/>
      <right/>
      <top style="medium">
        <color indexed="63"/>
      </top>
      <bottom style="medium">
        <color indexed="63"/>
      </bottom>
      <diagonal/>
    </border>
    <border>
      <left/>
      <right style="thin">
        <color indexed="63"/>
      </right>
      <top/>
      <bottom style="medium">
        <color indexed="63"/>
      </bottom>
      <diagonal/>
    </border>
    <border>
      <left/>
      <right style="medium">
        <color indexed="63"/>
      </right>
      <top/>
      <bottom style="medium">
        <color indexed="63"/>
      </bottom>
      <diagonal/>
    </border>
    <border>
      <left style="medium">
        <color indexed="63"/>
      </left>
      <right style="thin">
        <color indexed="63"/>
      </right>
      <top style="medium">
        <color indexed="63"/>
      </top>
      <bottom/>
      <diagonal/>
    </border>
    <border>
      <left/>
      <right style="thin">
        <color indexed="63"/>
      </right>
      <top style="medium">
        <color indexed="63"/>
      </top>
      <bottom/>
      <diagonal/>
    </border>
    <border>
      <left style="thin">
        <color indexed="63"/>
      </left>
      <right style="medium">
        <color indexed="63"/>
      </right>
      <top style="medium">
        <color indexed="63"/>
      </top>
      <bottom style="medium">
        <color indexed="63"/>
      </bottom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 style="medium">
        <color indexed="63"/>
      </right>
      <top style="thin">
        <color indexed="63"/>
      </top>
      <bottom/>
      <diagonal/>
    </border>
    <border>
      <left/>
      <right style="medium">
        <color indexed="63"/>
      </right>
      <top style="thin">
        <color indexed="63"/>
      </top>
      <bottom/>
      <diagonal/>
    </border>
  </borders>
  <cellStyleXfs count="2">
    <xf numFmtId="0" fontId="0" fillId="0" borderId="0"/>
    <xf numFmtId="168" fontId="1" fillId="0" borderId="0" applyFill="0" applyBorder="0" applyAlignment="0" applyProtection="0"/>
  </cellStyleXfs>
  <cellXfs count="351">
    <xf numFmtId="0" fontId="0" fillId="0" borderId="0" xfId="0"/>
    <xf numFmtId="0" fontId="2" fillId="2" borderId="0" xfId="0" applyFont="1" applyFill="1"/>
    <xf numFmtId="0" fontId="3" fillId="3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0" fillId="3" borderId="0" xfId="0" applyFill="1" applyAlignment="1">
      <alignment horizontal="left"/>
    </xf>
    <xf numFmtId="0" fontId="0" fillId="3" borderId="0" xfId="0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2" borderId="2" xfId="0" applyFont="1" applyFill="1" applyBorder="1" applyAlignment="1">
      <alignment horizontal="center"/>
    </xf>
    <xf numFmtId="0" fontId="3" fillId="2" borderId="0" xfId="0" applyFont="1" applyFill="1"/>
    <xf numFmtId="0" fontId="7" fillId="2" borderId="3" xfId="0" applyFont="1" applyFill="1" applyBorder="1" applyAlignment="1">
      <alignment horizontal="center"/>
    </xf>
    <xf numFmtId="0" fontId="8" fillId="2" borderId="0" xfId="0" applyFont="1" applyFill="1"/>
    <xf numFmtId="0" fontId="0" fillId="4" borderId="0" xfId="0" applyFill="1"/>
    <xf numFmtId="0" fontId="0" fillId="2" borderId="0" xfId="0" applyFill="1"/>
    <xf numFmtId="0" fontId="3" fillId="2" borderId="3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3" xfId="0" applyFont="1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center"/>
    </xf>
    <xf numFmtId="164" fontId="0" fillId="2" borderId="1" xfId="0" applyNumberFormat="1" applyFill="1" applyBorder="1" applyAlignment="1">
      <alignment horizontal="left"/>
    </xf>
    <xf numFmtId="0" fontId="3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0" fillId="2" borderId="5" xfId="0" applyFill="1" applyBorder="1"/>
    <xf numFmtId="0" fontId="0" fillId="2" borderId="6" xfId="0" applyFill="1" applyBorder="1"/>
    <xf numFmtId="0" fontId="3" fillId="2" borderId="7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165" fontId="3" fillId="2" borderId="8" xfId="0" applyNumberFormat="1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166" fontId="3" fillId="2" borderId="8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5" xfId="0" applyFont="1" applyFill="1" applyBorder="1"/>
    <xf numFmtId="0" fontId="7" fillId="2" borderId="10" xfId="0" applyFont="1" applyFill="1" applyBorder="1" applyAlignment="1">
      <alignment horizontal="center"/>
    </xf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1" fontId="0" fillId="2" borderId="14" xfId="0" applyNumberFormat="1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3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0" fillId="2" borderId="0" xfId="0" applyFill="1" applyAlignment="1">
      <alignment horizontal="justify"/>
    </xf>
    <xf numFmtId="0" fontId="7" fillId="6" borderId="18" xfId="0" applyFont="1" applyFill="1" applyBorder="1" applyAlignment="1">
      <alignment horizontal="center"/>
    </xf>
    <xf numFmtId="167" fontId="2" fillId="3" borderId="19" xfId="0" applyNumberFormat="1" applyFont="1" applyFill="1" applyBorder="1" applyAlignment="1">
      <alignment horizontal="justify"/>
    </xf>
    <xf numFmtId="1" fontId="2" fillId="3" borderId="20" xfId="0" applyNumberFormat="1" applyFont="1" applyFill="1" applyBorder="1"/>
    <xf numFmtId="167" fontId="2" fillId="3" borderId="19" xfId="0" applyNumberFormat="1" applyFont="1" applyFill="1" applyBorder="1"/>
    <xf numFmtId="1" fontId="2" fillId="3" borderId="21" xfId="0" applyNumberFormat="1" applyFont="1" applyFill="1" applyBorder="1"/>
    <xf numFmtId="167" fontId="2" fillId="3" borderId="20" xfId="0" applyNumberFormat="1" applyFont="1" applyFill="1" applyBorder="1"/>
    <xf numFmtId="1" fontId="2" fillId="3" borderId="22" xfId="0" applyNumberFormat="1" applyFont="1" applyFill="1" applyBorder="1"/>
    <xf numFmtId="167" fontId="2" fillId="3" borderId="23" xfId="0" applyNumberFormat="1" applyFont="1" applyFill="1" applyBorder="1"/>
    <xf numFmtId="0" fontId="7" fillId="7" borderId="24" xfId="0" applyFont="1" applyFill="1" applyBorder="1" applyAlignment="1">
      <alignment horizontal="center"/>
    </xf>
    <xf numFmtId="167" fontId="2" fillId="7" borderId="25" xfId="0" applyNumberFormat="1" applyFont="1" applyFill="1" applyBorder="1" applyAlignment="1">
      <alignment horizontal="center"/>
    </xf>
    <xf numFmtId="1" fontId="2" fillId="7" borderId="25" xfId="0" applyNumberFormat="1" applyFont="1" applyFill="1" applyBorder="1" applyAlignment="1">
      <alignment horizontal="center"/>
    </xf>
    <xf numFmtId="167" fontId="2" fillId="7" borderId="26" xfId="0" applyNumberFormat="1" applyFont="1" applyFill="1" applyBorder="1" applyAlignment="1">
      <alignment horizontal="center"/>
    </xf>
    <xf numFmtId="0" fontId="2" fillId="7" borderId="26" xfId="0" applyFont="1" applyFill="1" applyBorder="1" applyAlignment="1">
      <alignment horizontal="center"/>
    </xf>
    <xf numFmtId="167" fontId="3" fillId="2" borderId="27" xfId="0" applyNumberFormat="1" applyFont="1" applyFill="1" applyBorder="1" applyAlignment="1">
      <alignment horizontal="center"/>
    </xf>
    <xf numFmtId="167" fontId="3" fillId="2" borderId="0" xfId="0" applyNumberFormat="1" applyFont="1" applyFill="1" applyAlignment="1">
      <alignment horizontal="center"/>
    </xf>
    <xf numFmtId="0" fontId="3" fillId="2" borderId="18" xfId="0" applyFont="1" applyFill="1" applyBorder="1" applyAlignment="1">
      <alignment horizontal="center"/>
    </xf>
    <xf numFmtId="167" fontId="2" fillId="0" borderId="28" xfId="0" applyNumberFormat="1" applyFont="1" applyBorder="1" applyAlignment="1">
      <alignment horizontal="right"/>
    </xf>
    <xf numFmtId="1" fontId="2" fillId="0" borderId="29" xfId="0" applyNumberFormat="1" applyFont="1" applyBorder="1"/>
    <xf numFmtId="167" fontId="2" fillId="0" borderId="28" xfId="0" applyNumberFormat="1" applyFont="1" applyBorder="1"/>
    <xf numFmtId="167" fontId="2" fillId="0" borderId="28" xfId="1" applyNumberFormat="1" applyFont="1" applyFill="1" applyBorder="1" applyAlignment="1" applyProtection="1"/>
    <xf numFmtId="1" fontId="2" fillId="0" borderId="30" xfId="0" applyNumberFormat="1" applyFont="1" applyBorder="1" applyAlignment="1">
      <alignment horizontal="center"/>
    </xf>
    <xf numFmtId="1" fontId="2" fillId="0" borderId="29" xfId="0" applyNumberFormat="1" applyFont="1" applyBorder="1" applyAlignment="1">
      <alignment horizontal="right"/>
    </xf>
    <xf numFmtId="1" fontId="2" fillId="0" borderId="30" xfId="0" applyNumberFormat="1" applyFont="1" applyBorder="1" applyAlignment="1">
      <alignment horizontal="right"/>
    </xf>
    <xf numFmtId="0" fontId="3" fillId="2" borderId="10" xfId="0" applyFont="1" applyFill="1" applyBorder="1" applyAlignment="1">
      <alignment horizontal="center"/>
    </xf>
    <xf numFmtId="167" fontId="2" fillId="2" borderId="19" xfId="0" applyNumberFormat="1" applyFont="1" applyFill="1" applyBorder="1" applyAlignment="1">
      <alignment horizontal="center"/>
    </xf>
    <xf numFmtId="1" fontId="2" fillId="2" borderId="19" xfId="0" applyNumberFormat="1" applyFont="1" applyFill="1" applyBorder="1" applyAlignment="1">
      <alignment horizontal="center"/>
    </xf>
    <xf numFmtId="167" fontId="2" fillId="2" borderId="10" xfId="0" applyNumberFormat="1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167" fontId="2" fillId="0" borderId="3" xfId="0" applyNumberFormat="1" applyFont="1" applyBorder="1" applyAlignment="1">
      <alignment horizontal="center"/>
    </xf>
    <xf numFmtId="165" fontId="9" fillId="2" borderId="3" xfId="0" applyNumberFormat="1" applyFont="1" applyFill="1" applyBorder="1" applyAlignment="1">
      <alignment horizontal="center"/>
    </xf>
    <xf numFmtId="167" fontId="4" fillId="7" borderId="31" xfId="0" applyNumberFormat="1" applyFont="1" applyFill="1" applyBorder="1" applyAlignment="1">
      <alignment horizontal="center"/>
    </xf>
    <xf numFmtId="0" fontId="0" fillId="0" borderId="8" xfId="0" applyBorder="1"/>
    <xf numFmtId="167" fontId="2" fillId="0" borderId="32" xfId="0" applyNumberFormat="1" applyFont="1" applyBorder="1"/>
    <xf numFmtId="1" fontId="2" fillId="0" borderId="33" xfId="0" applyNumberFormat="1" applyFont="1" applyBorder="1"/>
    <xf numFmtId="1" fontId="2" fillId="0" borderId="34" xfId="0" applyNumberFormat="1" applyFont="1" applyBorder="1"/>
    <xf numFmtId="0" fontId="3" fillId="2" borderId="35" xfId="0" applyFont="1" applyFill="1" applyBorder="1" applyAlignment="1">
      <alignment horizontal="center"/>
    </xf>
    <xf numFmtId="167" fontId="2" fillId="2" borderId="32" xfId="0" applyNumberFormat="1" applyFont="1" applyFill="1" applyBorder="1" applyAlignment="1">
      <alignment horizontal="center"/>
    </xf>
    <xf numFmtId="1" fontId="2" fillId="2" borderId="32" xfId="0" applyNumberFormat="1" applyFont="1" applyFill="1" applyBorder="1" applyAlignment="1">
      <alignment horizontal="center"/>
    </xf>
    <xf numFmtId="167" fontId="2" fillId="2" borderId="36" xfId="0" applyNumberFormat="1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167" fontId="10" fillId="2" borderId="4" xfId="0" applyNumberFormat="1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167" fontId="2" fillId="0" borderId="8" xfId="0" applyNumberFormat="1" applyFont="1" applyBorder="1" applyAlignment="1">
      <alignment horizontal="center"/>
    </xf>
    <xf numFmtId="1" fontId="2" fillId="0" borderId="8" xfId="0" applyNumberFormat="1" applyFont="1" applyBorder="1" applyAlignment="1">
      <alignment horizontal="center"/>
    </xf>
    <xf numFmtId="167" fontId="0" fillId="0" borderId="32" xfId="0" applyNumberFormat="1" applyBorder="1"/>
    <xf numFmtId="0" fontId="4" fillId="2" borderId="0" xfId="0" applyFont="1" applyFill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5" fillId="2" borderId="18" xfId="0" applyFont="1" applyFill="1" applyBorder="1" applyAlignment="1">
      <alignment horizontal="center"/>
    </xf>
    <xf numFmtId="167" fontId="12" fillId="0" borderId="32" xfId="0" applyNumberFormat="1" applyFont="1" applyBorder="1"/>
    <xf numFmtId="1" fontId="12" fillId="0" borderId="33" xfId="0" applyNumberFormat="1" applyFont="1" applyBorder="1"/>
    <xf numFmtId="167" fontId="2" fillId="0" borderId="32" xfId="0" applyNumberFormat="1" applyFont="1" applyBorder="1" applyAlignment="1">
      <alignment horizontal="right"/>
    </xf>
    <xf numFmtId="167" fontId="2" fillId="0" borderId="33" xfId="0" applyNumberFormat="1" applyFont="1" applyBorder="1"/>
    <xf numFmtId="167" fontId="5" fillId="0" borderId="32" xfId="0" applyNumberFormat="1" applyFont="1" applyBorder="1"/>
    <xf numFmtId="1" fontId="5" fillId="0" borderId="34" xfId="0" applyNumberFormat="1" applyFont="1" applyBorder="1"/>
    <xf numFmtId="1" fontId="2" fillId="0" borderId="37" xfId="0" applyNumberFormat="1" applyFont="1" applyBorder="1"/>
    <xf numFmtId="0" fontId="3" fillId="2" borderId="38" xfId="0" applyFont="1" applyFill="1" applyBorder="1" applyAlignment="1">
      <alignment horizontal="center"/>
    </xf>
    <xf numFmtId="167" fontId="2" fillId="0" borderId="0" xfId="0" applyNumberFormat="1" applyFont="1"/>
    <xf numFmtId="1" fontId="2" fillId="0" borderId="31" xfId="0" applyNumberFormat="1" applyFont="1" applyBorder="1"/>
    <xf numFmtId="0" fontId="3" fillId="2" borderId="36" xfId="0" applyFont="1" applyFill="1" applyBorder="1" applyAlignment="1">
      <alignment horizontal="center"/>
    </xf>
    <xf numFmtId="167" fontId="2" fillId="0" borderId="39" xfId="0" applyNumberFormat="1" applyFont="1" applyBorder="1" applyAlignment="1">
      <alignment horizontal="justify"/>
    </xf>
    <xf numFmtId="1" fontId="2" fillId="0" borderId="39" xfId="0" applyNumberFormat="1" applyFont="1" applyBorder="1"/>
    <xf numFmtId="167" fontId="2" fillId="0" borderId="40" xfId="0" applyNumberFormat="1" applyFont="1" applyBorder="1"/>
    <xf numFmtId="167" fontId="2" fillId="0" borderId="25" xfId="0" applyNumberFormat="1" applyFont="1" applyBorder="1"/>
    <xf numFmtId="1" fontId="2" fillId="0" borderId="41" xfId="0" applyNumberFormat="1" applyFont="1" applyBorder="1"/>
    <xf numFmtId="167" fontId="2" fillId="0" borderId="39" xfId="0" applyNumberFormat="1" applyFont="1" applyBorder="1"/>
    <xf numFmtId="1" fontId="2" fillId="0" borderId="42" xfId="0" applyNumberFormat="1" applyFont="1" applyBorder="1"/>
    <xf numFmtId="167" fontId="2" fillId="0" borderId="43" xfId="0" applyNumberFormat="1" applyFont="1" applyBorder="1"/>
    <xf numFmtId="0" fontId="3" fillId="2" borderId="42" xfId="0" applyFont="1" applyFill="1" applyBorder="1" applyAlignment="1">
      <alignment horizontal="center"/>
    </xf>
    <xf numFmtId="167" fontId="13" fillId="7" borderId="31" xfId="0" applyNumberFormat="1" applyFont="1" applyFill="1" applyBorder="1" applyAlignment="1">
      <alignment horizontal="center"/>
    </xf>
    <xf numFmtId="165" fontId="11" fillId="7" borderId="2" xfId="0" applyNumberFormat="1" applyFont="1" applyFill="1" applyBorder="1" applyAlignment="1">
      <alignment horizontal="center"/>
    </xf>
    <xf numFmtId="0" fontId="14" fillId="2" borderId="44" xfId="0" applyFont="1" applyFill="1" applyBorder="1" applyAlignment="1">
      <alignment horizontal="center"/>
    </xf>
    <xf numFmtId="167" fontId="4" fillId="7" borderId="45" xfId="0" applyNumberFormat="1" applyFont="1" applyFill="1" applyBorder="1" applyAlignment="1">
      <alignment horizontal="center"/>
    </xf>
    <xf numFmtId="1" fontId="2" fillId="3" borderId="46" xfId="0" applyNumberFormat="1" applyFont="1" applyFill="1" applyBorder="1"/>
    <xf numFmtId="167" fontId="4" fillId="8" borderId="45" xfId="0" applyNumberFormat="1" applyFont="1" applyFill="1" applyBorder="1" applyAlignment="1">
      <alignment horizontal="center"/>
    </xf>
    <xf numFmtId="1" fontId="2" fillId="3" borderId="47" xfId="0" applyNumberFormat="1" applyFont="1" applyFill="1" applyBorder="1"/>
    <xf numFmtId="167" fontId="4" fillId="2" borderId="7" xfId="0" applyNumberFormat="1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167" fontId="3" fillId="2" borderId="11" xfId="0" applyNumberFormat="1" applyFont="1" applyFill="1" applyBorder="1"/>
    <xf numFmtId="1" fontId="7" fillId="2" borderId="48" xfId="0" applyNumberFormat="1" applyFont="1" applyFill="1" applyBorder="1"/>
    <xf numFmtId="167" fontId="7" fillId="2" borderId="48" xfId="0" applyNumberFormat="1" applyFont="1" applyFill="1" applyBorder="1"/>
    <xf numFmtId="0" fontId="7" fillId="2" borderId="15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167" fontId="3" fillId="2" borderId="2" xfId="0" applyNumberFormat="1" applyFont="1" applyFill="1" applyBorder="1" applyAlignment="1">
      <alignment horizontal="center"/>
    </xf>
    <xf numFmtId="165" fontId="8" fillId="2" borderId="11" xfId="0" applyNumberFormat="1" applyFont="1" applyFill="1" applyBorder="1" applyAlignment="1">
      <alignment horizontal="center"/>
    </xf>
    <xf numFmtId="167" fontId="7" fillId="7" borderId="3" xfId="0" applyNumberFormat="1" applyFont="1" applyFill="1" applyBorder="1" applyAlignment="1">
      <alignment horizontal="center"/>
    </xf>
    <xf numFmtId="0" fontId="15" fillId="3" borderId="0" xfId="0" applyFont="1" applyFill="1" applyBorder="1" applyAlignment="1">
      <alignment horizontal="center"/>
    </xf>
    <xf numFmtId="0" fontId="2" fillId="2" borderId="44" xfId="0" applyFont="1" applyFill="1" applyBorder="1"/>
    <xf numFmtId="0" fontId="3" fillId="2" borderId="2" xfId="0" applyFont="1" applyFill="1" applyBorder="1" applyAlignment="1">
      <alignment horizontal="center"/>
    </xf>
    <xf numFmtId="165" fontId="3" fillId="2" borderId="2" xfId="0" applyNumberFormat="1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2" fillId="2" borderId="9" xfId="0" applyFont="1" applyFill="1" applyBorder="1"/>
    <xf numFmtId="167" fontId="3" fillId="2" borderId="5" xfId="0" applyNumberFormat="1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1" fontId="0" fillId="2" borderId="14" xfId="0" applyNumberForma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167" fontId="2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6" fillId="2" borderId="9" xfId="0" applyFont="1" applyFill="1" applyBorder="1"/>
    <xf numFmtId="167" fontId="2" fillId="2" borderId="15" xfId="0" applyNumberFormat="1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67" fontId="2" fillId="2" borderId="0" xfId="0" applyNumberFormat="1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0" fontId="0" fillId="0" borderId="0" xfId="0" applyBorder="1"/>
    <xf numFmtId="0" fontId="0" fillId="2" borderId="2" xfId="0" applyFill="1" applyBorder="1"/>
    <xf numFmtId="0" fontId="16" fillId="2" borderId="0" xfId="0" applyFont="1" applyFill="1"/>
    <xf numFmtId="0" fontId="14" fillId="2" borderId="11" xfId="0" applyFont="1" applyFill="1" applyBorder="1" applyAlignment="1">
      <alignment horizontal="center"/>
    </xf>
    <xf numFmtId="0" fontId="9" fillId="2" borderId="15" xfId="0" applyFont="1" applyFill="1" applyBorder="1" applyAlignment="1">
      <alignment horizontal="center"/>
    </xf>
    <xf numFmtId="0" fontId="0" fillId="2" borderId="9" xfId="0" applyFill="1" applyBorder="1"/>
    <xf numFmtId="0" fontId="3" fillId="2" borderId="44" xfId="0" applyFont="1" applyFill="1" applyBorder="1" applyAlignment="1">
      <alignment horizontal="center"/>
    </xf>
    <xf numFmtId="0" fontId="17" fillId="2" borderId="0" xfId="0" applyFont="1" applyFill="1" applyAlignment="1">
      <alignment horizontal="left"/>
    </xf>
    <xf numFmtId="0" fontId="17" fillId="2" borderId="0" xfId="0" applyFont="1" applyFill="1"/>
    <xf numFmtId="0" fontId="17" fillId="9" borderId="0" xfId="0" applyFont="1" applyFill="1"/>
    <xf numFmtId="0" fontId="18" fillId="9" borderId="0" xfId="0" applyFont="1" applyFill="1" applyBorder="1" applyAlignment="1">
      <alignment horizontal="center"/>
    </xf>
    <xf numFmtId="0" fontId="2" fillId="9" borderId="0" xfId="0" applyFont="1" applyFill="1" applyBorder="1" applyAlignment="1">
      <alignment horizontal="center"/>
    </xf>
    <xf numFmtId="167" fontId="3" fillId="2" borderId="0" xfId="0" applyNumberFormat="1" applyFont="1" applyFill="1" applyAlignment="1">
      <alignment horizontal="left"/>
    </xf>
    <xf numFmtId="0" fontId="2" fillId="9" borderId="0" xfId="0" applyFont="1" applyFill="1" applyBorder="1"/>
    <xf numFmtId="0" fontId="0" fillId="9" borderId="0" xfId="0" applyFill="1" applyBorder="1"/>
    <xf numFmtId="0" fontId="18" fillId="9" borderId="0" xfId="0" applyFont="1" applyFill="1" applyBorder="1"/>
    <xf numFmtId="0" fontId="19" fillId="9" borderId="0" xfId="0" applyFont="1" applyFill="1" applyBorder="1"/>
    <xf numFmtId="0" fontId="16" fillId="2" borderId="9" xfId="0" applyFont="1" applyFill="1" applyBorder="1" applyAlignment="1">
      <alignment horizontal="center"/>
    </xf>
    <xf numFmtId="167" fontId="2" fillId="2" borderId="44" xfId="0" applyNumberFormat="1" applyFont="1" applyFill="1" applyBorder="1" applyAlignment="1">
      <alignment horizontal="center"/>
    </xf>
    <xf numFmtId="0" fontId="4" fillId="2" borderId="1" xfId="0" applyFont="1" applyFill="1" applyBorder="1"/>
    <xf numFmtId="0" fontId="20" fillId="9" borderId="0" xfId="0" applyFont="1" applyFill="1" applyBorder="1"/>
    <xf numFmtId="0" fontId="20" fillId="9" borderId="0" xfId="0" applyFont="1" applyFill="1" applyBorder="1" applyAlignment="1"/>
    <xf numFmtId="0" fontId="17" fillId="10" borderId="0" xfId="0" applyFont="1" applyFill="1" applyAlignment="1">
      <alignment horizontal="left"/>
    </xf>
    <xf numFmtId="0" fontId="17" fillId="10" borderId="0" xfId="0" applyFont="1" applyFill="1"/>
    <xf numFmtId="0" fontId="17" fillId="11" borderId="0" xfId="0" applyFont="1" applyFill="1"/>
    <xf numFmtId="0" fontId="17" fillId="11" borderId="0" xfId="0" applyFont="1" applyFill="1" applyBorder="1"/>
    <xf numFmtId="0" fontId="2" fillId="11" borderId="0" xfId="0" applyFont="1" applyFill="1" applyBorder="1"/>
    <xf numFmtId="0" fontId="2" fillId="11" borderId="0" xfId="0" applyFont="1" applyFill="1"/>
    <xf numFmtId="0" fontId="0" fillId="11" borderId="0" xfId="0" applyFill="1"/>
    <xf numFmtId="0" fontId="13" fillId="11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167" fontId="13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0" fillId="3" borderId="0" xfId="0" applyFont="1" applyFill="1" applyAlignment="1">
      <alignment horizontal="left"/>
    </xf>
    <xf numFmtId="0" fontId="8" fillId="2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11" xfId="0" applyFont="1" applyFill="1" applyBorder="1"/>
    <xf numFmtId="0" fontId="0" fillId="2" borderId="12" xfId="0" applyFont="1" applyFill="1" applyBorder="1"/>
    <xf numFmtId="0" fontId="0" fillId="2" borderId="13" xfId="0" applyFont="1" applyFill="1" applyBorder="1"/>
    <xf numFmtId="1" fontId="0" fillId="2" borderId="14" xfId="0" applyNumberFormat="1" applyFont="1" applyFill="1" applyBorder="1"/>
    <xf numFmtId="0" fontId="0" fillId="2" borderId="14" xfId="0" applyFont="1" applyFill="1" applyBorder="1"/>
    <xf numFmtId="0" fontId="0" fillId="2" borderId="15" xfId="0" applyFont="1" applyFill="1" applyBorder="1"/>
    <xf numFmtId="0" fontId="0" fillId="2" borderId="13" xfId="0" applyFont="1" applyFill="1" applyBorder="1" applyAlignment="1">
      <alignment horizontal="center"/>
    </xf>
    <xf numFmtId="0" fontId="0" fillId="2" borderId="15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justify"/>
    </xf>
    <xf numFmtId="167" fontId="4" fillId="12" borderId="19" xfId="0" applyNumberFormat="1" applyFont="1" applyFill="1" applyBorder="1" applyAlignment="1">
      <alignment horizontal="center"/>
    </xf>
    <xf numFmtId="1" fontId="2" fillId="12" borderId="21" xfId="0" applyNumberFormat="1" applyFont="1" applyFill="1" applyBorder="1"/>
    <xf numFmtId="167" fontId="4" fillId="12" borderId="20" xfId="0" applyNumberFormat="1" applyFont="1" applyFill="1" applyBorder="1" applyAlignment="1">
      <alignment horizontal="center"/>
    </xf>
    <xf numFmtId="1" fontId="2" fillId="12" borderId="22" xfId="0" applyNumberFormat="1" applyFont="1" applyFill="1" applyBorder="1"/>
    <xf numFmtId="167" fontId="2" fillId="0" borderId="32" xfId="1" applyNumberFormat="1" applyFont="1" applyFill="1" applyBorder="1" applyAlignment="1" applyProtection="1"/>
    <xf numFmtId="1" fontId="2" fillId="0" borderId="34" xfId="0" applyNumberFormat="1" applyFont="1" applyBorder="1" applyAlignment="1">
      <alignment horizontal="right"/>
    </xf>
    <xf numFmtId="1" fontId="2" fillId="0" borderId="33" xfId="0" applyNumberFormat="1" applyFont="1" applyBorder="1" applyAlignment="1">
      <alignment horizontal="right"/>
    </xf>
    <xf numFmtId="0" fontId="4" fillId="2" borderId="0" xfId="0" applyFont="1" applyFill="1" applyBorder="1"/>
    <xf numFmtId="167" fontId="10" fillId="2" borderId="2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3" fillId="13" borderId="35" xfId="0" applyFont="1" applyFill="1" applyBorder="1" applyAlignment="1">
      <alignment horizontal="center"/>
    </xf>
    <xf numFmtId="1" fontId="2" fillId="0" borderId="46" xfId="0" applyNumberFormat="1" applyFont="1" applyBorder="1"/>
    <xf numFmtId="167" fontId="21" fillId="3" borderId="25" xfId="0" applyNumberFormat="1" applyFont="1" applyFill="1" applyBorder="1"/>
    <xf numFmtId="167" fontId="2" fillId="0" borderId="0" xfId="0" applyNumberFormat="1" applyFont="1" applyBorder="1"/>
    <xf numFmtId="167" fontId="4" fillId="7" borderId="13" xfId="0" applyNumberFormat="1" applyFont="1" applyFill="1" applyBorder="1" applyAlignment="1">
      <alignment horizontal="center"/>
    </xf>
    <xf numFmtId="1" fontId="2" fillId="3" borderId="14" xfId="0" applyNumberFormat="1" applyFont="1" applyFill="1" applyBorder="1"/>
    <xf numFmtId="167" fontId="4" fillId="7" borderId="12" xfId="0" applyNumberFormat="1" applyFont="1" applyFill="1" applyBorder="1" applyAlignment="1">
      <alignment horizontal="center"/>
    </xf>
    <xf numFmtId="1" fontId="2" fillId="3" borderId="15" xfId="0" applyNumberFormat="1" applyFont="1" applyFill="1" applyBorder="1"/>
    <xf numFmtId="0" fontId="5" fillId="2" borderId="38" xfId="0" applyFont="1" applyFill="1" applyBorder="1" applyAlignment="1">
      <alignment horizontal="center"/>
    </xf>
    <xf numFmtId="167" fontId="7" fillId="7" borderId="31" xfId="0" applyNumberFormat="1" applyFont="1" applyFill="1" applyBorder="1" applyAlignment="1">
      <alignment horizontal="center"/>
    </xf>
    <xf numFmtId="1" fontId="2" fillId="0" borderId="49" xfId="0" applyNumberFormat="1" applyFont="1" applyBorder="1"/>
    <xf numFmtId="167" fontId="22" fillId="7" borderId="31" xfId="0" applyNumberFormat="1" applyFont="1" applyFill="1" applyBorder="1" applyAlignment="1">
      <alignment horizontal="center"/>
    </xf>
    <xf numFmtId="0" fontId="2" fillId="2" borderId="44" xfId="0" applyFont="1" applyFill="1" applyBorder="1" applyAlignment="1">
      <alignment horizontal="justify"/>
    </xf>
    <xf numFmtId="0" fontId="0" fillId="2" borderId="7" xfId="0" applyFill="1" applyBorder="1"/>
    <xf numFmtId="167" fontId="3" fillId="2" borderId="11" xfId="0" applyNumberFormat="1" applyFont="1" applyFill="1" applyBorder="1" applyAlignment="1"/>
    <xf numFmtId="1" fontId="7" fillId="2" borderId="48" xfId="0" applyNumberFormat="1" applyFont="1" applyFill="1" applyBorder="1" applyAlignment="1"/>
    <xf numFmtId="167" fontId="7" fillId="2" borderId="48" xfId="0" applyNumberFormat="1" applyFont="1" applyFill="1" applyBorder="1" applyAlignment="1"/>
    <xf numFmtId="0" fontId="0" fillId="2" borderId="11" xfId="0" applyFont="1" applyFill="1" applyBorder="1" applyAlignment="1">
      <alignment horizontal="center"/>
    </xf>
    <xf numFmtId="0" fontId="0" fillId="2" borderId="12" xfId="0" applyFont="1" applyFill="1" applyBorder="1" applyAlignment="1">
      <alignment horizontal="center"/>
    </xf>
    <xf numFmtId="1" fontId="0" fillId="2" borderId="14" xfId="0" applyNumberFormat="1" applyFont="1" applyFill="1" applyBorder="1" applyAlignment="1">
      <alignment horizontal="center"/>
    </xf>
    <xf numFmtId="0" fontId="0" fillId="2" borderId="14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16" fillId="2" borderId="8" xfId="0" applyFont="1" applyFill="1" applyBorder="1"/>
    <xf numFmtId="167" fontId="2" fillId="2" borderId="0" xfId="0" applyNumberFormat="1" applyFont="1" applyFill="1" applyBorder="1" applyAlignment="1">
      <alignment horizontal="center"/>
    </xf>
    <xf numFmtId="1" fontId="2" fillId="2" borderId="0" xfId="0" applyNumberFormat="1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16" fillId="2" borderId="0" xfId="0" applyFont="1" applyFill="1" applyBorder="1"/>
    <xf numFmtId="0" fontId="0" fillId="2" borderId="9" xfId="0" applyFont="1" applyFill="1" applyBorder="1"/>
    <xf numFmtId="0" fontId="2" fillId="2" borderId="0" xfId="0" applyFont="1" applyFill="1" applyBorder="1"/>
    <xf numFmtId="0" fontId="17" fillId="2" borderId="0" xfId="0" applyFont="1" applyFill="1" applyBorder="1" applyAlignment="1">
      <alignment horizontal="left"/>
    </xf>
    <xf numFmtId="0" fontId="3" fillId="2" borderId="0" xfId="0" applyFont="1" applyFill="1" applyBorder="1"/>
    <xf numFmtId="0" fontId="17" fillId="2" borderId="0" xfId="0" applyFont="1" applyFill="1" applyBorder="1"/>
    <xf numFmtId="0" fontId="0" fillId="2" borderId="0" xfId="0" applyFont="1" applyFill="1" applyBorder="1"/>
    <xf numFmtId="167" fontId="3" fillId="2" borderId="0" xfId="0" applyNumberFormat="1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17" fillId="0" borderId="0" xfId="0" applyFont="1"/>
    <xf numFmtId="0" fontId="3" fillId="14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23" fillId="2" borderId="1" xfId="0" applyFont="1" applyFill="1" applyBorder="1" applyAlignment="1">
      <alignment horizontal="center"/>
    </xf>
    <xf numFmtId="167" fontId="2" fillId="3" borderId="32" xfId="0" applyNumberFormat="1" applyFont="1" applyFill="1" applyBorder="1" applyAlignment="1">
      <alignment horizontal="right"/>
    </xf>
    <xf numFmtId="1" fontId="2" fillId="3" borderId="33" xfId="0" applyNumberFormat="1" applyFont="1" applyFill="1" applyBorder="1"/>
    <xf numFmtId="167" fontId="2" fillId="3" borderId="32" xfId="0" applyNumberFormat="1" applyFont="1" applyFill="1" applyBorder="1"/>
    <xf numFmtId="167" fontId="2" fillId="3" borderId="32" xfId="1" applyNumberFormat="1" applyFont="1" applyFill="1" applyBorder="1" applyAlignment="1" applyProtection="1"/>
    <xf numFmtId="1" fontId="2" fillId="3" borderId="34" xfId="0" applyNumberFormat="1" applyFont="1" applyFill="1" applyBorder="1" applyAlignment="1">
      <alignment horizontal="justify"/>
    </xf>
    <xf numFmtId="1" fontId="2" fillId="3" borderId="33" xfId="0" applyNumberFormat="1" applyFont="1" applyFill="1" applyBorder="1" applyAlignment="1">
      <alignment horizontal="right"/>
    </xf>
    <xf numFmtId="1" fontId="2" fillId="3" borderId="34" xfId="0" applyNumberFormat="1" applyFont="1" applyFill="1" applyBorder="1" applyAlignment="1">
      <alignment horizontal="right"/>
    </xf>
    <xf numFmtId="1" fontId="2" fillId="3" borderId="33" xfId="0" applyNumberFormat="1" applyFont="1" applyFill="1" applyBorder="1" applyAlignment="1"/>
    <xf numFmtId="167" fontId="10" fillId="2" borderId="3" xfId="0" applyNumberFormat="1" applyFont="1" applyFill="1" applyBorder="1" applyAlignment="1">
      <alignment horizontal="center"/>
    </xf>
    <xf numFmtId="1" fontId="2" fillId="3" borderId="34" xfId="0" applyNumberFormat="1" applyFont="1" applyFill="1" applyBorder="1"/>
    <xf numFmtId="167" fontId="0" fillId="3" borderId="32" xfId="0" applyNumberFormat="1" applyFont="1" applyFill="1" applyBorder="1"/>
    <xf numFmtId="167" fontId="24" fillId="3" borderId="32" xfId="0" applyNumberFormat="1" applyFont="1" applyFill="1" applyBorder="1"/>
    <xf numFmtId="1" fontId="24" fillId="3" borderId="33" xfId="0" applyNumberFormat="1" applyFont="1" applyFill="1" applyBorder="1"/>
    <xf numFmtId="167" fontId="2" fillId="3" borderId="33" xfId="0" applyNumberFormat="1" applyFont="1" applyFill="1" applyBorder="1"/>
    <xf numFmtId="1" fontId="2" fillId="3" borderId="37" xfId="0" applyNumberFormat="1" applyFont="1" applyFill="1" applyBorder="1"/>
    <xf numFmtId="167" fontId="2" fillId="3" borderId="0" xfId="0" applyNumberFormat="1" applyFont="1" applyFill="1" applyBorder="1"/>
    <xf numFmtId="1" fontId="2" fillId="3" borderId="31" xfId="0" applyNumberFormat="1" applyFont="1" applyFill="1" applyBorder="1"/>
    <xf numFmtId="167" fontId="2" fillId="3" borderId="39" xfId="0" applyNumberFormat="1" applyFont="1" applyFill="1" applyBorder="1" applyAlignment="1">
      <alignment horizontal="justify"/>
    </xf>
    <xf numFmtId="1" fontId="2" fillId="3" borderId="39" xfId="0" applyNumberFormat="1" applyFont="1" applyFill="1" applyBorder="1"/>
    <xf numFmtId="167" fontId="2" fillId="3" borderId="40" xfId="0" applyNumberFormat="1" applyFont="1" applyFill="1" applyBorder="1"/>
    <xf numFmtId="167" fontId="2" fillId="3" borderId="25" xfId="0" applyNumberFormat="1" applyFont="1" applyFill="1" applyBorder="1"/>
    <xf numFmtId="1" fontId="2" fillId="3" borderId="41" xfId="0" applyNumberFormat="1" applyFont="1" applyFill="1" applyBorder="1"/>
    <xf numFmtId="167" fontId="2" fillId="3" borderId="39" xfId="0" applyNumberFormat="1" applyFont="1" applyFill="1" applyBorder="1"/>
    <xf numFmtId="1" fontId="2" fillId="3" borderId="42" xfId="0" applyNumberFormat="1" applyFont="1" applyFill="1" applyBorder="1"/>
    <xf numFmtId="167" fontId="2" fillId="3" borderId="43" xfId="0" applyNumberFormat="1" applyFont="1" applyFill="1" applyBorder="1"/>
    <xf numFmtId="167" fontId="2" fillId="11" borderId="0" xfId="0" applyNumberFormat="1" applyFont="1" applyFill="1" applyAlignment="1">
      <alignment horizontal="center"/>
    </xf>
    <xf numFmtId="0" fontId="25" fillId="2" borderId="13" xfId="0" applyFont="1" applyFill="1" applyBorder="1"/>
    <xf numFmtId="167" fontId="2" fillId="3" borderId="46" xfId="0" applyNumberFormat="1" applyFont="1" applyFill="1" applyBorder="1"/>
    <xf numFmtId="0" fontId="14" fillId="2" borderId="36" xfId="0" applyFont="1" applyFill="1" applyBorder="1" applyAlignment="1">
      <alignment horizontal="center"/>
    </xf>
    <xf numFmtId="167" fontId="4" fillId="3" borderId="46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69" fontId="2" fillId="2" borderId="0" xfId="0" applyNumberFormat="1" applyFont="1" applyFill="1" applyBorder="1" applyAlignment="1">
      <alignment horizontal="center"/>
    </xf>
    <xf numFmtId="167" fontId="2" fillId="3" borderId="39" xfId="0" applyNumberFormat="1" applyFont="1" applyFill="1" applyBorder="1" applyAlignment="1">
      <alignment horizontal="center"/>
    </xf>
    <xf numFmtId="169" fontId="2" fillId="2" borderId="0" xfId="0" applyNumberFormat="1" applyFont="1" applyFill="1"/>
    <xf numFmtId="0" fontId="3" fillId="13" borderId="18" xfId="0" applyFont="1" applyFill="1" applyBorder="1" applyAlignment="1">
      <alignment horizontal="center"/>
    </xf>
    <xf numFmtId="167" fontId="4" fillId="3" borderId="45" xfId="0" applyNumberFormat="1" applyFont="1" applyFill="1" applyBorder="1" applyAlignment="1">
      <alignment horizontal="center"/>
    </xf>
    <xf numFmtId="167" fontId="2" fillId="3" borderId="2" xfId="0" applyNumberFormat="1" applyFont="1" applyFill="1" applyBorder="1" applyAlignment="1">
      <alignment horizontal="center"/>
    </xf>
    <xf numFmtId="0" fontId="17" fillId="0" borderId="0" xfId="0" applyFont="1" applyAlignment="1">
      <alignment horizontal="left"/>
    </xf>
    <xf numFmtId="0" fontId="2" fillId="3" borderId="0" xfId="0" applyFont="1" applyFill="1" applyBorder="1" applyAlignment="1">
      <alignment horizontal="center"/>
    </xf>
    <xf numFmtId="169" fontId="4" fillId="2" borderId="0" xfId="0" applyNumberFormat="1" applyFont="1" applyFill="1" applyBorder="1" applyAlignment="1">
      <alignment horizontal="center"/>
    </xf>
    <xf numFmtId="0" fontId="26" fillId="2" borderId="0" xfId="0" applyFont="1" applyFill="1"/>
    <xf numFmtId="0" fontId="2" fillId="3" borderId="19" xfId="0" applyFont="1" applyFill="1" applyBorder="1" applyAlignment="1">
      <alignment horizontal="center"/>
    </xf>
    <xf numFmtId="0" fontId="2" fillId="3" borderId="22" xfId="0" applyFont="1" applyFill="1" applyBorder="1"/>
    <xf numFmtId="0" fontId="2" fillId="3" borderId="19" xfId="0" applyFont="1" applyFill="1" applyBorder="1"/>
    <xf numFmtId="0" fontId="2" fillId="3" borderId="21" xfId="0" applyFont="1" applyFill="1" applyBorder="1"/>
    <xf numFmtId="0" fontId="2" fillId="3" borderId="32" xfId="0" applyFont="1" applyFill="1" applyBorder="1" applyAlignment="1">
      <alignment horizontal="center"/>
    </xf>
    <xf numFmtId="0" fontId="2" fillId="3" borderId="34" xfId="0" applyFont="1" applyFill="1" applyBorder="1" applyAlignment="1">
      <alignment horizontal="center"/>
    </xf>
    <xf numFmtId="0" fontId="0" fillId="3" borderId="32" xfId="0" applyFill="1" applyBorder="1"/>
    <xf numFmtId="0" fontId="0" fillId="3" borderId="37" xfId="0" applyFill="1" applyBorder="1"/>
    <xf numFmtId="167" fontId="2" fillId="3" borderId="32" xfId="0" applyNumberFormat="1" applyFont="1" applyFill="1" applyBorder="1" applyAlignment="1">
      <alignment horizontal="center"/>
    </xf>
    <xf numFmtId="1" fontId="2" fillId="3" borderId="33" xfId="0" applyNumberFormat="1" applyFont="1" applyFill="1" applyBorder="1" applyAlignment="1">
      <alignment horizontal="center"/>
    </xf>
    <xf numFmtId="167" fontId="12" fillId="3" borderId="32" xfId="0" applyNumberFormat="1" applyFont="1" applyFill="1" applyBorder="1" applyAlignment="1">
      <alignment horizontal="center"/>
    </xf>
    <xf numFmtId="1" fontId="12" fillId="3" borderId="33" xfId="0" applyNumberFormat="1" applyFont="1" applyFill="1" applyBorder="1" applyAlignment="1">
      <alignment horizontal="center"/>
    </xf>
    <xf numFmtId="167" fontId="14" fillId="3" borderId="32" xfId="0" applyNumberFormat="1" applyFont="1" applyFill="1" applyBorder="1"/>
    <xf numFmtId="1" fontId="14" fillId="3" borderId="33" xfId="0" applyNumberFormat="1" applyFont="1" applyFill="1" applyBorder="1"/>
    <xf numFmtId="167" fontId="2" fillId="3" borderId="39" xfId="0" applyNumberFormat="1" applyFont="1" applyFill="1" applyBorder="1" applyAlignment="1">
      <alignment horizontal="right"/>
    </xf>
    <xf numFmtId="0" fontId="2" fillId="0" borderId="0" xfId="0" applyFont="1" applyBorder="1" applyAlignment="1">
      <alignment horizontal="center"/>
    </xf>
    <xf numFmtId="0" fontId="7" fillId="4" borderId="9" xfId="0" applyFont="1" applyFill="1" applyBorder="1" applyAlignment="1">
      <alignment horizontal="center"/>
    </xf>
    <xf numFmtId="0" fontId="7" fillId="4" borderId="44" xfId="0" applyFont="1" applyFill="1" applyBorder="1" applyAlignment="1">
      <alignment horizontal="center"/>
    </xf>
    <xf numFmtId="165" fontId="3" fillId="2" borderId="4" xfId="0" applyNumberFormat="1" applyFont="1" applyFill="1" applyBorder="1" applyAlignment="1">
      <alignment horizontal="center"/>
    </xf>
    <xf numFmtId="0" fontId="3" fillId="2" borderId="50" xfId="0" applyFont="1" applyFill="1" applyBorder="1" applyAlignment="1">
      <alignment horizontal="center"/>
    </xf>
    <xf numFmtId="0" fontId="2" fillId="9" borderId="0" xfId="0" applyFont="1" applyFill="1"/>
    <xf numFmtId="0" fontId="3" fillId="12" borderId="0" xfId="0" applyFont="1" applyFill="1" applyAlignment="1">
      <alignment horizontal="left"/>
    </xf>
    <xf numFmtId="169" fontId="4" fillId="2" borderId="0" xfId="0" applyNumberFormat="1" applyFont="1" applyFill="1" applyAlignment="1">
      <alignment horizontal="center"/>
    </xf>
    <xf numFmtId="167" fontId="2" fillId="3" borderId="0" xfId="0" applyNumberFormat="1" applyFont="1" applyFill="1"/>
    <xf numFmtId="167" fontId="3" fillId="2" borderId="0" xfId="0" applyNumberFormat="1" applyFont="1" applyFill="1" applyBorder="1" applyAlignment="1">
      <alignment horizontal="center"/>
    </xf>
    <xf numFmtId="0" fontId="2" fillId="4" borderId="0" xfId="0" applyFont="1" applyFill="1"/>
    <xf numFmtId="0" fontId="0" fillId="14" borderId="0" xfId="0" applyFill="1" applyAlignment="1">
      <alignment horizontal="left"/>
    </xf>
    <xf numFmtId="0" fontId="4" fillId="9" borderId="0" xfId="0" applyFont="1" applyFill="1"/>
    <xf numFmtId="0" fontId="9" fillId="2" borderId="0" xfId="0" applyFont="1" applyFill="1" applyBorder="1"/>
    <xf numFmtId="167" fontId="2" fillId="12" borderId="51" xfId="0" applyNumberFormat="1" applyFont="1" applyFill="1" applyBorder="1"/>
    <xf numFmtId="167" fontId="2" fillId="12" borderId="52" xfId="0" applyNumberFormat="1" applyFont="1" applyFill="1" applyBorder="1"/>
    <xf numFmtId="1" fontId="2" fillId="12" borderId="6" xfId="0" applyNumberFormat="1" applyFont="1" applyFill="1" applyBorder="1"/>
    <xf numFmtId="167" fontId="0" fillId="3" borderId="32" xfId="0" applyNumberFormat="1" applyFill="1" applyBorder="1"/>
    <xf numFmtId="167" fontId="4" fillId="8" borderId="13" xfId="0" applyNumberFormat="1" applyFont="1" applyFill="1" applyBorder="1" applyAlignment="1">
      <alignment horizontal="center"/>
    </xf>
    <xf numFmtId="1" fontId="2" fillId="8" borderId="53" xfId="0" applyNumberFormat="1" applyFont="1" applyFill="1" applyBorder="1"/>
    <xf numFmtId="167" fontId="4" fillId="8" borderId="14" xfId="0" applyNumberFormat="1" applyFont="1" applyFill="1" applyBorder="1" applyAlignment="1">
      <alignment horizontal="center"/>
    </xf>
    <xf numFmtId="1" fontId="2" fillId="8" borderId="14" xfId="0" applyNumberFormat="1" applyFont="1" applyFill="1" applyBorder="1"/>
    <xf numFmtId="1" fontId="2" fillId="8" borderId="15" xfId="0" applyNumberFormat="1" applyFont="1" applyFill="1" applyBorder="1"/>
    <xf numFmtId="167" fontId="11" fillId="2" borderId="11" xfId="0" applyNumberFormat="1" applyFont="1" applyFill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167" fontId="7" fillId="2" borderId="54" xfId="0" applyNumberFormat="1" applyFont="1" applyFill="1" applyBorder="1" applyAlignment="1">
      <alignment horizontal="center"/>
    </xf>
    <xf numFmtId="167" fontId="3" fillId="2" borderId="15" xfId="0" applyNumberFormat="1" applyFont="1" applyFill="1" applyBorder="1" applyAlignment="1">
      <alignment horizontal="center"/>
    </xf>
    <xf numFmtId="0" fontId="27" fillId="0" borderId="0" xfId="0" applyFont="1"/>
    <xf numFmtId="0" fontId="0" fillId="2" borderId="15" xfId="0" applyFont="1" applyFill="1" applyBorder="1" applyAlignment="1">
      <alignment horizontal="justify"/>
    </xf>
    <xf numFmtId="1" fontId="2" fillId="0" borderId="2" xfId="0" applyNumberFormat="1" applyFont="1" applyBorder="1" applyAlignment="1">
      <alignment horizontal="center"/>
    </xf>
    <xf numFmtId="167" fontId="22" fillId="7" borderId="12" xfId="0" applyNumberFormat="1" applyFont="1" applyFill="1" applyBorder="1" applyAlignment="1">
      <alignment horizontal="center"/>
    </xf>
    <xf numFmtId="167" fontId="2" fillId="2" borderId="0" xfId="0" applyNumberFormat="1" applyFont="1" applyFill="1"/>
    <xf numFmtId="167" fontId="2" fillId="0" borderId="32" xfId="0" applyNumberFormat="1" applyFont="1" applyFill="1" applyBorder="1"/>
    <xf numFmtId="1" fontId="2" fillId="3" borderId="55" xfId="0" applyNumberFormat="1" applyFont="1" applyFill="1" applyBorder="1"/>
    <xf numFmtId="1" fontId="2" fillId="3" borderId="56" xfId="0" applyNumberFormat="1" applyFont="1" applyFill="1" applyBorder="1"/>
    <xf numFmtId="1" fontId="14" fillId="2" borderId="44" xfId="0" applyNumberFormat="1" applyFont="1" applyFill="1" applyBorder="1" applyAlignment="1">
      <alignment horizontal="center"/>
    </xf>
    <xf numFmtId="0" fontId="0" fillId="6" borderId="13" xfId="0" applyFill="1" applyBorder="1"/>
    <xf numFmtId="0" fontId="0" fillId="6" borderId="15" xfId="0" applyFill="1" applyBorder="1"/>
  </cellXfs>
  <cellStyles count="2">
    <cellStyle name="Normal" xfId="0" builtinId="0"/>
    <cellStyle name="Separador de milhares" xfId="1" builtin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precipita&#231;&#227;o/Pc2024b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janeiro (2)"/>
      <sheetName val="janeiro"/>
      <sheetName val="fevereiro"/>
      <sheetName val="marco"/>
      <sheetName val="abril"/>
      <sheetName val="maio"/>
      <sheetName val="junho"/>
      <sheetName val="julho"/>
      <sheetName val="agosto"/>
      <sheetName val="setembro"/>
      <sheetName val="outubro"/>
      <sheetName val="novembro"/>
      <sheetName val="dezembro"/>
      <sheetName val="ano"/>
      <sheetName val="Pla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4">
          <cell r="C44">
            <v>219.80285714285708</v>
          </cell>
          <cell r="D44">
            <v>207.04285714285714</v>
          </cell>
          <cell r="E44">
            <v>164.98601714285712</v>
          </cell>
          <cell r="F44">
            <v>79.572907142857133</v>
          </cell>
          <cell r="G44">
            <v>64.142314285714306</v>
          </cell>
          <cell r="H44">
            <v>50.681571428571417</v>
          </cell>
          <cell r="I44">
            <v>39.958428571428577</v>
          </cell>
          <cell r="J44">
            <v>39.14</v>
          </cell>
          <cell r="M44">
            <v>123.32154285714286</v>
          </cell>
          <cell r="N44">
            <v>181.2631428571429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59"/>
  <sheetViews>
    <sheetView showGridLines="0" tabSelected="1" defaultGridColor="0" colorId="8" zoomScale="60" zoomScaleNormal="60" workbookViewId="0">
      <selection activeCell="B5" sqref="B5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193" customWidth="1"/>
    <col min="57" max="57" width="13.140625" customWidth="1"/>
    <col min="58" max="58" width="13" customWidth="1"/>
    <col min="59" max="59" width="12.42578125" customWidth="1"/>
    <col min="60" max="60" width="14.42578125" customWidth="1"/>
  </cols>
  <sheetData>
    <row r="1" spans="1:61" s="6" customFormat="1" ht="21" customHeight="1" thickBot="1">
      <c r="A1" s="1"/>
      <c r="B1" s="2" t="s">
        <v>0</v>
      </c>
      <c r="C1" s="3"/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  <c r="BE1" s="5" t="s">
        <v>2</v>
      </c>
      <c r="BF1" s="5"/>
      <c r="BG1" s="5" t="s">
        <v>2</v>
      </c>
      <c r="BH1" s="5"/>
    </row>
    <row r="2" spans="1:61" s="6" customFormat="1" ht="21" customHeight="1" thickBot="1">
      <c r="A2" s="1"/>
      <c r="B2" s="7" t="s">
        <v>3</v>
      </c>
      <c r="C2" s="8"/>
      <c r="D2" s="8"/>
      <c r="E2" s="8"/>
      <c r="F2" s="9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0"/>
      <c r="AF2" s="10"/>
      <c r="AG2" s="10"/>
      <c r="AH2" s="10"/>
      <c r="AI2" s="10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1" t="s">
        <v>4</v>
      </c>
      <c r="AV2" s="1"/>
      <c r="AW2" s="1"/>
      <c r="AX2" s="1"/>
      <c r="AY2" s="1"/>
      <c r="AZ2" s="1"/>
      <c r="BA2" s="1"/>
      <c r="BB2" s="1"/>
      <c r="BC2" s="1"/>
      <c r="BD2" s="4"/>
      <c r="BE2" s="12" t="s">
        <v>5</v>
      </c>
      <c r="BF2" s="12"/>
      <c r="BG2" s="6" t="s">
        <v>6</v>
      </c>
    </row>
    <row r="3" spans="1:61" s="6" customFormat="1" ht="21" customHeight="1" thickBot="1">
      <c r="A3" s="1"/>
      <c r="B3" s="7" t="s">
        <v>7</v>
      </c>
      <c r="C3" s="8"/>
      <c r="D3" s="8"/>
      <c r="E3" s="8"/>
      <c r="F3" s="9"/>
      <c r="G3" s="9"/>
      <c r="H3" s="1"/>
      <c r="I3" s="1"/>
      <c r="J3" s="1"/>
      <c r="K3" s="1"/>
      <c r="L3" s="1"/>
      <c r="M3" s="3" t="s">
        <v>8</v>
      </c>
      <c r="N3" s="1"/>
      <c r="O3" s="1"/>
      <c r="P3" s="1"/>
      <c r="Q3" s="1"/>
      <c r="R3" s="1"/>
      <c r="S3" s="1"/>
      <c r="T3" s="1"/>
      <c r="U3" s="1"/>
      <c r="V3" s="1"/>
      <c r="W3" s="13"/>
      <c r="X3" s="13"/>
      <c r="Y3" s="13"/>
      <c r="Z3" s="13"/>
      <c r="AA3" s="13"/>
      <c r="AB3" s="13"/>
      <c r="AC3" s="13"/>
      <c r="AD3" s="13"/>
      <c r="AE3" s="11"/>
      <c r="AF3" s="11"/>
      <c r="AG3" s="11"/>
      <c r="AH3" s="1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  <c r="BE3" s="14"/>
      <c r="BF3" s="14"/>
    </row>
    <row r="4" spans="1:61" ht="21" customHeight="1" thickBot="1">
      <c r="A4" s="15"/>
      <c r="B4" s="16"/>
      <c r="C4" s="16"/>
      <c r="D4" s="16"/>
      <c r="E4" s="16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8" t="s">
        <v>9</v>
      </c>
      <c r="AZ4" s="18"/>
      <c r="BA4" s="18"/>
      <c r="BB4" s="18"/>
      <c r="BC4" s="17"/>
      <c r="BD4" s="19"/>
      <c r="BE4" s="20" t="s">
        <v>10</v>
      </c>
      <c r="BF4" s="21"/>
      <c r="BG4" s="22"/>
      <c r="BH4" s="23"/>
    </row>
    <row r="5" spans="1:61" ht="21" customHeight="1" thickBot="1">
      <c r="A5" s="24"/>
      <c r="B5" s="24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"/>
      <c r="AS5" s="1"/>
      <c r="AT5" s="1"/>
      <c r="AU5" s="1"/>
      <c r="AV5" s="1"/>
      <c r="AW5" s="1"/>
      <c r="AX5" s="17"/>
      <c r="AY5" s="25" t="s">
        <v>11</v>
      </c>
      <c r="AZ5" s="25"/>
      <c r="BA5" s="25"/>
      <c r="BB5" s="25"/>
      <c r="BC5" s="17"/>
      <c r="BD5" s="19"/>
      <c r="BE5" s="26" t="s">
        <v>12</v>
      </c>
      <c r="BF5" s="27" t="s">
        <v>13</v>
      </c>
      <c r="BG5" s="28" t="s">
        <v>14</v>
      </c>
      <c r="BH5" s="29"/>
    </row>
    <row r="6" spans="1:61" ht="21" customHeight="1" thickBot="1">
      <c r="A6" s="30"/>
      <c r="B6" s="31"/>
      <c r="C6" s="32"/>
      <c r="D6" s="31"/>
      <c r="E6" s="32"/>
      <c r="F6" s="31"/>
      <c r="G6" s="32"/>
      <c r="H6" s="31"/>
      <c r="I6" s="32"/>
      <c r="J6" s="31"/>
      <c r="K6" s="32"/>
      <c r="L6" s="31"/>
      <c r="M6" s="32"/>
      <c r="N6" s="31"/>
      <c r="O6" s="32"/>
      <c r="P6" s="31"/>
      <c r="Q6" s="32"/>
      <c r="R6" s="31"/>
      <c r="S6" s="32"/>
      <c r="T6" s="31"/>
      <c r="U6" s="32"/>
      <c r="V6" s="31"/>
      <c r="W6" s="32"/>
      <c r="X6" s="31"/>
      <c r="Y6" s="32"/>
      <c r="Z6" s="31"/>
      <c r="AA6" s="32"/>
      <c r="AB6" s="31"/>
      <c r="AC6" s="32"/>
      <c r="AD6" s="31"/>
      <c r="AE6" s="32"/>
      <c r="AF6" s="31"/>
      <c r="AG6" s="32"/>
      <c r="AH6" s="31"/>
      <c r="AI6" s="32"/>
      <c r="AJ6" s="31"/>
      <c r="AK6" s="32"/>
      <c r="AL6" s="31"/>
      <c r="AM6" s="32"/>
      <c r="AN6" s="31"/>
      <c r="AO6" s="32"/>
      <c r="AP6" s="31"/>
      <c r="AQ6" s="32"/>
      <c r="AR6" s="31"/>
      <c r="AS6" s="32"/>
      <c r="AT6" s="31"/>
      <c r="AU6" s="32"/>
      <c r="AV6" s="31"/>
      <c r="AW6" s="32"/>
      <c r="AX6" s="31"/>
      <c r="AY6" s="33" t="s">
        <v>15</v>
      </c>
      <c r="AZ6" s="33" t="s">
        <v>16</v>
      </c>
      <c r="BA6" s="34" t="s">
        <v>17</v>
      </c>
      <c r="BB6" s="34"/>
      <c r="BC6" s="17"/>
      <c r="BD6" s="19"/>
      <c r="BE6" s="35" t="s">
        <v>15</v>
      </c>
      <c r="BF6" s="35"/>
      <c r="BG6" s="35" t="s">
        <v>17</v>
      </c>
      <c r="BH6" s="35"/>
    </row>
    <row r="7" spans="1:61" ht="21" customHeight="1" thickBot="1">
      <c r="A7" s="36" t="s">
        <v>18</v>
      </c>
      <c r="B7" s="37" t="s">
        <v>19</v>
      </c>
      <c r="C7" s="37"/>
      <c r="D7" s="38" t="s">
        <v>20</v>
      </c>
      <c r="E7" s="38"/>
      <c r="F7" s="37" t="s">
        <v>21</v>
      </c>
      <c r="G7" s="37"/>
      <c r="H7" s="37" t="s">
        <v>22</v>
      </c>
      <c r="I7" s="37"/>
      <c r="J7" s="39" t="s">
        <v>23</v>
      </c>
      <c r="K7" s="39"/>
      <c r="L7" s="37" t="s">
        <v>24</v>
      </c>
      <c r="M7" s="37"/>
      <c r="N7" s="37" t="s">
        <v>25</v>
      </c>
      <c r="O7" s="37"/>
      <c r="P7" s="37" t="s">
        <v>26</v>
      </c>
      <c r="Q7" s="37"/>
      <c r="R7" s="37" t="s">
        <v>27</v>
      </c>
      <c r="S7" s="37"/>
      <c r="T7" s="37" t="s">
        <v>28</v>
      </c>
      <c r="U7" s="37"/>
      <c r="V7" s="37" t="s">
        <v>29</v>
      </c>
      <c r="W7" s="37"/>
      <c r="X7" s="37" t="s">
        <v>30</v>
      </c>
      <c r="Y7" s="37"/>
      <c r="Z7" s="40" t="s">
        <v>31</v>
      </c>
      <c r="AA7" s="40"/>
      <c r="AB7" s="37" t="s">
        <v>32</v>
      </c>
      <c r="AC7" s="37"/>
      <c r="AD7" s="37" t="s">
        <v>33</v>
      </c>
      <c r="AE7" s="37"/>
      <c r="AF7" s="37" t="s">
        <v>34</v>
      </c>
      <c r="AG7" s="37"/>
      <c r="AH7" s="37" t="s">
        <v>35</v>
      </c>
      <c r="AI7" s="37"/>
      <c r="AJ7" s="37" t="s">
        <v>36</v>
      </c>
      <c r="AK7" s="37"/>
      <c r="AL7" s="37" t="s">
        <v>37</v>
      </c>
      <c r="AM7" s="37"/>
      <c r="AN7" s="37" t="s">
        <v>38</v>
      </c>
      <c r="AO7" s="37"/>
      <c r="AP7" s="37" t="s">
        <v>39</v>
      </c>
      <c r="AQ7" s="37"/>
      <c r="AR7" s="37" t="s">
        <v>40</v>
      </c>
      <c r="AS7" s="37"/>
      <c r="AT7" s="37" t="s">
        <v>41</v>
      </c>
      <c r="AU7" s="37"/>
      <c r="AV7" s="37" t="s">
        <v>42</v>
      </c>
      <c r="AW7" s="37"/>
      <c r="AX7" s="41" t="s">
        <v>18</v>
      </c>
      <c r="AY7" s="35" t="s">
        <v>43</v>
      </c>
      <c r="AZ7" s="35" t="s">
        <v>43</v>
      </c>
      <c r="BA7" s="35" t="s">
        <v>44</v>
      </c>
      <c r="BB7" s="35" t="s">
        <v>45</v>
      </c>
      <c r="BC7" s="42"/>
      <c r="BD7" s="19"/>
      <c r="BE7" s="35" t="s">
        <v>43</v>
      </c>
      <c r="BF7" s="35"/>
      <c r="BG7" s="35" t="s">
        <v>44</v>
      </c>
      <c r="BH7" s="35"/>
    </row>
    <row r="8" spans="1:61" ht="21" customHeight="1" thickBot="1">
      <c r="A8" s="43" t="s">
        <v>46</v>
      </c>
      <c r="B8" s="44" t="s">
        <v>47</v>
      </c>
      <c r="C8" s="45" t="s">
        <v>48</v>
      </c>
      <c r="D8" s="46" t="s">
        <v>47</v>
      </c>
      <c r="E8" s="47" t="s">
        <v>48</v>
      </c>
      <c r="F8" s="46" t="s">
        <v>47</v>
      </c>
      <c r="G8" s="48" t="s">
        <v>48</v>
      </c>
      <c r="H8" s="46" t="s">
        <v>47</v>
      </c>
      <c r="I8" s="48" t="s">
        <v>48</v>
      </c>
      <c r="J8" s="46" t="s">
        <v>47</v>
      </c>
      <c r="K8" s="48" t="s">
        <v>48</v>
      </c>
      <c r="L8" s="46" t="s">
        <v>47</v>
      </c>
      <c r="M8" s="48" t="s">
        <v>48</v>
      </c>
      <c r="N8" s="46" t="s">
        <v>47</v>
      </c>
      <c r="O8" s="48" t="s">
        <v>48</v>
      </c>
      <c r="P8" s="46" t="s">
        <v>47</v>
      </c>
      <c r="Q8" s="48" t="s">
        <v>48</v>
      </c>
      <c r="R8" s="46" t="s">
        <v>47</v>
      </c>
      <c r="S8" s="48" t="s">
        <v>48</v>
      </c>
      <c r="T8" s="46" t="s">
        <v>47</v>
      </c>
      <c r="U8" s="48" t="s">
        <v>48</v>
      </c>
      <c r="V8" s="46" t="s">
        <v>47</v>
      </c>
      <c r="W8" s="48" t="s">
        <v>48</v>
      </c>
      <c r="X8" s="46" t="s">
        <v>47</v>
      </c>
      <c r="Y8" s="48" t="s">
        <v>48</v>
      </c>
      <c r="Z8" s="46" t="s">
        <v>47</v>
      </c>
      <c r="AA8" s="48" t="s">
        <v>48</v>
      </c>
      <c r="AB8" s="46" t="s">
        <v>47</v>
      </c>
      <c r="AC8" s="48" t="s">
        <v>48</v>
      </c>
      <c r="AD8" s="46" t="s">
        <v>47</v>
      </c>
      <c r="AE8" s="48" t="s">
        <v>48</v>
      </c>
      <c r="AF8" s="46" t="s">
        <v>47</v>
      </c>
      <c r="AG8" s="48" t="s">
        <v>48</v>
      </c>
      <c r="AH8" s="46" t="s">
        <v>47</v>
      </c>
      <c r="AI8" s="48" t="s">
        <v>48</v>
      </c>
      <c r="AJ8" s="46" t="s">
        <v>47</v>
      </c>
      <c r="AK8" s="49" t="s">
        <v>48</v>
      </c>
      <c r="AL8" s="46" t="s">
        <v>47</v>
      </c>
      <c r="AM8" s="48" t="s">
        <v>48</v>
      </c>
      <c r="AN8" s="46" t="s">
        <v>47</v>
      </c>
      <c r="AO8" s="48" t="s">
        <v>48</v>
      </c>
      <c r="AP8" s="46" t="s">
        <v>47</v>
      </c>
      <c r="AQ8" s="49" t="s">
        <v>48</v>
      </c>
      <c r="AR8" s="46" t="s">
        <v>47</v>
      </c>
      <c r="AS8" s="48" t="s">
        <v>48</v>
      </c>
      <c r="AT8" s="50" t="s">
        <v>47</v>
      </c>
      <c r="AU8" s="51" t="s">
        <v>48</v>
      </c>
      <c r="AV8" s="50" t="s">
        <v>47</v>
      </c>
      <c r="AW8" s="51" t="s">
        <v>48</v>
      </c>
      <c r="AX8" s="52" t="s">
        <v>46</v>
      </c>
      <c r="AY8" s="53" t="s">
        <v>49</v>
      </c>
      <c r="AZ8" s="53" t="s">
        <v>50</v>
      </c>
      <c r="BA8" s="54" t="s">
        <v>51</v>
      </c>
      <c r="BB8" s="54" t="s">
        <v>52</v>
      </c>
      <c r="BC8" s="55"/>
      <c r="BD8" s="19"/>
      <c r="BE8" s="54" t="s">
        <v>49</v>
      </c>
      <c r="BF8" s="54"/>
      <c r="BG8" s="54" t="s">
        <v>51</v>
      </c>
      <c r="BH8" s="54" t="s">
        <v>52</v>
      </c>
    </row>
    <row r="9" spans="1:61" ht="21" customHeight="1" thickBot="1">
      <c r="A9" s="56">
        <v>31</v>
      </c>
      <c r="B9" s="57"/>
      <c r="C9" s="58"/>
      <c r="D9" s="59"/>
      <c r="E9" s="58"/>
      <c r="F9" s="59"/>
      <c r="G9" s="58"/>
      <c r="H9" s="59"/>
      <c r="I9" s="58"/>
      <c r="J9" s="59"/>
      <c r="K9" s="58"/>
      <c r="L9" s="59"/>
      <c r="M9" s="58"/>
      <c r="N9" s="59"/>
      <c r="O9" s="58"/>
      <c r="P9" s="59"/>
      <c r="Q9" s="58"/>
      <c r="R9" s="59"/>
      <c r="S9" s="58"/>
      <c r="T9" s="59"/>
      <c r="U9" s="58"/>
      <c r="V9" s="59"/>
      <c r="W9" s="58"/>
      <c r="X9" s="59"/>
      <c r="Y9" s="58"/>
      <c r="Z9" s="59"/>
      <c r="AA9" s="58"/>
      <c r="AB9" s="59"/>
      <c r="AC9" s="58"/>
      <c r="AD9" s="59"/>
      <c r="AE9" s="58"/>
      <c r="AF9" s="59"/>
      <c r="AG9" s="58"/>
      <c r="AH9" s="59"/>
      <c r="AI9" s="58"/>
      <c r="AJ9" s="59"/>
      <c r="AK9" s="60"/>
      <c r="AL9" s="61"/>
      <c r="AM9" s="58"/>
      <c r="AN9" s="59"/>
      <c r="AO9" s="58"/>
      <c r="AP9" s="59"/>
      <c r="AQ9" s="62"/>
      <c r="AR9" s="59"/>
      <c r="AS9" s="58"/>
      <c r="AT9" s="59"/>
      <c r="AU9" s="62"/>
      <c r="AV9" s="63"/>
      <c r="AW9" s="62"/>
      <c r="AX9" s="64">
        <v>31</v>
      </c>
      <c r="AY9" s="65">
        <f t="shared" ref="AY9:AZ40" si="0">B9+D9+F9+H9+J9+L9+N9+P9+R9+T9+V9+X9+Z9+AB9+AD9+AF9+AH9+AJ9+AL9+AN9+AP9+AR9+AT9+AV9</f>
        <v>0</v>
      </c>
      <c r="AZ9" s="66">
        <f>C9+E9+G9+I9+K9+M9+O9+Q9+S9+U9+W9+Y9+AA9+AC9+AE9+AG9+AI9+AK9+AM9+AO9+AQ9+AS9+AU9+AW9</f>
        <v>0</v>
      </c>
      <c r="BA9" s="67">
        <f>MAX(B9,D9,F9,H9,J9,L9,N9,P9,R9,T9,V9,X9,Z9,AB9,AD9,AF9,AH9,AJ9,AL9,AN9,AP9,AR9,AT9,AV9)</f>
        <v>0</v>
      </c>
      <c r="BB9" s="68">
        <f>COUNT(B9,D9,F9,H9,J9,L9,N9,P9,R9,T9,V9,X9,Z9,AB9,AD9,AF9,AH9,AJ9,AL9,AN9,AP9,AR9,AT9,AV9)</f>
        <v>0</v>
      </c>
      <c r="BC9" s="55"/>
      <c r="BD9" s="19"/>
      <c r="BE9" s="69">
        <f>SUM(P9+R9+T9+V9+X9+Z9+AB9+AD9+AF9+AH9+AJ9+AL9+AN9+AP9+AR9+AT9+AV9+B10+D10+F10+H10+J10+L10+N10)</f>
        <v>0</v>
      </c>
      <c r="BF9" s="35"/>
      <c r="BG9" s="70">
        <f>BE10</f>
        <v>0</v>
      </c>
      <c r="BH9" s="35"/>
    </row>
    <row r="10" spans="1:61" ht="21" customHeight="1" thickBot="1">
      <c r="A10" s="71">
        <v>1</v>
      </c>
      <c r="B10" s="72"/>
      <c r="C10" s="73"/>
      <c r="D10" s="74"/>
      <c r="E10" s="73"/>
      <c r="F10" s="74"/>
      <c r="G10" s="73"/>
      <c r="H10" s="74"/>
      <c r="I10" s="73"/>
      <c r="J10" s="74"/>
      <c r="K10" s="73"/>
      <c r="L10" s="74"/>
      <c r="M10" s="73"/>
      <c r="N10" s="74"/>
      <c r="O10" s="73"/>
      <c r="P10" s="74"/>
      <c r="Q10" s="73"/>
      <c r="R10" s="74"/>
      <c r="S10" s="73"/>
      <c r="T10" s="74"/>
      <c r="U10" s="73"/>
      <c r="V10" s="74"/>
      <c r="W10" s="73"/>
      <c r="X10" s="74"/>
      <c r="Y10" s="73"/>
      <c r="Z10" s="74"/>
      <c r="AA10" s="73"/>
      <c r="AB10" s="74"/>
      <c r="AC10" s="73"/>
      <c r="AD10" s="74"/>
      <c r="AE10" s="73"/>
      <c r="AF10" s="75"/>
      <c r="AG10" s="73"/>
      <c r="AH10" s="74"/>
      <c r="AI10" s="73"/>
      <c r="AJ10" s="74"/>
      <c r="AK10" s="76"/>
      <c r="AL10" s="72"/>
      <c r="AM10" s="77"/>
      <c r="AN10" s="72"/>
      <c r="AO10" s="77"/>
      <c r="AP10" s="72"/>
      <c r="AQ10" s="78"/>
      <c r="AR10" s="72"/>
      <c r="AS10" s="73"/>
      <c r="AT10" s="72"/>
      <c r="AU10" s="78"/>
      <c r="AV10" s="72"/>
      <c r="AW10" s="78"/>
      <c r="AX10" s="79">
        <v>1</v>
      </c>
      <c r="AY10" s="80">
        <f t="shared" si="0"/>
        <v>0</v>
      </c>
      <c r="AZ10" s="81">
        <f t="shared" si="0"/>
        <v>0</v>
      </c>
      <c r="BA10" s="82">
        <f t="shared" ref="BA10:BA40" si="1">MAX(B10,D10,F10,H10,J10,L10,N10,P10,R10,T10,V10,X10,Z10,AB10,AD10,AF10,AH10,AJ10,AL10,AN10,AP10,AR10,AT10,AV10)</f>
        <v>0</v>
      </c>
      <c r="BB10" s="83">
        <f t="shared" ref="BB10:BB40" si="2">COUNT(B10,D10,F10,H10,J10,L10,N10,P10,R10,T10,V10,X10,Z10,AB10,AD10,AF10,AH10,AJ10,AL10,AN10,AP10,AR10,AT10,AV10)</f>
        <v>0</v>
      </c>
      <c r="BC10" s="9"/>
      <c r="BD10" s="19">
        <f>IF(BB10&gt;0,1,0)</f>
        <v>0</v>
      </c>
      <c r="BE10" s="84">
        <f t="shared" ref="BE10:BE40" si="3">P9+R9+T9+V9+X9+Z9+AB9+AD9+AF9+AH9+AJ9+AL9+AN9+AP9+AR9+AT9+AV9+B10+D10+F10+H10+J10+L10+N10</f>
        <v>0</v>
      </c>
      <c r="BF10" s="85">
        <v>40908</v>
      </c>
      <c r="BG10" s="86">
        <f>janeiro!$BE11</f>
        <v>0</v>
      </c>
      <c r="BH10" s="87"/>
      <c r="BI10" s="19">
        <f>IF(BH10&gt;0,1,0)</f>
        <v>0</v>
      </c>
    </row>
    <row r="11" spans="1:61" ht="21" customHeight="1" thickBot="1">
      <c r="A11" s="71">
        <v>2</v>
      </c>
      <c r="B11" s="88"/>
      <c r="C11" s="89"/>
      <c r="D11" s="88"/>
      <c r="E11" s="89"/>
      <c r="F11" s="88"/>
      <c r="G11" s="89"/>
      <c r="H11" s="88"/>
      <c r="I11" s="89"/>
      <c r="J11" s="88"/>
      <c r="K11" s="89"/>
      <c r="L11" s="88"/>
      <c r="M11" s="89"/>
      <c r="N11" s="88"/>
      <c r="O11" s="89"/>
      <c r="P11" s="88"/>
      <c r="Q11" s="89"/>
      <c r="R11" s="88"/>
      <c r="S11" s="89"/>
      <c r="T11" s="88"/>
      <c r="U11" s="89"/>
      <c r="V11" s="88"/>
      <c r="W11" s="89"/>
      <c r="X11" s="88"/>
      <c r="Y11" s="89"/>
      <c r="Z11" s="88"/>
      <c r="AA11" s="89"/>
      <c r="AB11" s="88"/>
      <c r="AC11" s="89"/>
      <c r="AD11" s="88"/>
      <c r="AE11" s="89"/>
      <c r="AF11" s="88"/>
      <c r="AG11" s="89"/>
      <c r="AH11" s="88"/>
      <c r="AI11" s="89"/>
      <c r="AJ11" s="88"/>
      <c r="AK11" s="90"/>
      <c r="AL11" s="88"/>
      <c r="AM11" s="89"/>
      <c r="AN11" s="88"/>
      <c r="AO11" s="89"/>
      <c r="AP11" s="88"/>
      <c r="AQ11" s="90"/>
      <c r="AR11" s="88"/>
      <c r="AS11" s="89"/>
      <c r="AT11" s="88"/>
      <c r="AU11" s="90"/>
      <c r="AV11" s="88"/>
      <c r="AW11" s="90"/>
      <c r="AX11" s="91">
        <v>2</v>
      </c>
      <c r="AY11" s="92">
        <f t="shared" si="0"/>
        <v>0</v>
      </c>
      <c r="AZ11" s="93">
        <f t="shared" si="0"/>
        <v>0</v>
      </c>
      <c r="BA11" s="94">
        <f t="shared" si="1"/>
        <v>0</v>
      </c>
      <c r="BB11" s="95">
        <f t="shared" si="2"/>
        <v>0</v>
      </c>
      <c r="BC11" s="9"/>
      <c r="BD11" s="19">
        <f t="shared" ref="BD11:BD40" si="4">IF(BB11&gt;0,1,0)</f>
        <v>0</v>
      </c>
      <c r="BE11" s="84">
        <f t="shared" si="3"/>
        <v>0</v>
      </c>
      <c r="BF11" s="96"/>
      <c r="BG11" s="86">
        <f>janeiro!$BE12</f>
        <v>0</v>
      </c>
      <c r="BH11" s="97"/>
      <c r="BI11" s="19">
        <f>IF(BH11&gt;0,1,0)</f>
        <v>0</v>
      </c>
    </row>
    <row r="12" spans="1:61" ht="21" customHeight="1">
      <c r="A12" s="71">
        <v>3</v>
      </c>
      <c r="B12" s="88"/>
      <c r="C12" s="89"/>
      <c r="D12" s="88"/>
      <c r="E12" s="89"/>
      <c r="F12" s="88"/>
      <c r="G12" s="89"/>
      <c r="H12" s="88"/>
      <c r="I12" s="89"/>
      <c r="J12" s="88"/>
      <c r="K12" s="89"/>
      <c r="L12" s="88"/>
      <c r="M12" s="89"/>
      <c r="N12" s="88"/>
      <c r="O12" s="89"/>
      <c r="P12" s="88"/>
      <c r="Q12" s="89"/>
      <c r="R12" s="88"/>
      <c r="S12" s="89"/>
      <c r="T12" s="88"/>
      <c r="U12" s="89"/>
      <c r="V12" s="88"/>
      <c r="W12" s="89"/>
      <c r="X12" s="88"/>
      <c r="Y12" s="89"/>
      <c r="Z12" s="88"/>
      <c r="AA12" s="89"/>
      <c r="AB12" s="88"/>
      <c r="AC12" s="89"/>
      <c r="AD12" s="88"/>
      <c r="AE12" s="89"/>
      <c r="AF12" s="88"/>
      <c r="AG12" s="89"/>
      <c r="AH12" s="88"/>
      <c r="AI12" s="89"/>
      <c r="AJ12" s="88"/>
      <c r="AK12" s="90"/>
      <c r="AL12" s="88"/>
      <c r="AM12" s="89"/>
      <c r="AN12" s="88"/>
      <c r="AO12" s="89"/>
      <c r="AP12" s="88"/>
      <c r="AQ12" s="90"/>
      <c r="AR12" s="88"/>
      <c r="AS12" s="89"/>
      <c r="AT12" s="88"/>
      <c r="AU12" s="90"/>
      <c r="AV12" s="88"/>
      <c r="AW12" s="90"/>
      <c r="AX12" s="91">
        <v>3</v>
      </c>
      <c r="AY12" s="92">
        <f t="shared" si="0"/>
        <v>0</v>
      </c>
      <c r="AZ12" s="93">
        <f t="shared" si="0"/>
        <v>0</v>
      </c>
      <c r="BA12" s="94">
        <f t="shared" si="1"/>
        <v>0</v>
      </c>
      <c r="BB12" s="95">
        <f t="shared" si="2"/>
        <v>0</v>
      </c>
      <c r="BC12" s="9"/>
      <c r="BD12" s="19">
        <f t="shared" si="4"/>
        <v>0</v>
      </c>
      <c r="BE12" s="98">
        <f t="shared" si="3"/>
        <v>0</v>
      </c>
      <c r="BF12" s="99"/>
      <c r="BG12" s="86">
        <f>janeiro!$BE13</f>
        <v>1.2000000000000002</v>
      </c>
      <c r="BH12" s="97"/>
      <c r="BI12" s="19">
        <f t="shared" ref="BI12:BI40" si="5">IF(BH12&gt;0,1,0)</f>
        <v>0</v>
      </c>
    </row>
    <row r="13" spans="1:61" ht="21" customHeight="1">
      <c r="A13" s="71">
        <v>4</v>
      </c>
      <c r="B13" s="88">
        <v>0.1</v>
      </c>
      <c r="C13" s="89">
        <v>5</v>
      </c>
      <c r="D13" s="88">
        <v>1.1000000000000001</v>
      </c>
      <c r="E13" s="89">
        <v>50</v>
      </c>
      <c r="F13" s="88"/>
      <c r="G13" s="89"/>
      <c r="H13" s="88"/>
      <c r="I13" s="89"/>
      <c r="J13" s="88"/>
      <c r="K13" s="89"/>
      <c r="L13" s="88"/>
      <c r="M13" s="89"/>
      <c r="N13" s="88"/>
      <c r="O13" s="89"/>
      <c r="P13" s="88"/>
      <c r="Q13" s="89"/>
      <c r="R13" s="88">
        <v>0.1</v>
      </c>
      <c r="S13" s="89">
        <v>10</v>
      </c>
      <c r="T13" s="100">
        <v>0.2</v>
      </c>
      <c r="U13" s="89">
        <v>5</v>
      </c>
      <c r="V13" s="88"/>
      <c r="W13" s="89"/>
      <c r="X13" s="88">
        <v>0.7</v>
      </c>
      <c r="Y13" s="89">
        <v>10</v>
      </c>
      <c r="Z13" s="88">
        <v>0.1</v>
      </c>
      <c r="AA13" s="89">
        <v>5</v>
      </c>
      <c r="AB13" s="88">
        <v>0.9</v>
      </c>
      <c r="AC13" s="89">
        <v>10</v>
      </c>
      <c r="AD13" s="88"/>
      <c r="AE13" s="89"/>
      <c r="AF13" s="88"/>
      <c r="AG13" s="89"/>
      <c r="AH13" s="88">
        <v>0.8</v>
      </c>
      <c r="AI13" s="89">
        <v>30</v>
      </c>
      <c r="AJ13" s="88">
        <v>0.3</v>
      </c>
      <c r="AK13" s="90">
        <v>50</v>
      </c>
      <c r="AL13" s="88">
        <v>3.1</v>
      </c>
      <c r="AM13" s="89">
        <v>55</v>
      </c>
      <c r="AN13" s="88">
        <v>5.9</v>
      </c>
      <c r="AO13" s="89">
        <v>60</v>
      </c>
      <c r="AP13" s="88">
        <v>10</v>
      </c>
      <c r="AQ13" s="90">
        <v>60</v>
      </c>
      <c r="AR13" s="88">
        <v>2.6</v>
      </c>
      <c r="AS13" s="89">
        <v>30</v>
      </c>
      <c r="AT13" s="88">
        <v>0.5</v>
      </c>
      <c r="AU13" s="90">
        <v>20</v>
      </c>
      <c r="AV13" s="88"/>
      <c r="AW13" s="90"/>
      <c r="AX13" s="91">
        <v>4</v>
      </c>
      <c r="AY13" s="92">
        <f t="shared" si="0"/>
        <v>26.400000000000002</v>
      </c>
      <c r="AZ13" s="93">
        <f t="shared" si="0"/>
        <v>400</v>
      </c>
      <c r="BA13" s="94">
        <f t="shared" si="1"/>
        <v>10</v>
      </c>
      <c r="BB13" s="95">
        <f t="shared" si="2"/>
        <v>14</v>
      </c>
      <c r="BC13" s="9"/>
      <c r="BD13" s="19">
        <f t="shared" si="4"/>
        <v>1</v>
      </c>
      <c r="BE13" s="98">
        <f t="shared" si="3"/>
        <v>1.2000000000000002</v>
      </c>
      <c r="BF13" s="99"/>
      <c r="BG13" s="86">
        <f>janeiro!$BE14</f>
        <v>25.200000000000003</v>
      </c>
      <c r="BH13" s="97"/>
      <c r="BI13" s="19">
        <f t="shared" si="5"/>
        <v>0</v>
      </c>
    </row>
    <row r="14" spans="1:61" ht="21" customHeight="1">
      <c r="A14" s="71">
        <v>5</v>
      </c>
      <c r="B14" s="88"/>
      <c r="C14" s="89"/>
      <c r="D14" s="88"/>
      <c r="E14" s="89"/>
      <c r="F14" s="88"/>
      <c r="G14" s="89"/>
      <c r="H14" s="88"/>
      <c r="I14" s="89"/>
      <c r="J14" s="88"/>
      <c r="K14" s="89"/>
      <c r="L14" s="88"/>
      <c r="M14" s="89"/>
      <c r="N14" s="88"/>
      <c r="O14" s="89"/>
      <c r="P14" s="88"/>
      <c r="Q14" s="89"/>
      <c r="R14" s="88"/>
      <c r="S14" s="89"/>
      <c r="T14" s="88"/>
      <c r="U14" s="89"/>
      <c r="V14" s="88"/>
      <c r="W14" s="89"/>
      <c r="X14" s="88"/>
      <c r="Y14" s="89"/>
      <c r="Z14" s="88"/>
      <c r="AA14" s="89"/>
      <c r="AB14" s="88"/>
      <c r="AC14" s="89"/>
      <c r="AD14" s="88"/>
      <c r="AE14" s="89"/>
      <c r="AF14" s="88"/>
      <c r="AG14" s="89"/>
      <c r="AH14" s="88"/>
      <c r="AI14" s="89"/>
      <c r="AJ14" s="88"/>
      <c r="AK14" s="90"/>
      <c r="AL14" s="88"/>
      <c r="AM14" s="89"/>
      <c r="AN14" s="88"/>
      <c r="AO14" s="89"/>
      <c r="AP14" s="88"/>
      <c r="AQ14" s="90"/>
      <c r="AR14" s="88"/>
      <c r="AS14" s="89"/>
      <c r="AT14" s="88"/>
      <c r="AU14" s="90"/>
      <c r="AV14" s="88"/>
      <c r="AW14" s="90"/>
      <c r="AX14" s="91">
        <v>5</v>
      </c>
      <c r="AY14" s="92">
        <f t="shared" si="0"/>
        <v>0</v>
      </c>
      <c r="AZ14" s="93">
        <f t="shared" si="0"/>
        <v>0</v>
      </c>
      <c r="BA14" s="94">
        <f t="shared" si="1"/>
        <v>0</v>
      </c>
      <c r="BB14" s="95">
        <f t="shared" si="2"/>
        <v>0</v>
      </c>
      <c r="BC14" s="9"/>
      <c r="BD14" s="19">
        <f t="shared" si="4"/>
        <v>0</v>
      </c>
      <c r="BE14" s="98">
        <f t="shared" si="3"/>
        <v>25.200000000000003</v>
      </c>
      <c r="BF14" s="99"/>
      <c r="BG14" s="86">
        <f>janeiro!$BE15</f>
        <v>0</v>
      </c>
      <c r="BH14" s="97"/>
      <c r="BI14" s="19">
        <f t="shared" si="5"/>
        <v>0</v>
      </c>
    </row>
    <row r="15" spans="1:61" ht="21" customHeight="1">
      <c r="A15" s="71">
        <v>6</v>
      </c>
      <c r="B15" s="88"/>
      <c r="C15" s="89"/>
      <c r="D15" s="88"/>
      <c r="E15" s="89"/>
      <c r="F15" s="88"/>
      <c r="G15" s="89"/>
      <c r="H15" s="88"/>
      <c r="I15" s="89"/>
      <c r="J15" s="88"/>
      <c r="K15" s="89"/>
      <c r="L15" s="88"/>
      <c r="M15" s="89"/>
      <c r="N15" s="88"/>
      <c r="O15" s="89"/>
      <c r="P15" s="88"/>
      <c r="Q15" s="89"/>
      <c r="R15" s="88"/>
      <c r="S15" s="89"/>
      <c r="T15" s="88"/>
      <c r="U15" s="89"/>
      <c r="V15" s="88"/>
      <c r="W15" s="89"/>
      <c r="X15" s="88"/>
      <c r="Y15" s="89"/>
      <c r="Z15" s="88"/>
      <c r="AA15" s="89"/>
      <c r="AB15" s="88"/>
      <c r="AC15" s="89"/>
      <c r="AD15" s="88"/>
      <c r="AE15" s="89"/>
      <c r="AF15" s="88"/>
      <c r="AG15" s="89"/>
      <c r="AH15" s="88"/>
      <c r="AI15" s="89"/>
      <c r="AJ15" s="88"/>
      <c r="AK15" s="90"/>
      <c r="AL15" s="88"/>
      <c r="AM15" s="89"/>
      <c r="AN15" s="88"/>
      <c r="AO15" s="89"/>
      <c r="AP15" s="88"/>
      <c r="AQ15" s="90"/>
      <c r="AR15" s="88"/>
      <c r="AS15" s="89"/>
      <c r="AT15" s="88"/>
      <c r="AU15" s="90"/>
      <c r="AV15" s="88"/>
      <c r="AW15" s="90"/>
      <c r="AX15" s="91">
        <v>6</v>
      </c>
      <c r="AY15" s="92">
        <f t="shared" si="0"/>
        <v>0</v>
      </c>
      <c r="AZ15" s="93">
        <f t="shared" si="0"/>
        <v>0</v>
      </c>
      <c r="BA15" s="94">
        <f t="shared" si="1"/>
        <v>0</v>
      </c>
      <c r="BB15" s="95">
        <f t="shared" si="2"/>
        <v>0</v>
      </c>
      <c r="BC15" s="9"/>
      <c r="BD15" s="19">
        <f t="shared" si="4"/>
        <v>0</v>
      </c>
      <c r="BE15" s="98">
        <f t="shared" si="3"/>
        <v>0</v>
      </c>
      <c r="BF15" s="99"/>
      <c r="BG15" s="86">
        <f>janeiro!$BE16</f>
        <v>0</v>
      </c>
      <c r="BH15" s="97"/>
      <c r="BI15" s="19">
        <f t="shared" si="5"/>
        <v>0</v>
      </c>
    </row>
    <row r="16" spans="1:61" ht="21" customHeight="1">
      <c r="A16" s="71">
        <v>7</v>
      </c>
      <c r="B16" s="88"/>
      <c r="C16" s="89"/>
      <c r="D16" s="88"/>
      <c r="E16" s="89"/>
      <c r="F16" s="88"/>
      <c r="G16" s="89"/>
      <c r="H16" s="88"/>
      <c r="I16" s="89"/>
      <c r="J16" s="88"/>
      <c r="K16" s="89"/>
      <c r="L16" s="88"/>
      <c r="M16" s="89"/>
      <c r="N16" s="88"/>
      <c r="O16" s="89"/>
      <c r="P16" s="88"/>
      <c r="Q16" s="89"/>
      <c r="R16" s="88"/>
      <c r="S16" s="89"/>
      <c r="T16" s="88"/>
      <c r="U16" s="89"/>
      <c r="V16" s="88"/>
      <c r="W16" s="89"/>
      <c r="X16" s="88"/>
      <c r="Y16" s="89"/>
      <c r="Z16" s="88"/>
      <c r="AA16" s="89"/>
      <c r="AB16" s="88"/>
      <c r="AC16" s="89"/>
      <c r="AD16" s="88"/>
      <c r="AE16" s="89"/>
      <c r="AF16" s="88"/>
      <c r="AG16" s="89"/>
      <c r="AH16" s="88"/>
      <c r="AI16" s="89"/>
      <c r="AJ16" s="88"/>
      <c r="AK16" s="90"/>
      <c r="AL16" s="88"/>
      <c r="AM16" s="89"/>
      <c r="AN16" s="88"/>
      <c r="AO16" s="89"/>
      <c r="AP16" s="88"/>
      <c r="AQ16" s="90"/>
      <c r="AR16" s="88"/>
      <c r="AS16" s="89"/>
      <c r="AT16" s="88"/>
      <c r="AU16" s="90"/>
      <c r="AV16" s="88"/>
      <c r="AW16" s="90"/>
      <c r="AX16" s="91">
        <v>7</v>
      </c>
      <c r="AY16" s="92">
        <f t="shared" si="0"/>
        <v>0</v>
      </c>
      <c r="AZ16" s="93">
        <f t="shared" si="0"/>
        <v>0</v>
      </c>
      <c r="BA16" s="94">
        <f t="shared" si="1"/>
        <v>0</v>
      </c>
      <c r="BB16" s="95">
        <f t="shared" si="2"/>
        <v>0</v>
      </c>
      <c r="BC16" s="9"/>
      <c r="BD16" s="19">
        <f t="shared" si="4"/>
        <v>0</v>
      </c>
      <c r="BE16" s="98">
        <f t="shared" si="3"/>
        <v>0</v>
      </c>
      <c r="BF16" s="99"/>
      <c r="BG16" s="86">
        <f>janeiro!$BE17</f>
        <v>0</v>
      </c>
      <c r="BH16" s="97"/>
      <c r="BI16" s="19">
        <f t="shared" si="5"/>
        <v>0</v>
      </c>
    </row>
    <row r="17" spans="1:61" ht="21" customHeight="1">
      <c r="A17" s="71">
        <v>8</v>
      </c>
      <c r="B17" s="88"/>
      <c r="C17" s="89"/>
      <c r="D17" s="88"/>
      <c r="E17" s="89"/>
      <c r="F17" s="88"/>
      <c r="G17" s="89"/>
      <c r="H17" s="88"/>
      <c r="I17" s="89"/>
      <c r="J17" s="88"/>
      <c r="K17" s="89"/>
      <c r="L17" s="88"/>
      <c r="M17" s="89"/>
      <c r="N17" s="88"/>
      <c r="O17" s="89"/>
      <c r="P17" s="88"/>
      <c r="Q17" s="89"/>
      <c r="R17" s="88"/>
      <c r="S17" s="89"/>
      <c r="T17" s="88"/>
      <c r="U17" s="89"/>
      <c r="V17" s="88"/>
      <c r="W17" s="89"/>
      <c r="X17" s="88"/>
      <c r="Y17" s="89"/>
      <c r="Z17" s="88"/>
      <c r="AA17" s="89"/>
      <c r="AB17" s="88"/>
      <c r="AC17" s="89"/>
      <c r="AD17" s="88">
        <v>19.8</v>
      </c>
      <c r="AE17" s="89">
        <v>40</v>
      </c>
      <c r="AF17" s="88">
        <v>11.4</v>
      </c>
      <c r="AG17" s="89">
        <v>60</v>
      </c>
      <c r="AH17" s="88">
        <v>0.1</v>
      </c>
      <c r="AI17" s="89">
        <v>5</v>
      </c>
      <c r="AJ17" s="88"/>
      <c r="AK17" s="90"/>
      <c r="AL17" s="88"/>
      <c r="AM17" s="89"/>
      <c r="AN17" s="88"/>
      <c r="AO17" s="89"/>
      <c r="AP17" s="88"/>
      <c r="AQ17" s="90"/>
      <c r="AR17" s="88"/>
      <c r="AS17" s="89"/>
      <c r="AT17" s="88"/>
      <c r="AU17" s="90"/>
      <c r="AV17" s="88"/>
      <c r="AW17" s="90"/>
      <c r="AX17" s="91">
        <v>8</v>
      </c>
      <c r="AY17" s="92">
        <f t="shared" si="0"/>
        <v>31.300000000000004</v>
      </c>
      <c r="AZ17" s="93">
        <f t="shared" si="0"/>
        <v>105</v>
      </c>
      <c r="BA17" s="94">
        <f t="shared" si="1"/>
        <v>19.8</v>
      </c>
      <c r="BB17" s="95">
        <f t="shared" si="2"/>
        <v>3</v>
      </c>
      <c r="BC17" s="101"/>
      <c r="BD17" s="19">
        <f t="shared" si="4"/>
        <v>1</v>
      </c>
      <c r="BE17" s="98">
        <f t="shared" si="3"/>
        <v>0</v>
      </c>
      <c r="BF17" s="99"/>
      <c r="BG17" s="86">
        <f>janeiro!$BE18</f>
        <v>31.300000000000004</v>
      </c>
      <c r="BH17" s="97"/>
      <c r="BI17" s="19">
        <f t="shared" si="5"/>
        <v>0</v>
      </c>
    </row>
    <row r="18" spans="1:61" ht="21" customHeight="1">
      <c r="A18" s="102">
        <v>9</v>
      </c>
      <c r="B18" s="88"/>
      <c r="C18" s="89"/>
      <c r="D18" s="88"/>
      <c r="E18" s="89"/>
      <c r="F18" s="88"/>
      <c r="G18" s="89"/>
      <c r="H18" s="88"/>
      <c r="I18" s="89"/>
      <c r="J18" s="88"/>
      <c r="K18" s="89"/>
      <c r="L18" s="88"/>
      <c r="M18" s="89"/>
      <c r="N18" s="88"/>
      <c r="O18" s="89"/>
      <c r="P18" s="88"/>
      <c r="Q18" s="89"/>
      <c r="R18" s="88"/>
      <c r="S18" s="89"/>
      <c r="T18" s="88"/>
      <c r="U18" s="89"/>
      <c r="V18" s="88"/>
      <c r="W18" s="89"/>
      <c r="X18" s="88"/>
      <c r="Y18" s="89"/>
      <c r="Z18" s="88"/>
      <c r="AA18" s="89"/>
      <c r="AB18" s="88"/>
      <c r="AC18" s="89"/>
      <c r="AD18" s="88"/>
      <c r="AE18" s="89"/>
      <c r="AF18" s="88"/>
      <c r="AG18" s="89"/>
      <c r="AH18" s="88"/>
      <c r="AI18" s="89"/>
      <c r="AJ18" s="88">
        <v>0.6</v>
      </c>
      <c r="AK18" s="90">
        <v>10</v>
      </c>
      <c r="AL18" s="88">
        <v>0.2</v>
      </c>
      <c r="AM18" s="89">
        <v>10</v>
      </c>
      <c r="AN18" s="88"/>
      <c r="AO18" s="89"/>
      <c r="AP18" s="88">
        <v>3.7</v>
      </c>
      <c r="AQ18" s="90">
        <v>30</v>
      </c>
      <c r="AR18" s="88">
        <v>0.2</v>
      </c>
      <c r="AS18" s="89">
        <v>10</v>
      </c>
      <c r="AT18" s="88"/>
      <c r="AU18" s="90"/>
      <c r="AV18" s="88"/>
      <c r="AW18" s="90"/>
      <c r="AX18" s="91">
        <v>9</v>
      </c>
      <c r="AY18" s="92">
        <f t="shared" si="0"/>
        <v>4.7</v>
      </c>
      <c r="AZ18" s="93">
        <f t="shared" si="0"/>
        <v>60</v>
      </c>
      <c r="BA18" s="94">
        <f t="shared" si="1"/>
        <v>3.7</v>
      </c>
      <c r="BB18" s="95">
        <f t="shared" si="2"/>
        <v>4</v>
      </c>
      <c r="BC18" s="101"/>
      <c r="BD18" s="19">
        <f t="shared" si="4"/>
        <v>1</v>
      </c>
      <c r="BE18" s="98">
        <f t="shared" si="3"/>
        <v>31.300000000000004</v>
      </c>
      <c r="BF18" s="99"/>
      <c r="BG18" s="86">
        <f>janeiro!$BE19</f>
        <v>4.7</v>
      </c>
      <c r="BH18" s="97"/>
      <c r="BI18" s="19">
        <f t="shared" si="5"/>
        <v>0</v>
      </c>
    </row>
    <row r="19" spans="1:61" ht="21" customHeight="1">
      <c r="A19" s="71">
        <v>10</v>
      </c>
      <c r="B19" s="88"/>
      <c r="C19" s="89"/>
      <c r="D19" s="88"/>
      <c r="E19" s="89"/>
      <c r="F19" s="88"/>
      <c r="G19" s="89"/>
      <c r="H19" s="88"/>
      <c r="I19" s="89"/>
      <c r="J19" s="88"/>
      <c r="K19" s="89"/>
      <c r="L19" s="88"/>
      <c r="M19" s="89"/>
      <c r="N19" s="88"/>
      <c r="O19" s="89"/>
      <c r="P19" s="88"/>
      <c r="Q19" s="89"/>
      <c r="R19" s="88"/>
      <c r="S19" s="89"/>
      <c r="T19" s="88"/>
      <c r="U19" s="89"/>
      <c r="V19" s="88"/>
      <c r="W19" s="89"/>
      <c r="X19" s="88"/>
      <c r="Y19" s="89"/>
      <c r="Z19" s="88"/>
      <c r="AA19" s="89"/>
      <c r="AB19" s="88"/>
      <c r="AC19" s="89"/>
      <c r="AD19" s="88"/>
      <c r="AE19" s="89"/>
      <c r="AF19" s="88"/>
      <c r="AG19" s="89"/>
      <c r="AH19" s="88">
        <v>0.1</v>
      </c>
      <c r="AI19" s="89">
        <v>5</v>
      </c>
      <c r="AJ19" s="88">
        <v>12.1</v>
      </c>
      <c r="AK19" s="90">
        <v>60</v>
      </c>
      <c r="AL19" s="88">
        <v>0.3</v>
      </c>
      <c r="AM19" s="89">
        <v>10</v>
      </c>
      <c r="AN19" s="88"/>
      <c r="AO19" s="89"/>
      <c r="AP19" s="88"/>
      <c r="AQ19" s="90"/>
      <c r="AR19" s="88">
        <v>1.4</v>
      </c>
      <c r="AS19" s="89">
        <v>40</v>
      </c>
      <c r="AT19" s="88">
        <v>2</v>
      </c>
      <c r="AU19" s="90">
        <v>60</v>
      </c>
      <c r="AV19" s="88">
        <v>1.3</v>
      </c>
      <c r="AW19" s="90">
        <v>60</v>
      </c>
      <c r="AX19" s="91">
        <v>10</v>
      </c>
      <c r="AY19" s="92">
        <f>B19+D19+F19+H19+J19+L19+N19+P19+R19+T19+V19+X19+Z19+AB19+AD19+AF19+AH19+AJ19+AL19+AN19+AP19+AR19+AT19+AV19</f>
        <v>17.2</v>
      </c>
      <c r="AZ19" s="93">
        <f t="shared" si="0"/>
        <v>235</v>
      </c>
      <c r="BA19" s="94">
        <f t="shared" si="1"/>
        <v>12.1</v>
      </c>
      <c r="BB19" s="95">
        <f t="shared" si="2"/>
        <v>6</v>
      </c>
      <c r="BC19" s="9"/>
      <c r="BD19" s="19">
        <f t="shared" si="4"/>
        <v>1</v>
      </c>
      <c r="BE19" s="98">
        <f t="shared" si="3"/>
        <v>4.7</v>
      </c>
      <c r="BF19" s="99"/>
      <c r="BG19" s="86">
        <f>janeiro!$BE20</f>
        <v>18.399999999999999</v>
      </c>
      <c r="BH19" s="97"/>
      <c r="BI19" s="19">
        <f t="shared" si="5"/>
        <v>0</v>
      </c>
    </row>
    <row r="20" spans="1:61" ht="21" customHeight="1">
      <c r="A20" s="71">
        <v>11</v>
      </c>
      <c r="B20" s="88">
        <v>1.2</v>
      </c>
      <c r="C20" s="89">
        <v>60</v>
      </c>
      <c r="D20" s="88"/>
      <c r="E20" s="89"/>
      <c r="F20" s="88"/>
      <c r="G20" s="89"/>
      <c r="H20" s="88"/>
      <c r="I20" s="89"/>
      <c r="J20" s="88"/>
      <c r="K20" s="89"/>
      <c r="L20" s="88"/>
      <c r="M20" s="89"/>
      <c r="N20" s="88"/>
      <c r="O20" s="89"/>
      <c r="P20" s="88"/>
      <c r="Q20" s="89"/>
      <c r="R20" s="88"/>
      <c r="S20" s="89"/>
      <c r="T20" s="88"/>
      <c r="U20" s="89"/>
      <c r="V20" s="88"/>
      <c r="W20" s="89"/>
      <c r="X20" s="88"/>
      <c r="Y20" s="89"/>
      <c r="Z20" s="88"/>
      <c r="AA20" s="89"/>
      <c r="AB20" s="88"/>
      <c r="AC20" s="89"/>
      <c r="AD20" s="88"/>
      <c r="AE20" s="89"/>
      <c r="AF20" s="88"/>
      <c r="AG20" s="89"/>
      <c r="AH20" s="88"/>
      <c r="AI20" s="89"/>
      <c r="AJ20" s="88"/>
      <c r="AK20" s="90"/>
      <c r="AL20" s="88">
        <v>0.2</v>
      </c>
      <c r="AM20" s="89">
        <v>5</v>
      </c>
      <c r="AN20" s="88"/>
      <c r="AO20" s="89"/>
      <c r="AP20" s="88"/>
      <c r="AQ20" s="90"/>
      <c r="AR20" s="88"/>
      <c r="AS20" s="89"/>
      <c r="AT20" s="88"/>
      <c r="AU20" s="90"/>
      <c r="AV20" s="88"/>
      <c r="AW20" s="90"/>
      <c r="AX20" s="91">
        <v>11</v>
      </c>
      <c r="AY20" s="92">
        <f t="shared" si="0"/>
        <v>1.4</v>
      </c>
      <c r="AZ20" s="93">
        <f t="shared" si="0"/>
        <v>65</v>
      </c>
      <c r="BA20" s="94">
        <f t="shared" si="1"/>
        <v>1.2</v>
      </c>
      <c r="BB20" s="95">
        <f t="shared" si="2"/>
        <v>2</v>
      </c>
      <c r="BC20" s="9"/>
      <c r="BD20" s="19">
        <f t="shared" si="4"/>
        <v>1</v>
      </c>
      <c r="BE20" s="98">
        <f t="shared" si="3"/>
        <v>18.399999999999999</v>
      </c>
      <c r="BF20" s="99"/>
      <c r="BG20" s="86">
        <f>janeiro!$BE21</f>
        <v>4.7</v>
      </c>
      <c r="BH20" s="97"/>
      <c r="BI20" s="19">
        <f t="shared" si="5"/>
        <v>0</v>
      </c>
    </row>
    <row r="21" spans="1:61" ht="21" customHeight="1">
      <c r="A21" s="103">
        <v>12</v>
      </c>
      <c r="B21" s="88"/>
      <c r="C21" s="89"/>
      <c r="D21" s="88"/>
      <c r="E21" s="89"/>
      <c r="F21" s="88"/>
      <c r="G21" s="89"/>
      <c r="H21" s="88">
        <v>3.6</v>
      </c>
      <c r="I21" s="89">
        <v>15</v>
      </c>
      <c r="J21" s="88">
        <v>0.8</v>
      </c>
      <c r="K21" s="89">
        <v>35</v>
      </c>
      <c r="L21" s="88">
        <v>0.1</v>
      </c>
      <c r="M21" s="89">
        <v>5</v>
      </c>
      <c r="N21" s="88"/>
      <c r="O21" s="89"/>
      <c r="P21" s="88"/>
      <c r="Q21" s="89"/>
      <c r="R21" s="88"/>
      <c r="S21" s="89"/>
      <c r="T21" s="88"/>
      <c r="U21" s="89"/>
      <c r="V21" s="88"/>
      <c r="W21" s="89"/>
      <c r="X21" s="88"/>
      <c r="Y21" s="89"/>
      <c r="Z21" s="88"/>
      <c r="AA21" s="89"/>
      <c r="AB21" s="88">
        <v>0.4</v>
      </c>
      <c r="AC21" s="89">
        <v>5</v>
      </c>
      <c r="AD21" s="88">
        <v>0.1</v>
      </c>
      <c r="AE21" s="89">
        <v>5</v>
      </c>
      <c r="AF21" s="88"/>
      <c r="AG21" s="89"/>
      <c r="AH21" s="88"/>
      <c r="AI21" s="89"/>
      <c r="AJ21" s="88">
        <v>5.3</v>
      </c>
      <c r="AK21" s="90">
        <v>10</v>
      </c>
      <c r="AL21" s="88">
        <v>14.7</v>
      </c>
      <c r="AM21" s="89">
        <v>60</v>
      </c>
      <c r="AN21" s="88">
        <v>9.4</v>
      </c>
      <c r="AO21" s="89">
        <v>60</v>
      </c>
      <c r="AP21" s="88">
        <v>9.4</v>
      </c>
      <c r="AQ21" s="90">
        <v>60</v>
      </c>
      <c r="AR21" s="88">
        <v>8.9</v>
      </c>
      <c r="AS21" s="89">
        <v>60</v>
      </c>
      <c r="AT21" s="88">
        <v>10.199999999999999</v>
      </c>
      <c r="AU21" s="90">
        <v>60</v>
      </c>
      <c r="AV21" s="88">
        <v>6</v>
      </c>
      <c r="AW21" s="90">
        <v>60</v>
      </c>
      <c r="AX21" s="91">
        <v>12</v>
      </c>
      <c r="AY21" s="92">
        <f t="shared" si="0"/>
        <v>68.899999999999991</v>
      </c>
      <c r="AZ21" s="93">
        <f t="shared" si="0"/>
        <v>435</v>
      </c>
      <c r="BA21" s="94">
        <f t="shared" si="1"/>
        <v>14.7</v>
      </c>
      <c r="BB21" s="95">
        <f t="shared" si="2"/>
        <v>12</v>
      </c>
      <c r="BC21" s="9"/>
      <c r="BD21" s="19">
        <f t="shared" si="4"/>
        <v>1</v>
      </c>
      <c r="BE21" s="98">
        <f t="shared" si="3"/>
        <v>4.7</v>
      </c>
      <c r="BF21" s="99"/>
      <c r="BG21" s="86">
        <f>janeiro!$BE22</f>
        <v>80.400000000000006</v>
      </c>
      <c r="BH21" s="97"/>
      <c r="BI21" s="19">
        <f t="shared" si="5"/>
        <v>0</v>
      </c>
    </row>
    <row r="22" spans="1:61" ht="21" customHeight="1">
      <c r="A22" s="71">
        <v>13</v>
      </c>
      <c r="B22" s="88">
        <v>5.7</v>
      </c>
      <c r="C22" s="89">
        <v>60</v>
      </c>
      <c r="D22" s="88">
        <v>5.2</v>
      </c>
      <c r="E22" s="89">
        <v>60</v>
      </c>
      <c r="F22" s="88">
        <v>3.4</v>
      </c>
      <c r="G22" s="89">
        <v>60</v>
      </c>
      <c r="H22" s="88">
        <v>1.2</v>
      </c>
      <c r="I22" s="89">
        <v>60</v>
      </c>
      <c r="J22" s="88">
        <v>0.5</v>
      </c>
      <c r="K22" s="89">
        <v>25</v>
      </c>
      <c r="L22" s="88"/>
      <c r="M22" s="89"/>
      <c r="N22" s="88"/>
      <c r="O22" s="89"/>
      <c r="P22" s="88"/>
      <c r="Q22" s="89"/>
      <c r="R22" s="88">
        <v>0.3</v>
      </c>
      <c r="S22" s="89">
        <v>15</v>
      </c>
      <c r="T22" s="88"/>
      <c r="U22" s="89"/>
      <c r="V22" s="88"/>
      <c r="W22" s="89"/>
      <c r="X22" s="88"/>
      <c r="Y22" s="89"/>
      <c r="Z22" s="88"/>
      <c r="AA22" s="89"/>
      <c r="AB22" s="88"/>
      <c r="AC22" s="89"/>
      <c r="AD22" s="88"/>
      <c r="AE22" s="89"/>
      <c r="AF22" s="88"/>
      <c r="AG22" s="89"/>
      <c r="AH22" s="88"/>
      <c r="AI22" s="89"/>
      <c r="AJ22" s="88"/>
      <c r="AK22" s="90"/>
      <c r="AL22" s="88"/>
      <c r="AM22" s="89"/>
      <c r="AN22" s="88"/>
      <c r="AO22" s="89"/>
      <c r="AP22" s="88">
        <v>0.1</v>
      </c>
      <c r="AQ22" s="90">
        <v>5</v>
      </c>
      <c r="AR22" s="88">
        <v>0.1</v>
      </c>
      <c r="AS22" s="89">
        <v>5</v>
      </c>
      <c r="AT22" s="88"/>
      <c r="AU22" s="90"/>
      <c r="AV22" s="88"/>
      <c r="AW22" s="90"/>
      <c r="AX22" s="91">
        <v>13</v>
      </c>
      <c r="AY22" s="92">
        <f t="shared" si="0"/>
        <v>16.500000000000004</v>
      </c>
      <c r="AZ22" s="93">
        <f t="shared" si="0"/>
        <v>290</v>
      </c>
      <c r="BA22" s="94">
        <f t="shared" si="1"/>
        <v>5.7</v>
      </c>
      <c r="BB22" s="95">
        <f t="shared" si="2"/>
        <v>8</v>
      </c>
      <c r="BC22" s="9"/>
      <c r="BD22" s="19">
        <f t="shared" si="4"/>
        <v>1</v>
      </c>
      <c r="BE22" s="98">
        <f t="shared" si="3"/>
        <v>80.400000000000006</v>
      </c>
      <c r="BF22" s="99"/>
      <c r="BG22" s="86">
        <f>janeiro!$BE23</f>
        <v>0.5</v>
      </c>
      <c r="BH22" s="97"/>
      <c r="BI22" s="19">
        <f t="shared" si="5"/>
        <v>0</v>
      </c>
    </row>
    <row r="23" spans="1:61" ht="21" customHeight="1">
      <c r="A23" s="102">
        <v>14</v>
      </c>
      <c r="B23" s="88"/>
      <c r="C23" s="89"/>
      <c r="D23" s="88"/>
      <c r="E23" s="89"/>
      <c r="F23" s="88"/>
      <c r="G23" s="89"/>
      <c r="H23" s="88"/>
      <c r="I23" s="89"/>
      <c r="J23" s="88"/>
      <c r="K23" s="89"/>
      <c r="L23" s="88"/>
      <c r="M23" s="89"/>
      <c r="N23" s="88"/>
      <c r="O23" s="89"/>
      <c r="P23" s="88"/>
      <c r="Q23" s="89"/>
      <c r="R23" s="88"/>
      <c r="S23" s="89"/>
      <c r="T23" s="88"/>
      <c r="U23" s="89"/>
      <c r="V23" s="88"/>
      <c r="W23" s="89"/>
      <c r="X23" s="88"/>
      <c r="Y23" s="89"/>
      <c r="Z23" s="88"/>
      <c r="AA23" s="89"/>
      <c r="AB23" s="88"/>
      <c r="AC23" s="89"/>
      <c r="AD23" s="88"/>
      <c r="AE23" s="89"/>
      <c r="AF23" s="88"/>
      <c r="AG23" s="89"/>
      <c r="AH23" s="88"/>
      <c r="AI23" s="89"/>
      <c r="AJ23" s="88"/>
      <c r="AK23" s="90"/>
      <c r="AL23" s="88"/>
      <c r="AM23" s="89"/>
      <c r="AN23" s="88"/>
      <c r="AO23" s="89"/>
      <c r="AP23" s="88"/>
      <c r="AQ23" s="90"/>
      <c r="AR23" s="88"/>
      <c r="AS23" s="89"/>
      <c r="AT23" s="88"/>
      <c r="AU23" s="90"/>
      <c r="AV23" s="88"/>
      <c r="AW23" s="90"/>
      <c r="AX23" s="91">
        <v>14</v>
      </c>
      <c r="AY23" s="92">
        <f t="shared" si="0"/>
        <v>0</v>
      </c>
      <c r="AZ23" s="93">
        <f t="shared" si="0"/>
        <v>0</v>
      </c>
      <c r="BA23" s="94">
        <f t="shared" si="1"/>
        <v>0</v>
      </c>
      <c r="BB23" s="95">
        <f t="shared" si="2"/>
        <v>0</v>
      </c>
      <c r="BC23" s="9"/>
      <c r="BD23" s="19">
        <f t="shared" si="4"/>
        <v>0</v>
      </c>
      <c r="BE23" s="98">
        <f t="shared" si="3"/>
        <v>0.5</v>
      </c>
      <c r="BF23" s="99"/>
      <c r="BG23" s="86">
        <f>janeiro!$BE24</f>
        <v>0</v>
      </c>
      <c r="BH23" s="97"/>
      <c r="BI23" s="19">
        <f t="shared" si="5"/>
        <v>0</v>
      </c>
    </row>
    <row r="24" spans="1:61" ht="21" customHeight="1">
      <c r="A24" s="71">
        <v>15</v>
      </c>
      <c r="B24" s="88"/>
      <c r="C24" s="89"/>
      <c r="D24" s="88"/>
      <c r="E24" s="89"/>
      <c r="F24" s="88"/>
      <c r="G24" s="89"/>
      <c r="H24" s="88"/>
      <c r="I24" s="89"/>
      <c r="J24" s="88"/>
      <c r="K24" s="89"/>
      <c r="L24" s="88"/>
      <c r="M24" s="89"/>
      <c r="N24" s="88"/>
      <c r="O24" s="89"/>
      <c r="P24" s="88"/>
      <c r="Q24" s="89"/>
      <c r="R24" s="88"/>
      <c r="S24" s="89"/>
      <c r="T24" s="88"/>
      <c r="U24" s="89"/>
      <c r="V24" s="88"/>
      <c r="W24" s="89"/>
      <c r="X24" s="88"/>
      <c r="Y24" s="89"/>
      <c r="Z24" s="88"/>
      <c r="AA24" s="89"/>
      <c r="AB24" s="88"/>
      <c r="AC24" s="89"/>
      <c r="AD24" s="88"/>
      <c r="AE24" s="89"/>
      <c r="AF24" s="88"/>
      <c r="AG24" s="89"/>
      <c r="AH24" s="88"/>
      <c r="AI24" s="89"/>
      <c r="AJ24" s="88"/>
      <c r="AK24" s="90"/>
      <c r="AL24" s="88"/>
      <c r="AM24" s="89"/>
      <c r="AN24" s="88"/>
      <c r="AO24" s="89"/>
      <c r="AP24" s="88"/>
      <c r="AQ24" s="90"/>
      <c r="AR24" s="88"/>
      <c r="AS24" s="89"/>
      <c r="AT24" s="88"/>
      <c r="AU24" s="90"/>
      <c r="AV24" s="88"/>
      <c r="AW24" s="90"/>
      <c r="AX24" s="91">
        <v>15</v>
      </c>
      <c r="AY24" s="92">
        <f t="shared" si="0"/>
        <v>0</v>
      </c>
      <c r="AZ24" s="93">
        <f t="shared" si="0"/>
        <v>0</v>
      </c>
      <c r="BA24" s="94">
        <f t="shared" si="1"/>
        <v>0</v>
      </c>
      <c r="BB24" s="95">
        <f t="shared" si="2"/>
        <v>0</v>
      </c>
      <c r="BC24" s="9"/>
      <c r="BD24" s="19">
        <f t="shared" si="4"/>
        <v>0</v>
      </c>
      <c r="BE24" s="98">
        <f t="shared" si="3"/>
        <v>0</v>
      </c>
      <c r="BF24" s="99"/>
      <c r="BG24" s="86">
        <f>janeiro!$BE25</f>
        <v>0</v>
      </c>
      <c r="BH24" s="97"/>
      <c r="BI24" s="19">
        <f t="shared" si="5"/>
        <v>0</v>
      </c>
    </row>
    <row r="25" spans="1:61" ht="21" customHeight="1">
      <c r="A25" s="71">
        <v>16</v>
      </c>
      <c r="B25" s="88"/>
      <c r="C25" s="89"/>
      <c r="D25" s="88"/>
      <c r="E25" s="89"/>
      <c r="F25" s="88"/>
      <c r="G25" s="89"/>
      <c r="H25" s="88"/>
      <c r="I25" s="89"/>
      <c r="J25" s="88"/>
      <c r="K25" s="89"/>
      <c r="L25" s="88"/>
      <c r="M25" s="89"/>
      <c r="N25" s="88"/>
      <c r="O25" s="89"/>
      <c r="P25" s="88"/>
      <c r="Q25" s="89"/>
      <c r="R25" s="88"/>
      <c r="S25" s="89"/>
      <c r="T25" s="88"/>
      <c r="U25" s="89"/>
      <c r="V25" s="88"/>
      <c r="W25" s="89"/>
      <c r="X25" s="88"/>
      <c r="Y25" s="89"/>
      <c r="Z25" s="88"/>
      <c r="AA25" s="89"/>
      <c r="AB25" s="88"/>
      <c r="AC25" s="89"/>
      <c r="AD25" s="88"/>
      <c r="AE25" s="89"/>
      <c r="AF25" s="88"/>
      <c r="AG25" s="89"/>
      <c r="AH25" s="88"/>
      <c r="AI25" s="89"/>
      <c r="AJ25" s="88"/>
      <c r="AK25" s="90"/>
      <c r="AL25" s="88"/>
      <c r="AM25" s="89"/>
      <c r="AN25" s="88"/>
      <c r="AO25" s="89"/>
      <c r="AP25" s="88"/>
      <c r="AQ25" s="90"/>
      <c r="AR25" s="88"/>
      <c r="AS25" s="89"/>
      <c r="AT25" s="88"/>
      <c r="AU25" s="90"/>
      <c r="AV25" s="88"/>
      <c r="AW25" s="90"/>
      <c r="AX25" s="91">
        <v>16</v>
      </c>
      <c r="AY25" s="92">
        <f t="shared" si="0"/>
        <v>0</v>
      </c>
      <c r="AZ25" s="93">
        <f t="shared" si="0"/>
        <v>0</v>
      </c>
      <c r="BA25" s="94">
        <f t="shared" si="1"/>
        <v>0</v>
      </c>
      <c r="BB25" s="95">
        <f t="shared" si="2"/>
        <v>0</v>
      </c>
      <c r="BC25" s="9"/>
      <c r="BD25" s="19">
        <f t="shared" si="4"/>
        <v>0</v>
      </c>
      <c r="BE25" s="98">
        <f t="shared" si="3"/>
        <v>0</v>
      </c>
      <c r="BF25" s="99"/>
      <c r="BG25" s="86">
        <f>janeiro!$BE26</f>
        <v>0</v>
      </c>
      <c r="BH25" s="97"/>
      <c r="BI25" s="19">
        <f t="shared" si="5"/>
        <v>0</v>
      </c>
    </row>
    <row r="26" spans="1:61" ht="21" customHeight="1">
      <c r="A26" s="71">
        <v>17</v>
      </c>
      <c r="B26" s="88"/>
      <c r="C26" s="89"/>
      <c r="D26" s="88"/>
      <c r="E26" s="89"/>
      <c r="F26" s="88"/>
      <c r="G26" s="89"/>
      <c r="H26" s="88"/>
      <c r="I26" s="89"/>
      <c r="J26" s="88"/>
      <c r="K26" s="89"/>
      <c r="L26" s="88"/>
      <c r="M26" s="89"/>
      <c r="N26" s="88"/>
      <c r="O26" s="89"/>
      <c r="P26" s="88"/>
      <c r="Q26" s="89"/>
      <c r="R26" s="88"/>
      <c r="S26" s="89"/>
      <c r="T26" s="88"/>
      <c r="U26" s="89"/>
      <c r="V26" s="88"/>
      <c r="W26" s="89"/>
      <c r="X26" s="88"/>
      <c r="Y26" s="89"/>
      <c r="Z26" s="88"/>
      <c r="AA26" s="89"/>
      <c r="AB26" s="88"/>
      <c r="AC26" s="89"/>
      <c r="AD26" s="88"/>
      <c r="AE26" s="89"/>
      <c r="AF26" s="88"/>
      <c r="AG26" s="89"/>
      <c r="AH26" s="88">
        <v>0.8</v>
      </c>
      <c r="AI26" s="89">
        <v>10</v>
      </c>
      <c r="AJ26" s="88">
        <v>7.2</v>
      </c>
      <c r="AK26" s="90">
        <v>40</v>
      </c>
      <c r="AL26" s="88"/>
      <c r="AM26" s="89"/>
      <c r="AN26" s="88"/>
      <c r="AO26" s="89"/>
      <c r="AP26" s="88"/>
      <c r="AQ26" s="90"/>
      <c r="AR26" s="88"/>
      <c r="AS26" s="89"/>
      <c r="AT26" s="88"/>
      <c r="AU26" s="90"/>
      <c r="AV26" s="88"/>
      <c r="AW26" s="90"/>
      <c r="AX26" s="91">
        <v>17</v>
      </c>
      <c r="AY26" s="92">
        <f t="shared" si="0"/>
        <v>8</v>
      </c>
      <c r="AZ26" s="93">
        <f t="shared" si="0"/>
        <v>50</v>
      </c>
      <c r="BA26" s="94">
        <f t="shared" si="1"/>
        <v>7.2</v>
      </c>
      <c r="BB26" s="95">
        <f t="shared" si="2"/>
        <v>2</v>
      </c>
      <c r="BC26" s="9"/>
      <c r="BD26" s="19">
        <f t="shared" si="4"/>
        <v>1</v>
      </c>
      <c r="BE26" s="98">
        <f t="shared" si="3"/>
        <v>0</v>
      </c>
      <c r="BF26" s="99"/>
      <c r="BG26" s="86">
        <f>janeiro!$BE27</f>
        <v>8</v>
      </c>
      <c r="BH26" s="97"/>
      <c r="BI26" s="19">
        <f t="shared" si="5"/>
        <v>0</v>
      </c>
    </row>
    <row r="27" spans="1:61" ht="21" customHeight="1">
      <c r="A27" s="71">
        <v>18</v>
      </c>
      <c r="B27" s="88"/>
      <c r="C27" s="89"/>
      <c r="D27" s="88"/>
      <c r="E27" s="89"/>
      <c r="F27" s="88"/>
      <c r="G27" s="89"/>
      <c r="H27" s="88"/>
      <c r="I27" s="89"/>
      <c r="J27" s="88"/>
      <c r="K27" s="89"/>
      <c r="L27" s="88"/>
      <c r="M27" s="89"/>
      <c r="N27" s="88"/>
      <c r="O27" s="89"/>
      <c r="P27" s="88"/>
      <c r="Q27" s="89"/>
      <c r="R27" s="88"/>
      <c r="S27" s="89"/>
      <c r="T27" s="88"/>
      <c r="U27" s="89"/>
      <c r="V27" s="88"/>
      <c r="W27" s="89"/>
      <c r="X27" s="88"/>
      <c r="Y27" s="89"/>
      <c r="Z27" s="88"/>
      <c r="AA27" s="89"/>
      <c r="AB27" s="88"/>
      <c r="AC27" s="89"/>
      <c r="AD27" s="88"/>
      <c r="AE27" s="89"/>
      <c r="AF27" s="88"/>
      <c r="AG27" s="89"/>
      <c r="AH27" s="88"/>
      <c r="AI27" s="89"/>
      <c r="AJ27" s="88"/>
      <c r="AK27" s="90"/>
      <c r="AL27" s="88"/>
      <c r="AM27" s="89"/>
      <c r="AN27" s="88"/>
      <c r="AO27" s="89"/>
      <c r="AP27" s="88"/>
      <c r="AQ27" s="90"/>
      <c r="AR27" s="88"/>
      <c r="AS27" s="89"/>
      <c r="AT27" s="88"/>
      <c r="AU27" s="90"/>
      <c r="AV27" s="88"/>
      <c r="AW27" s="90"/>
      <c r="AX27" s="91">
        <v>18</v>
      </c>
      <c r="AY27" s="92">
        <f t="shared" si="0"/>
        <v>0</v>
      </c>
      <c r="AZ27" s="93">
        <f t="shared" si="0"/>
        <v>0</v>
      </c>
      <c r="BA27" s="94">
        <f t="shared" si="1"/>
        <v>0</v>
      </c>
      <c r="BB27" s="95">
        <f t="shared" si="2"/>
        <v>0</v>
      </c>
      <c r="BC27" s="9"/>
      <c r="BD27" s="19">
        <f t="shared" si="4"/>
        <v>0</v>
      </c>
      <c r="BE27" s="98">
        <f t="shared" si="3"/>
        <v>8</v>
      </c>
      <c r="BF27" s="99"/>
      <c r="BG27" s="86">
        <f>janeiro!$BE28</f>
        <v>2.8</v>
      </c>
      <c r="BH27" s="97"/>
      <c r="BI27" s="19">
        <f t="shared" si="5"/>
        <v>0</v>
      </c>
    </row>
    <row r="28" spans="1:61" ht="21" customHeight="1">
      <c r="A28" s="71">
        <v>19</v>
      </c>
      <c r="B28" s="88">
        <v>0.7</v>
      </c>
      <c r="C28" s="89">
        <v>25</v>
      </c>
      <c r="D28" s="88">
        <v>1.2</v>
      </c>
      <c r="E28" s="89">
        <v>60</v>
      </c>
      <c r="F28" s="88">
        <v>0.5</v>
      </c>
      <c r="G28" s="89">
        <v>60</v>
      </c>
      <c r="H28" s="88">
        <v>0.4</v>
      </c>
      <c r="I28" s="89">
        <v>40</v>
      </c>
      <c r="J28" s="88"/>
      <c r="K28" s="89"/>
      <c r="L28" s="88"/>
      <c r="M28" s="89"/>
      <c r="N28" s="104"/>
      <c r="O28" s="105"/>
      <c r="P28" s="88"/>
      <c r="Q28" s="89"/>
      <c r="R28" s="88"/>
      <c r="S28" s="89"/>
      <c r="T28" s="88"/>
      <c r="U28" s="89"/>
      <c r="V28" s="88"/>
      <c r="W28" s="89"/>
      <c r="X28" s="88"/>
      <c r="Y28" s="89"/>
      <c r="Z28" s="88"/>
      <c r="AA28" s="89"/>
      <c r="AB28" s="88"/>
      <c r="AC28" s="89"/>
      <c r="AD28" s="88"/>
      <c r="AE28" s="89"/>
      <c r="AF28" s="88"/>
      <c r="AG28" s="89"/>
      <c r="AH28" s="88"/>
      <c r="AI28" s="89"/>
      <c r="AJ28" s="88">
        <v>16.8</v>
      </c>
      <c r="AK28" s="90">
        <v>20</v>
      </c>
      <c r="AL28" s="88">
        <v>17</v>
      </c>
      <c r="AM28" s="89">
        <v>60</v>
      </c>
      <c r="AN28" s="88">
        <v>3.5</v>
      </c>
      <c r="AO28" s="89">
        <v>30</v>
      </c>
      <c r="AP28" s="88">
        <v>29.5</v>
      </c>
      <c r="AQ28" s="90">
        <v>50</v>
      </c>
      <c r="AR28" s="88">
        <v>0.1</v>
      </c>
      <c r="AS28" s="89">
        <v>5</v>
      </c>
      <c r="AT28" s="88"/>
      <c r="AU28" s="90"/>
      <c r="AV28" s="88"/>
      <c r="AW28" s="90"/>
      <c r="AX28" s="91">
        <v>19</v>
      </c>
      <c r="AY28" s="92">
        <f t="shared" si="0"/>
        <v>69.699999999999989</v>
      </c>
      <c r="AZ28" s="93">
        <f t="shared" si="0"/>
        <v>350</v>
      </c>
      <c r="BA28" s="94">
        <f t="shared" si="1"/>
        <v>29.5</v>
      </c>
      <c r="BB28" s="95">
        <f t="shared" si="2"/>
        <v>9</v>
      </c>
      <c r="BC28" s="9"/>
      <c r="BD28" s="19">
        <f t="shared" si="4"/>
        <v>1</v>
      </c>
      <c r="BE28" s="98">
        <f t="shared" si="3"/>
        <v>2.8</v>
      </c>
      <c r="BF28" s="99"/>
      <c r="BG28" s="86">
        <f>janeiro!$BE29</f>
        <v>66.899999999999991</v>
      </c>
      <c r="BH28" s="97"/>
      <c r="BI28" s="19">
        <f t="shared" si="5"/>
        <v>0</v>
      </c>
    </row>
    <row r="29" spans="1:61" ht="21" customHeight="1">
      <c r="A29" s="71">
        <v>20</v>
      </c>
      <c r="B29" s="88"/>
      <c r="C29" s="89"/>
      <c r="D29" s="88"/>
      <c r="E29" s="89"/>
      <c r="F29" s="88"/>
      <c r="G29" s="89"/>
      <c r="H29" s="88"/>
      <c r="I29" s="89"/>
      <c r="J29" s="88"/>
      <c r="K29" s="89"/>
      <c r="L29" s="88"/>
      <c r="M29" s="89"/>
      <c r="N29" s="88"/>
      <c r="O29" s="89"/>
      <c r="P29" s="88"/>
      <c r="Q29" s="89"/>
      <c r="R29" s="88"/>
      <c r="S29" s="89"/>
      <c r="T29" s="88"/>
      <c r="U29" s="89"/>
      <c r="V29" s="88"/>
      <c r="W29" s="89"/>
      <c r="X29" s="88"/>
      <c r="Y29" s="89"/>
      <c r="Z29" s="88"/>
      <c r="AA29" s="89"/>
      <c r="AB29" s="88"/>
      <c r="AC29" s="89"/>
      <c r="AD29" s="88"/>
      <c r="AE29" s="89"/>
      <c r="AF29" s="88"/>
      <c r="AG29" s="89"/>
      <c r="AH29" s="88"/>
      <c r="AI29" s="89"/>
      <c r="AJ29" s="88"/>
      <c r="AK29" s="90"/>
      <c r="AL29" s="88">
        <v>17.100000000000001</v>
      </c>
      <c r="AM29" s="89">
        <v>50</v>
      </c>
      <c r="AN29" s="88">
        <v>3.8</v>
      </c>
      <c r="AO29" s="89">
        <v>60</v>
      </c>
      <c r="AP29" s="88">
        <v>2.1</v>
      </c>
      <c r="AQ29" s="90">
        <v>60</v>
      </c>
      <c r="AR29" s="88">
        <v>0.2</v>
      </c>
      <c r="AS29" s="89">
        <v>20</v>
      </c>
      <c r="AT29" s="88">
        <v>0.3</v>
      </c>
      <c r="AU29" s="90">
        <v>20</v>
      </c>
      <c r="AV29" s="88"/>
      <c r="AW29" s="90"/>
      <c r="AX29" s="91">
        <v>20</v>
      </c>
      <c r="AY29" s="92">
        <f t="shared" si="0"/>
        <v>23.500000000000004</v>
      </c>
      <c r="AZ29" s="93">
        <f t="shared" si="0"/>
        <v>210</v>
      </c>
      <c r="BA29" s="94">
        <f t="shared" si="1"/>
        <v>17.100000000000001</v>
      </c>
      <c r="BB29" s="95">
        <f t="shared" si="2"/>
        <v>5</v>
      </c>
      <c r="BC29" s="9"/>
      <c r="BD29" s="19">
        <f t="shared" si="4"/>
        <v>1</v>
      </c>
      <c r="BE29" s="98">
        <f t="shared" si="3"/>
        <v>66.899999999999991</v>
      </c>
      <c r="BF29" s="99"/>
      <c r="BG29" s="86">
        <f>janeiro!$BE30</f>
        <v>23.500000000000004</v>
      </c>
      <c r="BH29" s="97"/>
      <c r="BI29" s="19">
        <f t="shared" si="5"/>
        <v>0</v>
      </c>
    </row>
    <row r="30" spans="1:61" ht="21" customHeight="1">
      <c r="A30" s="71">
        <v>21</v>
      </c>
      <c r="B30" s="88"/>
      <c r="C30" s="89"/>
      <c r="D30" s="88"/>
      <c r="E30" s="89"/>
      <c r="F30" s="88"/>
      <c r="G30" s="89"/>
      <c r="H30" s="88"/>
      <c r="I30" s="89"/>
      <c r="J30" s="88"/>
      <c r="K30" s="89"/>
      <c r="L30" s="88"/>
      <c r="M30" s="89"/>
      <c r="N30" s="88"/>
      <c r="O30" s="89"/>
      <c r="P30" s="88"/>
      <c r="Q30" s="89"/>
      <c r="R30" s="88"/>
      <c r="S30" s="89"/>
      <c r="T30" s="88"/>
      <c r="U30" s="89"/>
      <c r="V30" s="88">
        <v>1.7000000000000002</v>
      </c>
      <c r="W30" s="89">
        <v>5</v>
      </c>
      <c r="X30" s="88"/>
      <c r="Y30" s="89"/>
      <c r="Z30" s="106"/>
      <c r="AA30" s="89"/>
      <c r="AB30" s="88">
        <v>0.7</v>
      </c>
      <c r="AC30" s="89">
        <v>15</v>
      </c>
      <c r="AD30" s="88">
        <v>0.9</v>
      </c>
      <c r="AE30" s="89">
        <v>25</v>
      </c>
      <c r="AF30" s="88">
        <v>4.3</v>
      </c>
      <c r="AG30" s="89">
        <v>30</v>
      </c>
      <c r="AH30" s="88"/>
      <c r="AI30" s="89"/>
      <c r="AJ30" s="88">
        <v>0.9</v>
      </c>
      <c r="AK30" s="90">
        <v>25</v>
      </c>
      <c r="AL30" s="88">
        <v>0.7</v>
      </c>
      <c r="AM30" s="89">
        <v>25</v>
      </c>
      <c r="AN30" s="88">
        <v>0.4</v>
      </c>
      <c r="AO30" s="89">
        <v>15</v>
      </c>
      <c r="AP30" s="88">
        <v>0.99999999999999989</v>
      </c>
      <c r="AQ30" s="90">
        <v>25</v>
      </c>
      <c r="AR30" s="88">
        <v>0.1</v>
      </c>
      <c r="AS30" s="89">
        <v>5</v>
      </c>
      <c r="AT30" s="88">
        <v>1.9000000000000001</v>
      </c>
      <c r="AU30" s="90">
        <v>40</v>
      </c>
      <c r="AV30" s="88">
        <v>0.2</v>
      </c>
      <c r="AW30" s="90">
        <v>5</v>
      </c>
      <c r="AX30" s="91">
        <v>21</v>
      </c>
      <c r="AY30" s="92">
        <f t="shared" si="0"/>
        <v>12.799999999999999</v>
      </c>
      <c r="AZ30" s="93">
        <f t="shared" si="0"/>
        <v>215</v>
      </c>
      <c r="BA30" s="94">
        <f t="shared" si="1"/>
        <v>4.3</v>
      </c>
      <c r="BB30" s="95">
        <f t="shared" si="2"/>
        <v>11</v>
      </c>
      <c r="BC30" s="9"/>
      <c r="BD30" s="19">
        <f t="shared" si="4"/>
        <v>1</v>
      </c>
      <c r="BE30" s="98">
        <f t="shared" si="3"/>
        <v>23.500000000000004</v>
      </c>
      <c r="BF30" s="99"/>
      <c r="BG30" s="86">
        <f>janeiro!$BE31</f>
        <v>14.499999999999998</v>
      </c>
      <c r="BH30" s="97"/>
      <c r="BI30" s="19">
        <f t="shared" si="5"/>
        <v>0</v>
      </c>
    </row>
    <row r="31" spans="1:61" ht="21" customHeight="1">
      <c r="A31" s="71">
        <v>22</v>
      </c>
      <c r="B31" s="88"/>
      <c r="C31" s="89"/>
      <c r="D31" s="88"/>
      <c r="E31" s="89"/>
      <c r="F31" s="88">
        <v>0.1</v>
      </c>
      <c r="G31" s="89">
        <v>5</v>
      </c>
      <c r="H31" s="88">
        <v>0.2</v>
      </c>
      <c r="I31" s="89">
        <v>15</v>
      </c>
      <c r="J31" s="88">
        <v>0.4</v>
      </c>
      <c r="K31" s="89">
        <v>30</v>
      </c>
      <c r="L31" s="88">
        <v>0.2</v>
      </c>
      <c r="M31" s="89">
        <v>25</v>
      </c>
      <c r="N31" s="88">
        <v>0.8</v>
      </c>
      <c r="O31" s="89">
        <v>35</v>
      </c>
      <c r="P31" s="88">
        <v>0.1</v>
      </c>
      <c r="Q31" s="89">
        <v>10</v>
      </c>
      <c r="R31" s="88"/>
      <c r="S31" s="89"/>
      <c r="T31" s="88"/>
      <c r="U31" s="89"/>
      <c r="V31" s="88"/>
      <c r="W31" s="89"/>
      <c r="X31" s="88"/>
      <c r="Y31" s="89"/>
      <c r="Z31" s="88"/>
      <c r="AA31" s="89"/>
      <c r="AB31" s="88"/>
      <c r="AC31" s="89"/>
      <c r="AD31" s="88"/>
      <c r="AE31" s="89"/>
      <c r="AF31" s="88"/>
      <c r="AG31" s="89"/>
      <c r="AH31" s="88"/>
      <c r="AI31" s="89"/>
      <c r="AJ31" s="88">
        <v>0.3</v>
      </c>
      <c r="AK31" s="90">
        <v>5</v>
      </c>
      <c r="AL31" s="88"/>
      <c r="AM31" s="89"/>
      <c r="AN31" s="88"/>
      <c r="AO31" s="89"/>
      <c r="AP31" s="88"/>
      <c r="AQ31" s="90"/>
      <c r="AR31" s="88"/>
      <c r="AS31" s="89"/>
      <c r="AT31" s="88"/>
      <c r="AU31" s="90"/>
      <c r="AV31" s="88"/>
      <c r="AW31" s="90"/>
      <c r="AX31" s="91">
        <v>22</v>
      </c>
      <c r="AY31" s="92">
        <f t="shared" si="0"/>
        <v>2.1</v>
      </c>
      <c r="AZ31" s="93">
        <f t="shared" si="0"/>
        <v>125</v>
      </c>
      <c r="BA31" s="94">
        <f t="shared" si="1"/>
        <v>0.8</v>
      </c>
      <c r="BB31" s="95">
        <f t="shared" si="2"/>
        <v>7</v>
      </c>
      <c r="BC31" s="9"/>
      <c r="BD31" s="19">
        <f t="shared" si="4"/>
        <v>1</v>
      </c>
      <c r="BE31" s="98">
        <f t="shared" si="3"/>
        <v>14.499999999999998</v>
      </c>
      <c r="BF31" s="99"/>
      <c r="BG31" s="86">
        <f>janeiro!$BE32</f>
        <v>1.2</v>
      </c>
      <c r="BH31" s="97"/>
      <c r="BI31" s="19">
        <f t="shared" si="5"/>
        <v>0</v>
      </c>
    </row>
    <row r="32" spans="1:61" ht="21" customHeight="1">
      <c r="A32" s="71">
        <v>23</v>
      </c>
      <c r="B32" s="88">
        <v>0.1</v>
      </c>
      <c r="C32" s="89">
        <v>5</v>
      </c>
      <c r="D32" s="88">
        <v>0.1</v>
      </c>
      <c r="E32" s="89">
        <v>5</v>
      </c>
      <c r="F32" s="88"/>
      <c r="G32" s="89"/>
      <c r="H32" s="88"/>
      <c r="I32" s="89"/>
      <c r="J32" s="88"/>
      <c r="K32" s="89"/>
      <c r="L32" s="88"/>
      <c r="M32" s="89"/>
      <c r="N32" s="88">
        <v>0.6</v>
      </c>
      <c r="O32" s="89">
        <v>30</v>
      </c>
      <c r="P32" s="88">
        <v>1.3</v>
      </c>
      <c r="Q32" s="89">
        <v>60</v>
      </c>
      <c r="R32" s="88">
        <v>3.4</v>
      </c>
      <c r="S32" s="89">
        <v>30</v>
      </c>
      <c r="T32" s="88">
        <v>5</v>
      </c>
      <c r="U32" s="89">
        <v>60</v>
      </c>
      <c r="V32" s="88">
        <v>6.2000000000000011</v>
      </c>
      <c r="W32" s="89">
        <v>60</v>
      </c>
      <c r="X32" s="88">
        <v>4.6999999999999993</v>
      </c>
      <c r="Y32" s="89">
        <v>60</v>
      </c>
      <c r="Z32" s="88">
        <v>0.1</v>
      </c>
      <c r="AA32" s="89">
        <v>10</v>
      </c>
      <c r="AB32" s="88">
        <v>0.8</v>
      </c>
      <c r="AC32" s="89">
        <v>30</v>
      </c>
      <c r="AD32" s="88">
        <v>0.9</v>
      </c>
      <c r="AE32" s="89">
        <v>30</v>
      </c>
      <c r="AF32" s="88">
        <v>0.1</v>
      </c>
      <c r="AG32" s="89">
        <v>10</v>
      </c>
      <c r="AH32" s="88">
        <v>0.1</v>
      </c>
      <c r="AI32" s="89">
        <v>5</v>
      </c>
      <c r="AJ32" s="88">
        <v>0.2</v>
      </c>
      <c r="AK32" s="90">
        <v>15</v>
      </c>
      <c r="AL32" s="88">
        <v>0.2</v>
      </c>
      <c r="AM32" s="89">
        <v>15</v>
      </c>
      <c r="AN32" s="88"/>
      <c r="AO32" s="89"/>
      <c r="AP32" s="88"/>
      <c r="AQ32" s="90"/>
      <c r="AR32" s="107">
        <v>0.1</v>
      </c>
      <c r="AS32" s="89">
        <v>20</v>
      </c>
      <c r="AT32" s="88">
        <v>0.1</v>
      </c>
      <c r="AU32" s="90">
        <v>5</v>
      </c>
      <c r="AV32" s="88"/>
      <c r="AW32" s="90"/>
      <c r="AX32" s="91">
        <v>23</v>
      </c>
      <c r="AY32" s="92">
        <f t="shared" si="0"/>
        <v>24.000000000000007</v>
      </c>
      <c r="AZ32" s="93">
        <f t="shared" si="0"/>
        <v>450</v>
      </c>
      <c r="BA32" s="94">
        <f t="shared" si="1"/>
        <v>6.2000000000000011</v>
      </c>
      <c r="BB32" s="95">
        <f t="shared" si="2"/>
        <v>17</v>
      </c>
      <c r="BC32" s="9"/>
      <c r="BD32" s="19">
        <f t="shared" si="4"/>
        <v>1</v>
      </c>
      <c r="BE32" s="98">
        <f t="shared" si="3"/>
        <v>1.2</v>
      </c>
      <c r="BF32" s="99"/>
      <c r="BG32" s="86">
        <f>janeiro!$BE33</f>
        <v>23.200000000000006</v>
      </c>
      <c r="BH32" s="97"/>
      <c r="BI32" s="19">
        <f t="shared" si="5"/>
        <v>0</v>
      </c>
    </row>
    <row r="33" spans="1:62" ht="21" customHeight="1">
      <c r="A33" s="71">
        <v>24</v>
      </c>
      <c r="B33" s="88"/>
      <c r="C33" s="89"/>
      <c r="D33" s="88"/>
      <c r="E33" s="89"/>
      <c r="F33" s="88"/>
      <c r="G33" s="89"/>
      <c r="H33" s="88"/>
      <c r="I33" s="89"/>
      <c r="J33" s="88"/>
      <c r="K33" s="89"/>
      <c r="L33" s="88"/>
      <c r="M33" s="89"/>
      <c r="N33" s="88"/>
      <c r="O33" s="89"/>
      <c r="P33" s="88"/>
      <c r="Q33" s="89"/>
      <c r="R33" s="88"/>
      <c r="S33" s="89"/>
      <c r="T33" s="88"/>
      <c r="U33" s="89"/>
      <c r="V33" s="88"/>
      <c r="W33" s="89"/>
      <c r="X33" s="88"/>
      <c r="Y33" s="89"/>
      <c r="Z33" s="88"/>
      <c r="AA33" s="89"/>
      <c r="AB33" s="88"/>
      <c r="AC33" s="89"/>
      <c r="AD33" s="88"/>
      <c r="AE33" s="89"/>
      <c r="AF33" s="88"/>
      <c r="AG33" s="89"/>
      <c r="AH33" s="88"/>
      <c r="AI33" s="89"/>
      <c r="AJ33" s="88">
        <v>0.1</v>
      </c>
      <c r="AK33" s="90">
        <v>5</v>
      </c>
      <c r="AL33" s="88"/>
      <c r="AM33" s="89"/>
      <c r="AN33" s="88"/>
      <c r="AO33" s="89"/>
      <c r="AP33" s="88">
        <v>0.1</v>
      </c>
      <c r="AQ33" s="90">
        <v>10</v>
      </c>
      <c r="AR33" s="107">
        <v>0.1</v>
      </c>
      <c r="AS33" s="89">
        <v>10</v>
      </c>
      <c r="AT33" s="88">
        <v>0.1</v>
      </c>
      <c r="AU33" s="90">
        <v>5</v>
      </c>
      <c r="AV33" s="88">
        <v>0.1</v>
      </c>
      <c r="AW33" s="90">
        <v>5</v>
      </c>
      <c r="AX33" s="91">
        <v>24</v>
      </c>
      <c r="AY33" s="92">
        <f t="shared" si="0"/>
        <v>0.5</v>
      </c>
      <c r="AZ33" s="93">
        <f t="shared" si="0"/>
        <v>35</v>
      </c>
      <c r="BA33" s="94">
        <f t="shared" si="1"/>
        <v>0.1</v>
      </c>
      <c r="BB33" s="95">
        <f t="shared" si="2"/>
        <v>5</v>
      </c>
      <c r="BC33" s="9"/>
      <c r="BD33" s="19">
        <f t="shared" si="4"/>
        <v>1</v>
      </c>
      <c r="BE33" s="98">
        <f t="shared" si="3"/>
        <v>23.200000000000006</v>
      </c>
      <c r="BF33" s="99"/>
      <c r="BG33" s="86">
        <f>janeiro!$BE34</f>
        <v>0.99999999999999989</v>
      </c>
      <c r="BH33" s="97"/>
      <c r="BI33" s="19">
        <f t="shared" si="5"/>
        <v>0</v>
      </c>
    </row>
    <row r="34" spans="1:62" ht="21" customHeight="1">
      <c r="A34" s="71">
        <v>25</v>
      </c>
      <c r="B34" s="88">
        <v>0.2</v>
      </c>
      <c r="C34" s="89">
        <v>25</v>
      </c>
      <c r="D34" s="88"/>
      <c r="E34" s="89"/>
      <c r="F34" s="88">
        <v>0.1</v>
      </c>
      <c r="G34" s="89">
        <v>5</v>
      </c>
      <c r="H34" s="88">
        <v>0.1</v>
      </c>
      <c r="I34" s="89">
        <v>1</v>
      </c>
      <c r="J34" s="88"/>
      <c r="K34" s="89"/>
      <c r="L34" s="88">
        <v>0.1</v>
      </c>
      <c r="M34" s="89">
        <v>15</v>
      </c>
      <c r="N34" s="88"/>
      <c r="O34" s="89"/>
      <c r="P34" s="88"/>
      <c r="Q34" s="89"/>
      <c r="R34" s="88"/>
      <c r="S34" s="89"/>
      <c r="T34" s="88"/>
      <c r="U34" s="89"/>
      <c r="V34" s="88"/>
      <c r="W34" s="89"/>
      <c r="X34" s="88"/>
      <c r="Y34" s="89"/>
      <c r="Z34" s="88"/>
      <c r="AA34" s="89"/>
      <c r="AB34" s="88"/>
      <c r="AC34" s="89"/>
      <c r="AD34" s="88">
        <v>0.3</v>
      </c>
      <c r="AE34" s="89">
        <v>5</v>
      </c>
      <c r="AF34" s="88"/>
      <c r="AG34" s="89"/>
      <c r="AH34" s="88">
        <v>0.3</v>
      </c>
      <c r="AI34" s="89">
        <v>5</v>
      </c>
      <c r="AJ34" s="88"/>
      <c r="AK34" s="90"/>
      <c r="AL34" s="88">
        <v>0.1</v>
      </c>
      <c r="AM34" s="89">
        <v>5</v>
      </c>
      <c r="AN34" s="88"/>
      <c r="AO34" s="89"/>
      <c r="AP34" s="88"/>
      <c r="AQ34" s="90"/>
      <c r="AR34" s="107"/>
      <c r="AS34" s="89"/>
      <c r="AT34" s="88"/>
      <c r="AU34" s="90"/>
      <c r="AV34" s="88"/>
      <c r="AW34" s="90"/>
      <c r="AX34" s="91">
        <v>25</v>
      </c>
      <c r="AY34" s="92">
        <f t="shared" si="0"/>
        <v>1.2000000000000002</v>
      </c>
      <c r="AZ34" s="93">
        <f t="shared" si="0"/>
        <v>61</v>
      </c>
      <c r="BA34" s="94">
        <f t="shared" si="1"/>
        <v>0.3</v>
      </c>
      <c r="BB34" s="95">
        <f t="shared" si="2"/>
        <v>7</v>
      </c>
      <c r="BC34" s="9"/>
      <c r="BD34" s="19">
        <f t="shared" si="4"/>
        <v>1</v>
      </c>
      <c r="BE34" s="98">
        <f t="shared" si="3"/>
        <v>0.99999999999999989</v>
      </c>
      <c r="BF34" s="99"/>
      <c r="BG34" s="86">
        <f>janeiro!$BE35</f>
        <v>2.1999999999999997</v>
      </c>
      <c r="BH34" s="97"/>
      <c r="BI34" s="19">
        <f t="shared" si="5"/>
        <v>0</v>
      </c>
    </row>
    <row r="35" spans="1:62" ht="21" customHeight="1">
      <c r="A35" s="71">
        <v>26</v>
      </c>
      <c r="B35" s="88">
        <v>0.1</v>
      </c>
      <c r="C35" s="89">
        <v>5</v>
      </c>
      <c r="D35" s="88"/>
      <c r="E35" s="89"/>
      <c r="F35" s="88">
        <v>0.3</v>
      </c>
      <c r="G35" s="89">
        <v>25</v>
      </c>
      <c r="H35" s="88">
        <v>1</v>
      </c>
      <c r="I35" s="89">
        <v>60</v>
      </c>
      <c r="J35" s="88">
        <v>0.1</v>
      </c>
      <c r="K35" s="89">
        <v>5</v>
      </c>
      <c r="L35" s="88"/>
      <c r="M35" s="89"/>
      <c r="N35" s="88"/>
      <c r="O35" s="89"/>
      <c r="P35" s="88"/>
      <c r="Q35" s="89"/>
      <c r="R35" s="88"/>
      <c r="S35" s="89"/>
      <c r="T35" s="88"/>
      <c r="U35" s="89"/>
      <c r="V35" s="88"/>
      <c r="W35" s="89"/>
      <c r="X35" s="88"/>
      <c r="Y35" s="89"/>
      <c r="Z35" s="88"/>
      <c r="AA35" s="89"/>
      <c r="AB35" s="88"/>
      <c r="AC35" s="89"/>
      <c r="AD35" s="88"/>
      <c r="AE35" s="89"/>
      <c r="AF35" s="88"/>
      <c r="AG35" s="89"/>
      <c r="AH35" s="88"/>
      <c r="AI35" s="89"/>
      <c r="AJ35" s="108"/>
      <c r="AK35" s="109"/>
      <c r="AL35" s="88"/>
      <c r="AM35" s="89"/>
      <c r="AN35" s="88"/>
      <c r="AO35" s="89"/>
      <c r="AP35" s="88"/>
      <c r="AQ35" s="90"/>
      <c r="AR35" s="88">
        <v>0.1</v>
      </c>
      <c r="AS35" s="89">
        <v>5</v>
      </c>
      <c r="AT35" s="88">
        <v>0.2</v>
      </c>
      <c r="AU35" s="90">
        <v>20</v>
      </c>
      <c r="AV35" s="88">
        <v>0.3</v>
      </c>
      <c r="AW35" s="90">
        <v>40</v>
      </c>
      <c r="AX35" s="91">
        <v>26</v>
      </c>
      <c r="AY35" s="92">
        <f t="shared" si="0"/>
        <v>2.1</v>
      </c>
      <c r="AZ35" s="93">
        <f t="shared" si="0"/>
        <v>160</v>
      </c>
      <c r="BA35" s="94">
        <f t="shared" si="1"/>
        <v>1</v>
      </c>
      <c r="BB35" s="95">
        <f t="shared" si="2"/>
        <v>7</v>
      </c>
      <c r="BC35" s="9"/>
      <c r="BD35" s="19">
        <f t="shared" si="4"/>
        <v>1</v>
      </c>
      <c r="BE35" s="98">
        <f t="shared" si="3"/>
        <v>2.1999999999999997</v>
      </c>
      <c r="BF35" s="99"/>
      <c r="BG35" s="86">
        <f>janeiro!$BE36</f>
        <v>1</v>
      </c>
      <c r="BH35" s="97"/>
      <c r="BI35" s="19">
        <f t="shared" si="5"/>
        <v>0</v>
      </c>
    </row>
    <row r="36" spans="1:62" ht="21" customHeight="1">
      <c r="A36" s="71">
        <v>27</v>
      </c>
      <c r="B36" s="88"/>
      <c r="C36" s="89"/>
      <c r="D36" s="88">
        <v>0.1</v>
      </c>
      <c r="E36" s="89">
        <v>5</v>
      </c>
      <c r="F36" s="88">
        <v>0.1</v>
      </c>
      <c r="G36" s="89">
        <v>15</v>
      </c>
      <c r="H36" s="88">
        <v>0.1</v>
      </c>
      <c r="I36" s="89">
        <v>5</v>
      </c>
      <c r="J36" s="88"/>
      <c r="K36" s="89"/>
      <c r="L36" s="88">
        <v>0.1</v>
      </c>
      <c r="M36" s="89">
        <v>5</v>
      </c>
      <c r="N36" s="88"/>
      <c r="O36" s="89"/>
      <c r="P36" s="88"/>
      <c r="Q36" s="89"/>
      <c r="R36" s="88"/>
      <c r="S36" s="89"/>
      <c r="T36" s="88"/>
      <c r="U36" s="89"/>
      <c r="V36" s="88"/>
      <c r="W36" s="89"/>
      <c r="X36" s="88"/>
      <c r="Y36" s="89"/>
      <c r="Z36" s="88"/>
      <c r="AA36" s="89"/>
      <c r="AB36" s="88"/>
      <c r="AC36" s="89"/>
      <c r="AD36" s="88"/>
      <c r="AE36" s="89"/>
      <c r="AF36" s="88">
        <v>1.3</v>
      </c>
      <c r="AG36" s="89">
        <v>20</v>
      </c>
      <c r="AH36" s="88">
        <v>16.299999999999997</v>
      </c>
      <c r="AI36" s="89">
        <v>25</v>
      </c>
      <c r="AJ36" s="88"/>
      <c r="AK36" s="90"/>
      <c r="AL36" s="88"/>
      <c r="AM36" s="89"/>
      <c r="AN36" s="88"/>
      <c r="AO36" s="89"/>
      <c r="AP36" s="88"/>
      <c r="AQ36" s="90"/>
      <c r="AR36" s="88"/>
      <c r="AS36" s="89"/>
      <c r="AT36" s="88"/>
      <c r="AU36" s="90"/>
      <c r="AV36" s="88"/>
      <c r="AW36" s="90"/>
      <c r="AX36" s="91">
        <v>27</v>
      </c>
      <c r="AY36" s="92">
        <f t="shared" si="0"/>
        <v>17.999999999999996</v>
      </c>
      <c r="AZ36" s="93">
        <f t="shared" si="0"/>
        <v>75</v>
      </c>
      <c r="BA36" s="94">
        <f t="shared" si="1"/>
        <v>16.299999999999997</v>
      </c>
      <c r="BB36" s="95">
        <f t="shared" si="2"/>
        <v>6</v>
      </c>
      <c r="BC36" s="9"/>
      <c r="BD36" s="19">
        <f t="shared" si="4"/>
        <v>1</v>
      </c>
      <c r="BE36" s="98">
        <f t="shared" si="3"/>
        <v>1</v>
      </c>
      <c r="BF36" s="99"/>
      <c r="BG36" s="86">
        <f>janeiro!$BE37</f>
        <v>17.599999999999998</v>
      </c>
      <c r="BH36" s="97"/>
      <c r="BI36" s="19">
        <f t="shared" si="5"/>
        <v>0</v>
      </c>
    </row>
    <row r="37" spans="1:62" ht="21" customHeight="1">
      <c r="A37" s="71">
        <v>28</v>
      </c>
      <c r="B37" s="88"/>
      <c r="C37" s="89"/>
      <c r="D37" s="88"/>
      <c r="E37" s="89"/>
      <c r="F37" s="88"/>
      <c r="G37" s="89"/>
      <c r="H37" s="88"/>
      <c r="I37" s="89"/>
      <c r="J37" s="88"/>
      <c r="K37" s="89"/>
      <c r="L37" s="88"/>
      <c r="M37" s="89"/>
      <c r="N37" s="88"/>
      <c r="O37" s="89"/>
      <c r="P37" s="88"/>
      <c r="Q37" s="89"/>
      <c r="R37" s="88"/>
      <c r="S37" s="89"/>
      <c r="T37" s="88"/>
      <c r="U37" s="89"/>
      <c r="V37" s="88">
        <v>24.6</v>
      </c>
      <c r="W37" s="89">
        <v>25</v>
      </c>
      <c r="X37" s="88">
        <v>5.8</v>
      </c>
      <c r="Y37" s="89">
        <v>55</v>
      </c>
      <c r="Z37" s="88"/>
      <c r="AA37" s="89"/>
      <c r="AB37" s="88"/>
      <c r="AC37" s="89"/>
      <c r="AD37" s="88"/>
      <c r="AE37" s="89"/>
      <c r="AF37" s="88"/>
      <c r="AG37" s="89"/>
      <c r="AH37" s="88"/>
      <c r="AI37" s="89"/>
      <c r="AJ37" s="88"/>
      <c r="AK37" s="90"/>
      <c r="AL37" s="88"/>
      <c r="AM37" s="89"/>
      <c r="AN37" s="88"/>
      <c r="AO37" s="89"/>
      <c r="AP37" s="88"/>
      <c r="AQ37" s="90"/>
      <c r="AR37" s="88"/>
      <c r="AS37" s="89"/>
      <c r="AT37" s="88"/>
      <c r="AU37" s="90"/>
      <c r="AV37" s="88"/>
      <c r="AW37" s="90"/>
      <c r="AX37" s="91">
        <v>28</v>
      </c>
      <c r="AY37" s="92">
        <f t="shared" si="0"/>
        <v>30.400000000000002</v>
      </c>
      <c r="AZ37" s="93">
        <f t="shared" si="0"/>
        <v>80</v>
      </c>
      <c r="BA37" s="94">
        <f t="shared" si="1"/>
        <v>24.6</v>
      </c>
      <c r="BB37" s="95">
        <f t="shared" si="2"/>
        <v>2</v>
      </c>
      <c r="BC37" s="9"/>
      <c r="BD37" s="19">
        <f t="shared" si="4"/>
        <v>1</v>
      </c>
      <c r="BE37" s="98">
        <f t="shared" si="3"/>
        <v>17.599999999999998</v>
      </c>
      <c r="BF37" s="99"/>
      <c r="BG37" s="86">
        <f>janeiro!$BE38</f>
        <v>30.400000000000002</v>
      </c>
      <c r="BH37" s="97"/>
      <c r="BI37" s="19">
        <f t="shared" si="5"/>
        <v>0</v>
      </c>
    </row>
    <row r="38" spans="1:62" ht="21" customHeight="1">
      <c r="A38" s="71">
        <v>29</v>
      </c>
      <c r="B38" s="88"/>
      <c r="C38" s="89"/>
      <c r="D38" s="88"/>
      <c r="E38" s="89"/>
      <c r="F38" s="88"/>
      <c r="G38" s="89"/>
      <c r="H38" s="88"/>
      <c r="I38" s="89"/>
      <c r="J38" s="88"/>
      <c r="K38" s="89"/>
      <c r="L38" s="88"/>
      <c r="M38" s="89"/>
      <c r="N38" s="88"/>
      <c r="O38" s="89"/>
      <c r="P38" s="88"/>
      <c r="Q38" s="89"/>
      <c r="R38" s="88"/>
      <c r="S38" s="89"/>
      <c r="T38" s="88"/>
      <c r="U38" s="89"/>
      <c r="V38" s="88"/>
      <c r="W38" s="89"/>
      <c r="X38" s="88"/>
      <c r="Y38" s="89"/>
      <c r="Z38" s="88"/>
      <c r="AA38" s="89"/>
      <c r="AB38" s="88"/>
      <c r="AC38" s="89"/>
      <c r="AD38" s="88"/>
      <c r="AE38" s="89"/>
      <c r="AF38" s="88"/>
      <c r="AG38" s="89"/>
      <c r="AH38" s="88"/>
      <c r="AI38" s="89"/>
      <c r="AJ38" s="88"/>
      <c r="AK38" s="90"/>
      <c r="AL38" s="88"/>
      <c r="AM38" s="89"/>
      <c r="AN38" s="88"/>
      <c r="AO38" s="89"/>
      <c r="AP38" s="88"/>
      <c r="AQ38" s="90"/>
      <c r="AR38" s="88"/>
      <c r="AS38" s="89"/>
      <c r="AT38" s="88"/>
      <c r="AU38" s="110"/>
      <c r="AV38" s="88"/>
      <c r="AW38" s="90"/>
      <c r="AX38" s="111">
        <v>29</v>
      </c>
      <c r="AY38" s="92">
        <f t="shared" si="0"/>
        <v>0</v>
      </c>
      <c r="AZ38" s="93">
        <f t="shared" si="0"/>
        <v>0</v>
      </c>
      <c r="BA38" s="94">
        <f t="shared" si="1"/>
        <v>0</v>
      </c>
      <c r="BB38" s="95">
        <f t="shared" si="2"/>
        <v>0</v>
      </c>
      <c r="BC38" s="9"/>
      <c r="BD38" s="19">
        <f t="shared" si="4"/>
        <v>0</v>
      </c>
      <c r="BE38" s="98">
        <f t="shared" si="3"/>
        <v>30.400000000000002</v>
      </c>
      <c r="BF38" s="99"/>
      <c r="BG38" s="86">
        <f>janeiro!$BE39</f>
        <v>0</v>
      </c>
      <c r="BH38" s="97"/>
      <c r="BI38" s="19">
        <f t="shared" si="5"/>
        <v>0</v>
      </c>
    </row>
    <row r="39" spans="1:62" ht="21" customHeight="1" thickBot="1">
      <c r="A39" s="71">
        <v>30</v>
      </c>
      <c r="B39" s="107"/>
      <c r="C39" s="89"/>
      <c r="D39" s="88"/>
      <c r="E39" s="89"/>
      <c r="F39" s="88"/>
      <c r="G39" s="89"/>
      <c r="H39" s="88"/>
      <c r="I39" s="89"/>
      <c r="J39" s="88"/>
      <c r="K39" s="89"/>
      <c r="L39" s="88"/>
      <c r="M39" s="89"/>
      <c r="N39" s="88"/>
      <c r="O39" s="89"/>
      <c r="P39" s="88"/>
      <c r="Q39" s="89"/>
      <c r="R39" s="88"/>
      <c r="S39" s="89"/>
      <c r="T39" s="88"/>
      <c r="U39" s="89"/>
      <c r="V39" s="88"/>
      <c r="W39" s="89"/>
      <c r="X39" s="88"/>
      <c r="Y39" s="89"/>
      <c r="Z39" s="88"/>
      <c r="AA39" s="89"/>
      <c r="AB39" s="88"/>
      <c r="AC39" s="89"/>
      <c r="AD39" s="88"/>
      <c r="AE39" s="89"/>
      <c r="AF39" s="88"/>
      <c r="AG39" s="89"/>
      <c r="AH39" s="88"/>
      <c r="AI39" s="89"/>
      <c r="AJ39" s="88"/>
      <c r="AK39" s="90"/>
      <c r="AL39" s="88"/>
      <c r="AM39" s="89"/>
      <c r="AN39" s="88"/>
      <c r="AO39" s="89"/>
      <c r="AP39" s="88"/>
      <c r="AQ39" s="90"/>
      <c r="AR39" s="112"/>
      <c r="AS39" s="113"/>
      <c r="AT39" s="88"/>
      <c r="AU39" s="90"/>
      <c r="AV39" s="88"/>
      <c r="AW39" s="90"/>
      <c r="AX39" s="111">
        <v>30</v>
      </c>
      <c r="AY39" s="92">
        <f t="shared" si="0"/>
        <v>0</v>
      </c>
      <c r="AZ39" s="93">
        <f t="shared" si="0"/>
        <v>0</v>
      </c>
      <c r="BA39" s="94">
        <f t="shared" si="1"/>
        <v>0</v>
      </c>
      <c r="BB39" s="95">
        <f t="shared" si="2"/>
        <v>0</v>
      </c>
      <c r="BC39" s="9"/>
      <c r="BD39" s="19">
        <f t="shared" si="4"/>
        <v>0</v>
      </c>
      <c r="BE39" s="98">
        <f t="shared" si="3"/>
        <v>0</v>
      </c>
      <c r="BF39" s="99"/>
      <c r="BG39" s="86">
        <f>janeiro!$BE40</f>
        <v>0</v>
      </c>
      <c r="BH39" s="97"/>
      <c r="BI39" s="19">
        <f t="shared" si="5"/>
        <v>0</v>
      </c>
    </row>
    <row r="40" spans="1:62" ht="21" customHeight="1" thickBot="1">
      <c r="A40" s="114">
        <v>31</v>
      </c>
      <c r="B40" s="115"/>
      <c r="C40" s="116"/>
      <c r="D40" s="117"/>
      <c r="E40" s="116"/>
      <c r="F40" s="117"/>
      <c r="G40" s="116"/>
      <c r="H40" s="117"/>
      <c r="I40" s="116"/>
      <c r="J40" s="117"/>
      <c r="K40" s="116"/>
      <c r="L40" s="117"/>
      <c r="M40" s="116"/>
      <c r="N40" s="117"/>
      <c r="O40" s="116"/>
      <c r="P40" s="118"/>
      <c r="Q40" s="116"/>
      <c r="R40" s="117"/>
      <c r="S40" s="116"/>
      <c r="T40" s="117"/>
      <c r="U40" s="116"/>
      <c r="V40" s="117"/>
      <c r="W40" s="116"/>
      <c r="X40" s="117"/>
      <c r="Y40" s="116"/>
      <c r="Z40" s="117"/>
      <c r="AA40" s="116"/>
      <c r="AB40" s="117"/>
      <c r="AC40" s="116"/>
      <c r="AD40" s="117">
        <v>16.5</v>
      </c>
      <c r="AE40" s="116">
        <v>15</v>
      </c>
      <c r="AF40" s="117">
        <v>20.3</v>
      </c>
      <c r="AG40" s="116">
        <v>40</v>
      </c>
      <c r="AH40" s="117">
        <v>0.2</v>
      </c>
      <c r="AI40" s="116">
        <v>15</v>
      </c>
      <c r="AJ40" s="117">
        <v>0.99999999999999989</v>
      </c>
      <c r="AK40" s="119">
        <v>60</v>
      </c>
      <c r="AL40" s="120">
        <v>0.2</v>
      </c>
      <c r="AM40" s="116">
        <v>15</v>
      </c>
      <c r="AN40" s="117">
        <v>1.8000000000000003</v>
      </c>
      <c r="AO40" s="116">
        <v>60</v>
      </c>
      <c r="AP40" s="117">
        <v>0.7</v>
      </c>
      <c r="AQ40" s="121">
        <v>30</v>
      </c>
      <c r="AR40" s="117"/>
      <c r="AS40" s="116"/>
      <c r="AT40" s="117"/>
      <c r="AU40" s="121"/>
      <c r="AV40" s="122"/>
      <c r="AW40" s="121"/>
      <c r="AX40" s="123">
        <v>31</v>
      </c>
      <c r="AY40" s="92">
        <f t="shared" si="0"/>
        <v>40.700000000000003</v>
      </c>
      <c r="AZ40" s="93">
        <f t="shared" si="0"/>
        <v>235</v>
      </c>
      <c r="BA40" s="94">
        <f t="shared" si="1"/>
        <v>20.3</v>
      </c>
      <c r="BB40" s="95">
        <f t="shared" si="2"/>
        <v>7</v>
      </c>
      <c r="BC40" s="9"/>
      <c r="BD40" s="19">
        <f t="shared" si="4"/>
        <v>1</v>
      </c>
      <c r="BE40" s="98">
        <f t="shared" si="3"/>
        <v>0</v>
      </c>
      <c r="BF40" s="99"/>
      <c r="BG40" s="124">
        <f>janeiro!$BH41</f>
        <v>40.700000000000003</v>
      </c>
      <c r="BH40" s="125">
        <v>39114</v>
      </c>
      <c r="BI40" s="19">
        <f t="shared" si="5"/>
        <v>1</v>
      </c>
    </row>
    <row r="41" spans="1:62" ht="21" customHeight="1" thickBot="1">
      <c r="A41" s="126">
        <v>1</v>
      </c>
      <c r="B41" s="127">
        <v>0</v>
      </c>
      <c r="C41" s="128"/>
      <c r="D41" s="127">
        <v>0</v>
      </c>
      <c r="E41" s="128"/>
      <c r="F41" s="127">
        <v>0</v>
      </c>
      <c r="G41" s="128"/>
      <c r="H41" s="127">
        <v>0</v>
      </c>
      <c r="I41" s="128"/>
      <c r="J41" s="127">
        <v>0</v>
      </c>
      <c r="K41" s="128"/>
      <c r="L41" s="127">
        <v>0</v>
      </c>
      <c r="M41" s="128"/>
      <c r="N41" s="129">
        <v>0</v>
      </c>
      <c r="O41" s="130"/>
      <c r="P41" s="131"/>
      <c r="Q41" s="32"/>
      <c r="R41" s="31"/>
      <c r="S41" s="32"/>
      <c r="T41" s="31"/>
      <c r="U41" s="32"/>
      <c r="V41" s="31"/>
      <c r="W41" s="32"/>
      <c r="X41" s="31"/>
      <c r="Y41" s="32"/>
      <c r="Z41" s="31"/>
      <c r="AA41" s="32"/>
      <c r="AB41" s="31"/>
      <c r="AC41" s="32"/>
      <c r="AD41" s="31"/>
      <c r="AE41" s="32"/>
      <c r="AF41" s="31"/>
      <c r="AG41" s="32"/>
      <c r="AH41" s="31"/>
      <c r="AI41" s="32"/>
      <c r="AJ41" s="31"/>
      <c r="AK41" s="32"/>
      <c r="AL41" s="31"/>
      <c r="AM41" s="32"/>
      <c r="AN41" s="31"/>
      <c r="AO41" s="32"/>
      <c r="AP41" s="31"/>
      <c r="AQ41" s="32"/>
      <c r="AR41" s="31"/>
      <c r="AS41" s="32"/>
      <c r="AT41" s="31"/>
      <c r="AU41" s="32"/>
      <c r="AV41" s="31"/>
      <c r="AW41" s="32"/>
      <c r="AX41" s="132"/>
      <c r="AY41" s="133" t="s">
        <v>53</v>
      </c>
      <c r="AZ41" s="134"/>
      <c r="BA41" s="135"/>
      <c r="BB41" s="136"/>
      <c r="BC41" s="9"/>
      <c r="BD41" s="137" t="s">
        <v>54</v>
      </c>
      <c r="BE41" s="138">
        <f>SUM(BE10:BE40)</f>
        <v>358.7</v>
      </c>
      <c r="BF41" s="134"/>
      <c r="BG41" s="139"/>
      <c r="BH41" s="140">
        <f>P40+R40+T40+V40+X40+Z40+AB40+AD40+AF40+AH40+AJ40+AL40+AN40+AP40+AR40+AT40+AV40+B41+D41+F41+H41+J41+L41+N41</f>
        <v>40.700000000000003</v>
      </c>
      <c r="BI41" s="9"/>
      <c r="BJ41" s="141"/>
    </row>
    <row r="42" spans="1:62" ht="21" customHeight="1" thickBot="1">
      <c r="A42" s="142"/>
      <c r="B42" s="143" t="s">
        <v>19</v>
      </c>
      <c r="C42" s="143"/>
      <c r="D42" s="144" t="s">
        <v>20</v>
      </c>
      <c r="E42" s="144"/>
      <c r="F42" s="143" t="s">
        <v>21</v>
      </c>
      <c r="G42" s="143"/>
      <c r="H42" s="143" t="s">
        <v>22</v>
      </c>
      <c r="I42" s="143"/>
      <c r="J42" s="145" t="s">
        <v>23</v>
      </c>
      <c r="K42" s="145"/>
      <c r="L42" s="143" t="s">
        <v>24</v>
      </c>
      <c r="M42" s="143"/>
      <c r="N42" s="143" t="s">
        <v>25</v>
      </c>
      <c r="O42" s="143"/>
      <c r="P42" s="37" t="s">
        <v>26</v>
      </c>
      <c r="Q42" s="37"/>
      <c r="R42" s="37" t="s">
        <v>27</v>
      </c>
      <c r="S42" s="37"/>
      <c r="T42" s="37" t="s">
        <v>28</v>
      </c>
      <c r="U42" s="37"/>
      <c r="V42" s="37" t="s">
        <v>29</v>
      </c>
      <c r="W42" s="37"/>
      <c r="X42" s="37" t="s">
        <v>30</v>
      </c>
      <c r="Y42" s="37"/>
      <c r="Z42" s="40" t="s">
        <v>31</v>
      </c>
      <c r="AA42" s="40"/>
      <c r="AB42" s="37" t="s">
        <v>32</v>
      </c>
      <c r="AC42" s="37"/>
      <c r="AD42" s="37" t="s">
        <v>33</v>
      </c>
      <c r="AE42" s="37"/>
      <c r="AF42" s="37" t="s">
        <v>34</v>
      </c>
      <c r="AG42" s="37"/>
      <c r="AH42" s="37" t="s">
        <v>35</v>
      </c>
      <c r="AI42" s="37"/>
      <c r="AJ42" s="37" t="s">
        <v>36</v>
      </c>
      <c r="AK42" s="37"/>
      <c r="AL42" s="37" t="s">
        <v>37</v>
      </c>
      <c r="AM42" s="37"/>
      <c r="AN42" s="37" t="s">
        <v>38</v>
      </c>
      <c r="AO42" s="37"/>
      <c r="AP42" s="37" t="s">
        <v>39</v>
      </c>
      <c r="AQ42" s="37"/>
      <c r="AR42" s="37" t="s">
        <v>40</v>
      </c>
      <c r="AS42" s="37"/>
      <c r="AT42" s="37" t="s">
        <v>41</v>
      </c>
      <c r="AU42" s="37"/>
      <c r="AV42" s="37" t="s">
        <v>42</v>
      </c>
      <c r="AW42" s="37"/>
      <c r="AX42" s="146"/>
      <c r="AY42" s="33" t="s">
        <v>15</v>
      </c>
      <c r="AZ42" s="33" t="s">
        <v>16</v>
      </c>
      <c r="BA42" s="34" t="s">
        <v>17</v>
      </c>
      <c r="BB42" s="34" t="s">
        <v>55</v>
      </c>
      <c r="BC42" s="9"/>
      <c r="BD42" s="137" t="s">
        <v>56</v>
      </c>
      <c r="BE42" s="147">
        <f>MAX(BE10:BE40)</f>
        <v>80.400000000000006</v>
      </c>
      <c r="BF42" s="148"/>
      <c r="BG42" s="148"/>
      <c r="BH42" s="148"/>
      <c r="BI42" s="9"/>
      <c r="BJ42" s="141"/>
    </row>
    <row r="43" spans="1:62" ht="21" customHeight="1" thickBot="1">
      <c r="A43" s="142"/>
      <c r="B43" s="149" t="s">
        <v>47</v>
      </c>
      <c r="C43" s="150" t="s">
        <v>48</v>
      </c>
      <c r="D43" s="50" t="s">
        <v>47</v>
      </c>
      <c r="E43" s="151" t="s">
        <v>48</v>
      </c>
      <c r="F43" s="50" t="s">
        <v>47</v>
      </c>
      <c r="G43" s="152" t="s">
        <v>48</v>
      </c>
      <c r="H43" s="50" t="s">
        <v>47</v>
      </c>
      <c r="I43" s="152" t="s">
        <v>48</v>
      </c>
      <c r="J43" s="50" t="s">
        <v>47</v>
      </c>
      <c r="K43" s="152" t="s">
        <v>48</v>
      </c>
      <c r="L43" s="50" t="s">
        <v>47</v>
      </c>
      <c r="M43" s="152" t="s">
        <v>48</v>
      </c>
      <c r="N43" s="50" t="s">
        <v>47</v>
      </c>
      <c r="O43" s="152" t="s">
        <v>48</v>
      </c>
      <c r="P43" s="50" t="s">
        <v>47</v>
      </c>
      <c r="Q43" s="152" t="s">
        <v>48</v>
      </c>
      <c r="R43" s="50" t="s">
        <v>47</v>
      </c>
      <c r="S43" s="152" t="s">
        <v>48</v>
      </c>
      <c r="T43" s="50" t="s">
        <v>47</v>
      </c>
      <c r="U43" s="152" t="s">
        <v>48</v>
      </c>
      <c r="V43" s="50" t="s">
        <v>47</v>
      </c>
      <c r="W43" s="152" t="s">
        <v>48</v>
      </c>
      <c r="X43" s="50" t="s">
        <v>47</v>
      </c>
      <c r="Y43" s="152" t="s">
        <v>48</v>
      </c>
      <c r="Z43" s="50" t="s">
        <v>47</v>
      </c>
      <c r="AA43" s="152" t="s">
        <v>48</v>
      </c>
      <c r="AB43" s="50" t="s">
        <v>47</v>
      </c>
      <c r="AC43" s="152" t="s">
        <v>48</v>
      </c>
      <c r="AD43" s="50" t="s">
        <v>47</v>
      </c>
      <c r="AE43" s="152" t="s">
        <v>48</v>
      </c>
      <c r="AF43" s="50" t="s">
        <v>47</v>
      </c>
      <c r="AG43" s="152" t="s">
        <v>48</v>
      </c>
      <c r="AH43" s="50" t="s">
        <v>47</v>
      </c>
      <c r="AI43" s="152" t="s">
        <v>48</v>
      </c>
      <c r="AJ43" s="50" t="s">
        <v>47</v>
      </c>
      <c r="AK43" s="51" t="s">
        <v>48</v>
      </c>
      <c r="AL43" s="50" t="s">
        <v>47</v>
      </c>
      <c r="AM43" s="152" t="s">
        <v>48</v>
      </c>
      <c r="AN43" s="50" t="s">
        <v>47</v>
      </c>
      <c r="AO43" s="152" t="s">
        <v>48</v>
      </c>
      <c r="AP43" s="50" t="s">
        <v>47</v>
      </c>
      <c r="AQ43" s="51" t="s">
        <v>48</v>
      </c>
      <c r="AR43" s="50" t="s">
        <v>47</v>
      </c>
      <c r="AS43" s="152" t="s">
        <v>48</v>
      </c>
      <c r="AT43" s="50" t="s">
        <v>47</v>
      </c>
      <c r="AU43" s="51" t="s">
        <v>48</v>
      </c>
      <c r="AV43" s="50" t="s">
        <v>47</v>
      </c>
      <c r="AW43" s="51" t="s">
        <v>48</v>
      </c>
      <c r="AX43" s="146"/>
      <c r="AY43" s="35" t="s">
        <v>57</v>
      </c>
      <c r="AZ43" s="35" t="s">
        <v>43</v>
      </c>
      <c r="BA43" s="35" t="s">
        <v>44</v>
      </c>
      <c r="BB43" s="35" t="s">
        <v>58</v>
      </c>
      <c r="BC43" s="9"/>
      <c r="BD43" s="137" t="s">
        <v>59</v>
      </c>
      <c r="BE43" s="70">
        <f>COUNTIF(BE10:BE40,"&gt;=1")</f>
        <v>19</v>
      </c>
      <c r="BF43" s="153"/>
      <c r="BG43" s="153"/>
      <c r="BH43" s="153"/>
      <c r="BI43" s="9"/>
      <c r="BJ43" s="141"/>
    </row>
    <row r="44" spans="1:62" ht="21" customHeight="1" thickBot="1">
      <c r="A44" s="153" t="s">
        <v>60</v>
      </c>
      <c r="B44" s="154">
        <f>SUM(B10:B40)</f>
        <v>8.1</v>
      </c>
      <c r="C44" s="154"/>
      <c r="D44" s="154">
        <f>SUM(D10:D40)</f>
        <v>7.7</v>
      </c>
      <c r="E44" s="154"/>
      <c r="F44" s="154">
        <f>SUM(F10:F40)</f>
        <v>4.4999999999999991</v>
      </c>
      <c r="G44" s="154"/>
      <c r="H44" s="154">
        <f>SUM(H10:H40)</f>
        <v>6.6</v>
      </c>
      <c r="I44" s="154"/>
      <c r="J44" s="154">
        <f>SUM(J10:J40)</f>
        <v>1.8000000000000003</v>
      </c>
      <c r="K44" s="154"/>
      <c r="L44" s="154">
        <f>SUM(L10:L40)</f>
        <v>0.5</v>
      </c>
      <c r="M44" s="154"/>
      <c r="N44" s="154">
        <f>SUM(N10:N40)</f>
        <v>1.4</v>
      </c>
      <c r="O44" s="154"/>
      <c r="P44" s="154">
        <f>SUM(P10:P40)</f>
        <v>1.4000000000000001</v>
      </c>
      <c r="Q44" s="154"/>
      <c r="R44" s="154">
        <f>SUM(R10:R40)</f>
        <v>3.8</v>
      </c>
      <c r="S44" s="154"/>
      <c r="T44" s="154">
        <f>SUM(T10:T40)</f>
        <v>5.2</v>
      </c>
      <c r="U44" s="154"/>
      <c r="V44" s="154">
        <f>SUM(V10:V40)</f>
        <v>32.5</v>
      </c>
      <c r="W44" s="154"/>
      <c r="X44" s="154">
        <f>SUM(X10:X40)</f>
        <v>11.2</v>
      </c>
      <c r="Y44" s="154"/>
      <c r="Z44" s="154">
        <f>SUM(Z10:Z40)</f>
        <v>0.2</v>
      </c>
      <c r="AA44" s="154"/>
      <c r="AB44" s="154">
        <f>SUM(AB10:AB40)</f>
        <v>2.8</v>
      </c>
      <c r="AC44" s="154"/>
      <c r="AD44" s="154">
        <f>SUM(AD10:AD40)</f>
        <v>38.5</v>
      </c>
      <c r="AE44" s="154"/>
      <c r="AF44" s="154">
        <f>SUM(AF10:AF40)</f>
        <v>37.4</v>
      </c>
      <c r="AG44" s="154"/>
      <c r="AH44" s="154">
        <f>SUM(AH10:AH40)</f>
        <v>18.699999999999996</v>
      </c>
      <c r="AI44" s="154"/>
      <c r="AJ44" s="154">
        <f>SUM(AJ10:AJ40)</f>
        <v>44.8</v>
      </c>
      <c r="AK44" s="154"/>
      <c r="AL44" s="154">
        <f>SUM(AL10:AL40)</f>
        <v>53.800000000000011</v>
      </c>
      <c r="AM44" s="154"/>
      <c r="AN44" s="154">
        <f>SUM(AN10:AN40)</f>
        <v>24.8</v>
      </c>
      <c r="AO44" s="154"/>
      <c r="AP44" s="154">
        <f>SUM(AP10:AP40)</f>
        <v>56.600000000000009</v>
      </c>
      <c r="AQ44" s="154"/>
      <c r="AR44" s="154">
        <f>SUM(AR10:AR40)</f>
        <v>13.899999999999999</v>
      </c>
      <c r="AS44" s="154"/>
      <c r="AT44" s="154">
        <f>SUM(AT10:AT40)</f>
        <v>15.299999999999999</v>
      </c>
      <c r="AU44" s="154"/>
      <c r="AV44" s="154">
        <f>SUM(AV10:AV40)</f>
        <v>7.8999999999999995</v>
      </c>
      <c r="AW44" s="154"/>
      <c r="AX44" s="146"/>
      <c r="AY44" s="53" t="s">
        <v>49</v>
      </c>
      <c r="AZ44" s="53" t="s">
        <v>50</v>
      </c>
      <c r="BA44" s="54" t="s">
        <v>51</v>
      </c>
      <c r="BB44" s="54" t="s">
        <v>61</v>
      </c>
      <c r="BC44" s="9"/>
      <c r="BD44" s="19"/>
      <c r="BE44" s="153"/>
      <c r="BF44" s="153"/>
      <c r="BG44" s="153"/>
      <c r="BH44" s="153"/>
      <c r="BI44" s="9"/>
      <c r="BJ44" s="141"/>
    </row>
    <row r="45" spans="1:62" s="161" customFormat="1" ht="21" customHeight="1" thickBot="1">
      <c r="A45" s="153" t="s">
        <v>62</v>
      </c>
      <c r="B45" s="155"/>
      <c r="C45" s="155">
        <f>SUM(C10:C40)</f>
        <v>185</v>
      </c>
      <c r="D45" s="155"/>
      <c r="E45" s="155">
        <f>SUM(E10:E40)</f>
        <v>180</v>
      </c>
      <c r="F45" s="155"/>
      <c r="G45" s="155">
        <f>SUM(G10:G40)</f>
        <v>170</v>
      </c>
      <c r="H45" s="155"/>
      <c r="I45" s="155">
        <f>SUM(I10:I40)</f>
        <v>196</v>
      </c>
      <c r="J45" s="155"/>
      <c r="K45" s="155">
        <f>SUM(K10:K40)</f>
        <v>95</v>
      </c>
      <c r="L45" s="155"/>
      <c r="M45" s="155">
        <f>SUM(M10:M40)</f>
        <v>50</v>
      </c>
      <c r="N45" s="155"/>
      <c r="O45" s="155">
        <f>SUM(O10:O40)</f>
        <v>65</v>
      </c>
      <c r="P45" s="155"/>
      <c r="Q45" s="155">
        <f>SUM(Q10:Q40)</f>
        <v>70</v>
      </c>
      <c r="R45" s="155"/>
      <c r="S45" s="155">
        <f>SUM(S10:S40)</f>
        <v>55</v>
      </c>
      <c r="T45" s="155"/>
      <c r="U45" s="155">
        <f>SUM(U10:U40)</f>
        <v>65</v>
      </c>
      <c r="V45" s="155"/>
      <c r="W45" s="155">
        <f>SUM(W10:W40)</f>
        <v>90</v>
      </c>
      <c r="X45" s="155"/>
      <c r="Y45" s="155">
        <f>SUM(Y10:Y40)</f>
        <v>125</v>
      </c>
      <c r="Z45" s="155"/>
      <c r="AA45" s="155">
        <f>SUM(AA10:AA40)</f>
        <v>15</v>
      </c>
      <c r="AB45" s="155"/>
      <c r="AC45" s="155">
        <f>SUM(AC10:AC40)</f>
        <v>60</v>
      </c>
      <c r="AD45" s="155"/>
      <c r="AE45" s="155">
        <f>SUM(AE10:AE40)</f>
        <v>120</v>
      </c>
      <c r="AF45" s="155"/>
      <c r="AG45" s="155">
        <f>SUM(AG10:AG40)</f>
        <v>160</v>
      </c>
      <c r="AH45" s="155"/>
      <c r="AI45" s="155">
        <f>SUM(AI10:AI40)</f>
        <v>100</v>
      </c>
      <c r="AJ45" s="155"/>
      <c r="AK45" s="155">
        <f>SUM(AK10:AK40)</f>
        <v>300</v>
      </c>
      <c r="AL45" s="155"/>
      <c r="AM45" s="155">
        <f>SUM(AM10:AM40)</f>
        <v>310</v>
      </c>
      <c r="AN45" s="155"/>
      <c r="AO45" s="155">
        <f>SUM(AO10:AO40)</f>
        <v>285</v>
      </c>
      <c r="AP45" s="155"/>
      <c r="AQ45" s="155">
        <f>SUM(AQ10:AQ40)</f>
        <v>330</v>
      </c>
      <c r="AR45" s="155"/>
      <c r="AS45" s="155">
        <f>SUM(AS10:AS40)</f>
        <v>210</v>
      </c>
      <c r="AT45" s="155"/>
      <c r="AU45" s="155">
        <f>SUM(AU10:AU40)</f>
        <v>230</v>
      </c>
      <c r="AV45" s="155"/>
      <c r="AW45" s="155">
        <f>SUM(AW10:AW40)</f>
        <v>170</v>
      </c>
      <c r="AX45" s="156"/>
      <c r="AY45" s="157">
        <f>AY10+AY11+AY12+AY13+AY14+AY15+AY16+AY17+AY18+AY19+AY20+AY21+AY22+AY23+AY24+AY25+AY26+AY27+AY28+AY29+AY30+AY31+AY32+AY33+AY34+AY35+AY36+AY37+AY38+AY39+AY40</f>
        <v>399.40000000000003</v>
      </c>
      <c r="AZ45" s="158">
        <f>AZ10+AZ11+AZ12+AZ13+AZ14+AZ15+AZ16+AZ17+AZ18+AZ19+AZ20+AZ21+AZ22+AZ23+AZ24+AZ25+AZ26+AZ27+AZ28+AZ29+AZ30+AZ31+AZ32+AZ33+AZ34+AZ35+AZ36+AZ37+AZ38+AZ39+AZ40</f>
        <v>3636</v>
      </c>
      <c r="BA45" s="154">
        <f>MAX(BA10:BA40)</f>
        <v>29.5</v>
      </c>
      <c r="BB45" s="155">
        <f>SUM(BB8:BB40)</f>
        <v>134</v>
      </c>
      <c r="BC45" s="42"/>
      <c r="BD45" s="137"/>
      <c r="BE45" s="159"/>
      <c r="BF45" s="160"/>
      <c r="BG45" s="159"/>
      <c r="BH45" s="4"/>
      <c r="BI45" s="9"/>
      <c r="BJ45" s="141"/>
    </row>
    <row r="46" spans="1:62" s="161" customFormat="1" ht="21" customHeight="1" thickBot="1">
      <c r="A46" s="153" t="s">
        <v>63</v>
      </c>
      <c r="B46" s="155">
        <f>COUNT(B10:B40)</f>
        <v>7</v>
      </c>
      <c r="C46" s="155"/>
      <c r="D46" s="155">
        <f>COUNT(D10:D40)</f>
        <v>5</v>
      </c>
      <c r="E46" s="155"/>
      <c r="F46" s="155">
        <f>COUNT(F10:F40)</f>
        <v>6</v>
      </c>
      <c r="G46" s="155"/>
      <c r="H46" s="155">
        <f>COUNT(H10:H40)</f>
        <v>7</v>
      </c>
      <c r="I46" s="155"/>
      <c r="J46" s="155">
        <f>COUNT(J10:J40)</f>
        <v>4</v>
      </c>
      <c r="K46" s="155"/>
      <c r="L46" s="155">
        <f>COUNT(L10:L40)</f>
        <v>4</v>
      </c>
      <c r="M46" s="155"/>
      <c r="N46" s="155">
        <f>COUNT(N10:N40)</f>
        <v>2</v>
      </c>
      <c r="O46" s="155"/>
      <c r="P46" s="155">
        <f>COUNT(P10:P40)</f>
        <v>2</v>
      </c>
      <c r="Q46" s="155"/>
      <c r="R46" s="155">
        <f>COUNT(R10:R40)</f>
        <v>3</v>
      </c>
      <c r="S46" s="155"/>
      <c r="T46" s="155">
        <f>COUNT(T10:T40)</f>
        <v>2</v>
      </c>
      <c r="U46" s="155"/>
      <c r="V46" s="155">
        <f>COUNT(V10:V40)</f>
        <v>3</v>
      </c>
      <c r="W46" s="155"/>
      <c r="X46" s="155">
        <f>COUNT(X10:X40)</f>
        <v>3</v>
      </c>
      <c r="Y46" s="155"/>
      <c r="Z46" s="155">
        <f>COUNT(Z10:Z40)</f>
        <v>2</v>
      </c>
      <c r="AA46" s="155"/>
      <c r="AB46" s="155">
        <f>COUNT(AB10:AB40)</f>
        <v>4</v>
      </c>
      <c r="AC46" s="155"/>
      <c r="AD46" s="155">
        <f>COUNT(AD10:AD40)</f>
        <v>6</v>
      </c>
      <c r="AE46" s="155"/>
      <c r="AF46" s="155">
        <f>COUNT(AF10:AF40)</f>
        <v>5</v>
      </c>
      <c r="AG46" s="155"/>
      <c r="AH46" s="155">
        <f>COUNT(AH10:AH40)</f>
        <v>8</v>
      </c>
      <c r="AI46" s="155"/>
      <c r="AJ46" s="155">
        <f>COUNT(AJ10:AJ40)</f>
        <v>11</v>
      </c>
      <c r="AK46" s="155"/>
      <c r="AL46" s="155">
        <f>COUNT(AL10:AL40)</f>
        <v>11</v>
      </c>
      <c r="AM46" s="155"/>
      <c r="AN46" s="155">
        <f>COUNT(AN10:AN40)</f>
        <v>6</v>
      </c>
      <c r="AO46" s="162"/>
      <c r="AP46" s="155">
        <f>COUNT(AP10:AP40)</f>
        <v>9</v>
      </c>
      <c r="AQ46" s="155"/>
      <c r="AR46" s="155">
        <f>COUNT(AR10:AR40)</f>
        <v>11</v>
      </c>
      <c r="AS46" s="155"/>
      <c r="AT46" s="155">
        <f>COUNT(AT10:AT40)</f>
        <v>8</v>
      </c>
      <c r="AU46" s="155"/>
      <c r="AV46" s="155">
        <f>COUNT(AV10:AV40)</f>
        <v>5</v>
      </c>
      <c r="AW46" s="155"/>
      <c r="AX46" s="163"/>
      <c r="AY46" s="164" t="s">
        <v>64</v>
      </c>
      <c r="AZ46" s="165" t="s">
        <v>65</v>
      </c>
      <c r="BA46" s="159"/>
      <c r="BB46" s="34" t="s">
        <v>66</v>
      </c>
      <c r="BC46" s="9"/>
      <c r="BD46" s="19"/>
      <c r="BE46" s="153"/>
      <c r="BF46" s="160"/>
      <c r="BG46" s="159"/>
      <c r="BH46" s="153"/>
      <c r="BI46" s="9"/>
      <c r="BJ46" s="141"/>
    </row>
    <row r="47" spans="1:62" s="161" customFormat="1" ht="21" customHeight="1" thickBo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66"/>
      <c r="AY47" s="157">
        <f>[1]ano!C44</f>
        <v>219.80285714285708</v>
      </c>
      <c r="AZ47" s="167"/>
      <c r="BA47" s="1"/>
      <c r="BB47" s="35" t="s">
        <v>58</v>
      </c>
      <c r="BC47" s="9"/>
      <c r="BD47" s="19"/>
      <c r="BE47" s="159"/>
      <c r="BF47" s="153"/>
      <c r="BG47" s="1"/>
      <c r="BH47" s="153"/>
      <c r="BI47" s="9"/>
      <c r="BJ47" s="141"/>
    </row>
    <row r="48" spans="1:62" s="161" customFormat="1" ht="21" customHeight="1" thickBot="1">
      <c r="A48" s="168"/>
      <c r="B48" s="13" t="s">
        <v>67</v>
      </c>
      <c r="C48" s="169"/>
      <c r="D48" s="169"/>
      <c r="E48" s="169"/>
      <c r="F48" s="169"/>
      <c r="G48" s="169"/>
      <c r="H48" s="169"/>
      <c r="I48" s="169"/>
      <c r="J48" s="169"/>
      <c r="K48" s="170"/>
      <c r="L48" s="169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  <c r="X48" s="171"/>
      <c r="Y48" s="171"/>
      <c r="Z48" s="171"/>
      <c r="AA48" s="171"/>
      <c r="AB48" s="171"/>
      <c r="AC48" s="171"/>
      <c r="AD48" s="171"/>
      <c r="AE48" s="171"/>
      <c r="AF48" s="171"/>
      <c r="AG48" s="171"/>
      <c r="AH48" s="171"/>
      <c r="AI48" s="171"/>
      <c r="AJ48" s="171"/>
      <c r="AK48" s="171"/>
      <c r="AL48" s="171"/>
      <c r="AM48" s="171"/>
      <c r="AN48" s="171"/>
      <c r="AO48" s="171"/>
      <c r="AP48" s="171"/>
      <c r="AQ48" s="171"/>
      <c r="AR48" s="171"/>
      <c r="AS48" s="171"/>
      <c r="AT48" s="172"/>
      <c r="AU48" s="4"/>
      <c r="AV48" s="4"/>
      <c r="AW48" s="4"/>
      <c r="AX48" s="17"/>
      <c r="AY48" s="26" t="s">
        <v>68</v>
      </c>
      <c r="AZ48" s="167"/>
      <c r="BA48" s="1"/>
      <c r="BB48" s="54" t="s">
        <v>61</v>
      </c>
      <c r="BC48" s="9"/>
      <c r="BD48" s="19"/>
      <c r="BE48" s="153"/>
      <c r="BF48" s="153"/>
      <c r="BG48" s="1"/>
      <c r="BH48" s="153"/>
      <c r="BI48" s="9"/>
      <c r="BJ48" s="141"/>
    </row>
    <row r="49" spans="1:62" s="161" customFormat="1" ht="21" customHeight="1" thickBot="1">
      <c r="A49" s="1"/>
      <c r="B49" s="173" t="s">
        <v>69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74"/>
      <c r="N49" s="175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Y49" s="176"/>
      <c r="Z49" s="176"/>
      <c r="AA49" s="176"/>
      <c r="AB49" s="176"/>
      <c r="AC49" s="176"/>
      <c r="AD49" s="176"/>
      <c r="AE49" s="176"/>
      <c r="AF49" s="176"/>
      <c r="AG49" s="176"/>
      <c r="AH49" s="176"/>
      <c r="AI49" s="177"/>
      <c r="AJ49" s="177"/>
      <c r="AK49" s="177"/>
      <c r="AL49" s="177"/>
      <c r="AM49" s="175"/>
      <c r="AN49" s="175"/>
      <c r="AO49" s="175"/>
      <c r="AP49" s="175"/>
      <c r="AQ49" s="175"/>
      <c r="AR49" s="175"/>
      <c r="AS49" s="175"/>
      <c r="AT49" s="175"/>
      <c r="AU49" s="17"/>
      <c r="AV49" s="17"/>
      <c r="AW49" s="17"/>
      <c r="AX49" s="178"/>
      <c r="AY49" s="157">
        <f>AY45-AY47</f>
        <v>179.59714285714296</v>
      </c>
      <c r="AZ49" s="179" t="s">
        <v>70</v>
      </c>
      <c r="BA49" s="1"/>
      <c r="BB49" s="155">
        <f>SUM(BD10:BD40)</f>
        <v>19</v>
      </c>
      <c r="BC49" s="180"/>
      <c r="BD49" s="19"/>
      <c r="BE49" s="159"/>
      <c r="BF49" s="159"/>
      <c r="BG49" s="1"/>
      <c r="BH49" s="4"/>
      <c r="BI49" s="9"/>
      <c r="BJ49" s="141"/>
    </row>
    <row r="50" spans="1:62" ht="24" customHeight="1">
      <c r="A50" s="1"/>
      <c r="B50" s="3" t="s">
        <v>71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74"/>
      <c r="N50" s="174"/>
      <c r="O50" s="174"/>
      <c r="P50" s="174"/>
      <c r="Q50" s="174"/>
      <c r="R50" s="174"/>
      <c r="S50" s="181"/>
      <c r="T50" s="182"/>
      <c r="U50" s="182"/>
      <c r="V50" s="181"/>
      <c r="W50" s="181"/>
      <c r="X50" s="181"/>
      <c r="Y50" s="181"/>
      <c r="Z50" s="181"/>
      <c r="AA50" s="181"/>
      <c r="AB50" s="181"/>
      <c r="AC50" s="181"/>
      <c r="AD50" s="181"/>
      <c r="AE50" s="181"/>
      <c r="AF50" s="181"/>
      <c r="AG50" s="181"/>
      <c r="AH50" s="181"/>
      <c r="AI50" s="181"/>
      <c r="AJ50" s="181"/>
      <c r="AK50" s="181"/>
      <c r="AL50" s="181"/>
      <c r="AM50" s="174"/>
      <c r="AN50" s="174"/>
      <c r="AO50" s="174"/>
      <c r="AP50" s="174"/>
      <c r="AQ50" s="174"/>
      <c r="AR50" s="174"/>
      <c r="AS50" s="174"/>
      <c r="AT50" s="174"/>
      <c r="AU50" s="1"/>
      <c r="AV50" s="1"/>
      <c r="AW50" s="1"/>
      <c r="AX50" s="1"/>
      <c r="AY50" s="1"/>
      <c r="AZ50" s="1"/>
      <c r="BA50" s="1"/>
      <c r="BB50" s="1"/>
      <c r="BC50" s="17"/>
      <c r="BD50" s="19"/>
      <c r="BE50" s="1"/>
      <c r="BF50" s="1"/>
      <c r="BG50" s="1"/>
      <c r="BH50" s="1"/>
      <c r="BI50" s="17"/>
      <c r="BJ50" s="141"/>
    </row>
    <row r="51" spans="1:62" s="189" customFormat="1" ht="23.25">
      <c r="A51" s="183"/>
      <c r="B51" s="183"/>
      <c r="C51" s="184"/>
      <c r="D51" s="184"/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5"/>
      <c r="R51" s="185"/>
      <c r="S51" s="186"/>
      <c r="T51" s="186"/>
      <c r="U51" s="186"/>
      <c r="V51" s="187"/>
      <c r="W51" s="187"/>
      <c r="X51" s="187"/>
      <c r="Y51" s="187"/>
      <c r="Z51" s="187"/>
      <c r="AA51" s="187"/>
      <c r="AB51" s="187"/>
      <c r="AC51" s="187"/>
      <c r="AD51" s="187"/>
      <c r="AE51" s="187"/>
      <c r="AF51" s="187"/>
      <c r="AG51" s="187"/>
      <c r="AH51" s="187"/>
      <c r="AI51" s="187"/>
      <c r="AJ51" s="187"/>
      <c r="AK51" s="187"/>
      <c r="AL51" s="187"/>
      <c r="AM51" s="188"/>
      <c r="AN51" s="188"/>
      <c r="AO51" s="188"/>
      <c r="AP51" s="188"/>
      <c r="AQ51" s="188"/>
      <c r="AR51" s="188"/>
      <c r="AS51" s="188"/>
      <c r="AT51" s="188"/>
      <c r="AU51" s="188"/>
      <c r="AV51" s="188"/>
      <c r="AX51" s="190"/>
      <c r="AY51" s="190"/>
      <c r="BD51" s="191"/>
    </row>
    <row r="52" spans="1:62" ht="18"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Y52" s="192"/>
    </row>
    <row r="53" spans="1:62" ht="18"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</row>
    <row r="54" spans="1:62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2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2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2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112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2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  <row r="59" spans="1:62" ht="18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</row>
  </sheetData>
  <sheetProtection selectLockedCells="1" selectUnlockedCells="1"/>
  <mergeCells count="55">
    <mergeCell ref="AR42:AS42"/>
    <mergeCell ref="AT42:AU42"/>
    <mergeCell ref="AV42:AW42"/>
    <mergeCell ref="M48:AS48"/>
    <mergeCell ref="AX51:AY51"/>
    <mergeCell ref="AF42:AG42"/>
    <mergeCell ref="AH42:AI42"/>
    <mergeCell ref="AJ42:AK42"/>
    <mergeCell ref="AL42:AM42"/>
    <mergeCell ref="AN42:AO42"/>
    <mergeCell ref="AP42:AQ42"/>
    <mergeCell ref="T42:U42"/>
    <mergeCell ref="V42:W42"/>
    <mergeCell ref="X42:Y42"/>
    <mergeCell ref="Z42:AA42"/>
    <mergeCell ref="AB42:AC42"/>
    <mergeCell ref="AD42:AE42"/>
    <mergeCell ref="AV7:AW7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AJ7:AK7"/>
    <mergeCell ref="AL7:AM7"/>
    <mergeCell ref="AN7:AO7"/>
    <mergeCell ref="AP7:AQ7"/>
    <mergeCell ref="AR7:AS7"/>
    <mergeCell ref="AT7:AU7"/>
    <mergeCell ref="X7:Y7"/>
    <mergeCell ref="Z7:AA7"/>
    <mergeCell ref="AB7:AC7"/>
    <mergeCell ref="AD7:AE7"/>
    <mergeCell ref="AF7:AG7"/>
    <mergeCell ref="AH7:AI7"/>
    <mergeCell ref="L7:M7"/>
    <mergeCell ref="N7:O7"/>
    <mergeCell ref="P7:Q7"/>
    <mergeCell ref="R7:S7"/>
    <mergeCell ref="T7:U7"/>
    <mergeCell ref="V7:W7"/>
    <mergeCell ref="BE1:BF1"/>
    <mergeCell ref="BG1:BH1"/>
    <mergeCell ref="BE2:BF2"/>
    <mergeCell ref="AY4:BB4"/>
    <mergeCell ref="AY5:BB5"/>
    <mergeCell ref="B7:C7"/>
    <mergeCell ref="D7:E7"/>
    <mergeCell ref="F7:G7"/>
    <mergeCell ref="H7:I7"/>
    <mergeCell ref="J7:K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J58"/>
  <sheetViews>
    <sheetView showGridLines="0" defaultGridColor="0" colorId="8" zoomScale="60" zoomScaleNormal="60" workbookViewId="0">
      <selection activeCell="B5" sqref="B5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193" customWidth="1"/>
    <col min="57" max="58" width="13.140625" customWidth="1"/>
    <col min="59" max="59" width="12.42578125" customWidth="1"/>
    <col min="60" max="60" width="14.42578125" customWidth="1"/>
  </cols>
  <sheetData>
    <row r="1" spans="1:61" s="6" customFormat="1" ht="21" customHeight="1">
      <c r="A1" s="1"/>
      <c r="B1" s="2" t="s">
        <v>72</v>
      </c>
      <c r="C1" s="3"/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1"/>
      <c r="B2" s="7" t="s">
        <v>73</v>
      </c>
      <c r="C2" s="8"/>
      <c r="D2" s="8"/>
      <c r="E2" s="8"/>
      <c r="F2" s="9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1" t="s">
        <v>4</v>
      </c>
      <c r="AV2" s="1"/>
      <c r="AW2" s="1"/>
      <c r="AX2" s="1"/>
      <c r="AY2" s="1"/>
      <c r="AZ2" s="1"/>
      <c r="BA2" s="1"/>
      <c r="BB2" s="1"/>
      <c r="BC2" s="1"/>
      <c r="BD2" s="4"/>
    </row>
    <row r="3" spans="1:61" s="6" customFormat="1" ht="21" customHeight="1" thickBot="1">
      <c r="A3" s="1"/>
      <c r="B3" s="194" t="s">
        <v>7</v>
      </c>
      <c r="C3" s="8"/>
      <c r="D3" s="8"/>
      <c r="E3" s="8"/>
      <c r="F3" s="9"/>
      <c r="G3" s="9"/>
      <c r="H3" s="1"/>
      <c r="I3" s="1"/>
      <c r="J3" s="1"/>
      <c r="K3" s="1"/>
      <c r="L3" s="1"/>
      <c r="M3" s="3" t="s">
        <v>8</v>
      </c>
      <c r="N3" s="1"/>
      <c r="O3" s="1"/>
      <c r="P3" s="1"/>
      <c r="Q3" s="1"/>
      <c r="R3" s="1"/>
      <c r="S3" s="1"/>
      <c r="T3" s="1"/>
      <c r="U3" s="1"/>
      <c r="V3" s="1"/>
      <c r="W3" s="13"/>
      <c r="X3" s="13"/>
      <c r="Y3" s="13"/>
      <c r="Z3" s="13"/>
      <c r="AA3" s="13"/>
      <c r="AB3" s="13"/>
      <c r="AC3" s="13"/>
      <c r="AD3" s="13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</row>
    <row r="4" spans="1:61" ht="21" customHeight="1" thickBot="1">
      <c r="A4" s="195"/>
      <c r="B4" s="196"/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  <c r="X4" s="196"/>
      <c r="Y4" s="196"/>
      <c r="Z4" s="196"/>
      <c r="AA4" s="196"/>
      <c r="AB4" s="196"/>
      <c r="AC4" s="196"/>
      <c r="AD4" s="196"/>
      <c r="AE4" s="196"/>
      <c r="AF4" s="196"/>
      <c r="AG4" s="196"/>
      <c r="AH4" s="196"/>
      <c r="AI4" s="196"/>
      <c r="AJ4" s="196"/>
      <c r="AK4" s="196"/>
      <c r="AL4" s="196"/>
      <c r="AM4" s="196"/>
      <c r="AN4" s="196"/>
      <c r="AO4" s="196"/>
      <c r="AP4" s="196"/>
      <c r="AQ4" s="196"/>
      <c r="AR4" s="196"/>
      <c r="AS4" s="196"/>
      <c r="AT4" s="196"/>
      <c r="AU4" s="196"/>
      <c r="AV4" s="196"/>
      <c r="AW4" s="196"/>
      <c r="AX4" s="196"/>
      <c r="AY4" s="18" t="s">
        <v>9</v>
      </c>
      <c r="AZ4" s="18"/>
      <c r="BA4" s="18"/>
      <c r="BB4" s="18"/>
      <c r="BC4" s="17"/>
      <c r="BD4" s="19"/>
      <c r="BE4" s="18" t="s">
        <v>9</v>
      </c>
      <c r="BF4" s="18"/>
      <c r="BG4" s="18"/>
      <c r="BH4" s="18"/>
    </row>
    <row r="5" spans="1:61" ht="21" customHeight="1" thickBo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"/>
      <c r="AS5" s="1"/>
      <c r="AT5" s="1"/>
      <c r="AU5" s="1"/>
      <c r="AV5" s="1"/>
      <c r="AW5" s="1"/>
      <c r="AX5" s="17"/>
      <c r="AY5" s="25" t="s">
        <v>11</v>
      </c>
      <c r="AZ5" s="25"/>
      <c r="BA5" s="25"/>
      <c r="BB5" s="25"/>
      <c r="BC5" s="17"/>
      <c r="BD5" s="19"/>
      <c r="BE5" s="26" t="s">
        <v>12</v>
      </c>
      <c r="BF5" s="27" t="s">
        <v>13</v>
      </c>
      <c r="BG5" s="28" t="s">
        <v>14</v>
      </c>
      <c r="BH5" s="29"/>
    </row>
    <row r="6" spans="1:61" ht="21" customHeight="1" thickBot="1">
      <c r="A6" s="30"/>
      <c r="B6" s="31"/>
      <c r="C6" s="32"/>
      <c r="D6" s="31"/>
      <c r="E6" s="32"/>
      <c r="F6" s="31"/>
      <c r="G6" s="32"/>
      <c r="H6" s="31"/>
      <c r="I6" s="32"/>
      <c r="J6" s="31"/>
      <c r="K6" s="32"/>
      <c r="L6" s="31"/>
      <c r="M6" s="32"/>
      <c r="N6" s="31"/>
      <c r="O6" s="32"/>
      <c r="P6" s="31"/>
      <c r="Q6" s="32"/>
      <c r="R6" s="31"/>
      <c r="S6" s="32"/>
      <c r="T6" s="31"/>
      <c r="U6" s="32"/>
      <c r="V6" s="31"/>
      <c r="W6" s="32"/>
      <c r="X6" s="31"/>
      <c r="Y6" s="32"/>
      <c r="Z6" s="31"/>
      <c r="AA6" s="32"/>
      <c r="AB6" s="31"/>
      <c r="AC6" s="32"/>
      <c r="AD6" s="31"/>
      <c r="AE6" s="32"/>
      <c r="AF6" s="31"/>
      <c r="AG6" s="32"/>
      <c r="AH6" s="31"/>
      <c r="AI6" s="32"/>
      <c r="AJ6" s="31"/>
      <c r="AK6" s="32"/>
      <c r="AL6" s="31"/>
      <c r="AM6" s="32"/>
      <c r="AN6" s="31"/>
      <c r="AO6" s="32"/>
      <c r="AP6" s="31"/>
      <c r="AQ6" s="32"/>
      <c r="AR6" s="31"/>
      <c r="AS6" s="32"/>
      <c r="AT6" s="31"/>
      <c r="AU6" s="32"/>
      <c r="AV6" s="31"/>
      <c r="AW6" s="32"/>
      <c r="AX6" s="31"/>
      <c r="AY6" s="33" t="s">
        <v>15</v>
      </c>
      <c r="AZ6" s="33" t="s">
        <v>16</v>
      </c>
      <c r="BA6" s="34" t="s">
        <v>17</v>
      </c>
      <c r="BB6" s="34"/>
      <c r="BC6" s="17"/>
      <c r="BD6" s="19"/>
      <c r="BE6" s="35" t="s">
        <v>15</v>
      </c>
      <c r="BF6" s="35"/>
      <c r="BG6" s="35" t="s">
        <v>17</v>
      </c>
      <c r="BH6" s="35"/>
    </row>
    <row r="7" spans="1:61" ht="21" customHeight="1" thickBot="1">
      <c r="A7" s="36" t="s">
        <v>18</v>
      </c>
      <c r="B7" s="37" t="s">
        <v>19</v>
      </c>
      <c r="C7" s="37"/>
      <c r="D7" s="38" t="s">
        <v>20</v>
      </c>
      <c r="E7" s="38"/>
      <c r="F7" s="37" t="s">
        <v>21</v>
      </c>
      <c r="G7" s="37"/>
      <c r="H7" s="37" t="s">
        <v>22</v>
      </c>
      <c r="I7" s="37"/>
      <c r="J7" s="39" t="s">
        <v>23</v>
      </c>
      <c r="K7" s="39"/>
      <c r="L7" s="37" t="s">
        <v>24</v>
      </c>
      <c r="M7" s="37"/>
      <c r="N7" s="37" t="s">
        <v>25</v>
      </c>
      <c r="O7" s="37"/>
      <c r="P7" s="37" t="s">
        <v>26</v>
      </c>
      <c r="Q7" s="37"/>
      <c r="R7" s="37" t="s">
        <v>27</v>
      </c>
      <c r="S7" s="37"/>
      <c r="T7" s="37" t="s">
        <v>28</v>
      </c>
      <c r="U7" s="37"/>
      <c r="V7" s="37" t="s">
        <v>29</v>
      </c>
      <c r="W7" s="37"/>
      <c r="X7" s="37" t="s">
        <v>30</v>
      </c>
      <c r="Y7" s="37"/>
      <c r="Z7" s="40" t="s">
        <v>31</v>
      </c>
      <c r="AA7" s="40"/>
      <c r="AB7" s="37" t="s">
        <v>32</v>
      </c>
      <c r="AC7" s="37"/>
      <c r="AD7" s="37" t="s">
        <v>33</v>
      </c>
      <c r="AE7" s="37"/>
      <c r="AF7" s="37" t="s">
        <v>34</v>
      </c>
      <c r="AG7" s="37"/>
      <c r="AH7" s="37" t="s">
        <v>35</v>
      </c>
      <c r="AI7" s="37"/>
      <c r="AJ7" s="37" t="s">
        <v>36</v>
      </c>
      <c r="AK7" s="37"/>
      <c r="AL7" s="37" t="s">
        <v>37</v>
      </c>
      <c r="AM7" s="37"/>
      <c r="AN7" s="37" t="s">
        <v>38</v>
      </c>
      <c r="AO7" s="37"/>
      <c r="AP7" s="37" t="s">
        <v>39</v>
      </c>
      <c r="AQ7" s="37"/>
      <c r="AR7" s="37" t="s">
        <v>40</v>
      </c>
      <c r="AS7" s="37"/>
      <c r="AT7" s="37" t="s">
        <v>41</v>
      </c>
      <c r="AU7" s="37"/>
      <c r="AV7" s="37" t="s">
        <v>42</v>
      </c>
      <c r="AW7" s="37"/>
      <c r="AX7" s="41" t="s">
        <v>18</v>
      </c>
      <c r="AY7" s="35" t="s">
        <v>43</v>
      </c>
      <c r="AZ7" s="35" t="s">
        <v>43</v>
      </c>
      <c r="BA7" s="35" t="s">
        <v>44</v>
      </c>
      <c r="BB7" s="35" t="s">
        <v>45</v>
      </c>
      <c r="BC7" s="42"/>
      <c r="BD7" s="197"/>
      <c r="BE7" s="35" t="s">
        <v>43</v>
      </c>
      <c r="BF7" s="35"/>
      <c r="BG7" s="35" t="s">
        <v>44</v>
      </c>
      <c r="BH7" s="35"/>
    </row>
    <row r="8" spans="1:61" ht="21" customHeight="1" thickBot="1">
      <c r="A8" s="43" t="s">
        <v>46</v>
      </c>
      <c r="B8" s="198" t="s">
        <v>47</v>
      </c>
      <c r="C8" s="199" t="s">
        <v>48</v>
      </c>
      <c r="D8" s="200" t="s">
        <v>47</v>
      </c>
      <c r="E8" s="201" t="s">
        <v>48</v>
      </c>
      <c r="F8" s="200" t="s">
        <v>47</v>
      </c>
      <c r="G8" s="202" t="s">
        <v>48</v>
      </c>
      <c r="H8" s="200" t="s">
        <v>47</v>
      </c>
      <c r="I8" s="202" t="s">
        <v>48</v>
      </c>
      <c r="J8" s="200" t="s">
        <v>47</v>
      </c>
      <c r="K8" s="202" t="s">
        <v>48</v>
      </c>
      <c r="L8" s="200" t="s">
        <v>47</v>
      </c>
      <c r="M8" s="202" t="s">
        <v>48</v>
      </c>
      <c r="N8" s="200" t="s">
        <v>47</v>
      </c>
      <c r="O8" s="202" t="s">
        <v>48</v>
      </c>
      <c r="P8" s="200" t="s">
        <v>47</v>
      </c>
      <c r="Q8" s="202" t="s">
        <v>48</v>
      </c>
      <c r="R8" s="200" t="s">
        <v>47</v>
      </c>
      <c r="S8" s="202" t="s">
        <v>48</v>
      </c>
      <c r="T8" s="200" t="s">
        <v>47</v>
      </c>
      <c r="U8" s="202" t="s">
        <v>48</v>
      </c>
      <c r="V8" s="200" t="s">
        <v>47</v>
      </c>
      <c r="W8" s="202" t="s">
        <v>48</v>
      </c>
      <c r="X8" s="200" t="s">
        <v>47</v>
      </c>
      <c r="Y8" s="202" t="s">
        <v>48</v>
      </c>
      <c r="Z8" s="200" t="s">
        <v>47</v>
      </c>
      <c r="AA8" s="202" t="s">
        <v>48</v>
      </c>
      <c r="AB8" s="200" t="s">
        <v>47</v>
      </c>
      <c r="AC8" s="202" t="s">
        <v>48</v>
      </c>
      <c r="AD8" s="200" t="s">
        <v>47</v>
      </c>
      <c r="AE8" s="202" t="s">
        <v>48</v>
      </c>
      <c r="AF8" s="200" t="s">
        <v>47</v>
      </c>
      <c r="AG8" s="202" t="s">
        <v>48</v>
      </c>
      <c r="AH8" s="200" t="s">
        <v>47</v>
      </c>
      <c r="AI8" s="202" t="s">
        <v>48</v>
      </c>
      <c r="AJ8" s="200" t="s">
        <v>47</v>
      </c>
      <c r="AK8" s="203" t="s">
        <v>48</v>
      </c>
      <c r="AL8" s="200" t="s">
        <v>47</v>
      </c>
      <c r="AM8" s="202" t="s">
        <v>48</v>
      </c>
      <c r="AN8" s="200" t="s">
        <v>47</v>
      </c>
      <c r="AO8" s="202" t="s">
        <v>48</v>
      </c>
      <c r="AP8" s="200" t="s">
        <v>47</v>
      </c>
      <c r="AQ8" s="203" t="s">
        <v>48</v>
      </c>
      <c r="AR8" s="200" t="s">
        <v>47</v>
      </c>
      <c r="AS8" s="202" t="s">
        <v>48</v>
      </c>
      <c r="AT8" s="204" t="s">
        <v>47</v>
      </c>
      <c r="AU8" s="205" t="s">
        <v>48</v>
      </c>
      <c r="AV8" s="204" t="s">
        <v>47</v>
      </c>
      <c r="AW8" s="205" t="s">
        <v>48</v>
      </c>
      <c r="AX8" s="52" t="s">
        <v>46</v>
      </c>
      <c r="AY8" s="53" t="s">
        <v>49</v>
      </c>
      <c r="AZ8" s="53" t="s">
        <v>50</v>
      </c>
      <c r="BA8" s="54" t="s">
        <v>51</v>
      </c>
      <c r="BB8" s="54" t="s">
        <v>52</v>
      </c>
      <c r="BC8" s="206"/>
      <c r="BD8" s="197"/>
      <c r="BE8" s="54" t="s">
        <v>49</v>
      </c>
      <c r="BF8" s="54"/>
      <c r="BG8" s="54" t="s">
        <v>51</v>
      </c>
      <c r="BH8" s="54" t="s">
        <v>52</v>
      </c>
    </row>
    <row r="9" spans="1:61" ht="21" customHeight="1" thickBot="1">
      <c r="A9" s="71">
        <v>1</v>
      </c>
      <c r="B9" s="207"/>
      <c r="C9" s="208"/>
      <c r="D9" s="209"/>
      <c r="E9" s="208"/>
      <c r="F9" s="209"/>
      <c r="G9" s="208"/>
      <c r="H9" s="209"/>
      <c r="I9" s="208"/>
      <c r="J9" s="209"/>
      <c r="K9" s="208"/>
      <c r="L9" s="209"/>
      <c r="M9" s="208"/>
      <c r="N9" s="209"/>
      <c r="O9" s="210"/>
      <c r="P9" s="88"/>
      <c r="Q9" s="89"/>
      <c r="R9" s="88"/>
      <c r="S9" s="89"/>
      <c r="T9" s="88"/>
      <c r="U9" s="89"/>
      <c r="V9" s="88"/>
      <c r="W9" s="89"/>
      <c r="X9" s="88"/>
      <c r="Y9" s="89"/>
      <c r="Z9" s="88"/>
      <c r="AA9" s="89"/>
      <c r="AB9" s="88"/>
      <c r="AC9" s="89"/>
      <c r="AD9" s="88">
        <v>0.7</v>
      </c>
      <c r="AE9" s="89">
        <v>5</v>
      </c>
      <c r="AF9" s="211">
        <v>0.3</v>
      </c>
      <c r="AG9" s="89">
        <v>35</v>
      </c>
      <c r="AH9" s="88">
        <v>0.1</v>
      </c>
      <c r="AI9" s="89">
        <v>5</v>
      </c>
      <c r="AJ9" s="88"/>
      <c r="AK9" s="212"/>
      <c r="AL9" s="106"/>
      <c r="AM9" s="213"/>
      <c r="AN9" s="106"/>
      <c r="AO9" s="213"/>
      <c r="AP9" s="106"/>
      <c r="AQ9" s="212"/>
      <c r="AR9" s="106"/>
      <c r="AS9" s="89"/>
      <c r="AT9" s="106"/>
      <c r="AU9" s="212"/>
      <c r="AV9" s="106"/>
      <c r="AW9" s="212"/>
      <c r="AX9" s="91">
        <v>1</v>
      </c>
      <c r="AY9" s="92">
        <f t="shared" ref="AY9:AZ37" si="0">B9+D9+F9+H9+J9+L9+N9+P9+R9+T9+V9+X9+Z9+AB9+AD9+AF9+AH9+AJ9+AL9+AN9+AP9+AR9+AT9+AV9</f>
        <v>1.1000000000000001</v>
      </c>
      <c r="AZ9" s="93">
        <f t="shared" si="0"/>
        <v>45</v>
      </c>
      <c r="BA9" s="94">
        <f t="shared" ref="BA9:BA37" si="1">MAX(B9,D9,F9,H9,J9,L9,N9,P9,R9,T9,V9,X9,Z9,AB9,AD9,AF9,AH9,AJ9,AL9,AN9,AP9,AR9,AT9,AV9)</f>
        <v>0.7</v>
      </c>
      <c r="BB9" s="95">
        <f t="shared" ref="BB9:BB37" si="2">COUNT(B9,D9,F9,H9,J9,L9,N9,P9,R9,T9,V9,X9,Z9,AB9,AD9,AF9,AH9,AJ9,AL9,AN9,AP9,AR9,AT9,AV9)</f>
        <v>3</v>
      </c>
      <c r="BC9" s="214"/>
      <c r="BD9" s="197">
        <f>IF(BB9&gt;0,1,0)</f>
        <v>1</v>
      </c>
      <c r="BE9" s="215">
        <f>janeiro!$BH41</f>
        <v>40.700000000000003</v>
      </c>
      <c r="BF9" s="85">
        <v>39113</v>
      </c>
      <c r="BG9" s="86">
        <f>fevereiro!$BE10</f>
        <v>1.1000000000000001</v>
      </c>
      <c r="BH9" s="87"/>
      <c r="BI9" s="197">
        <f>IF(BH9&gt;0,1,0)</f>
        <v>0</v>
      </c>
    </row>
    <row r="10" spans="1:61" ht="21" customHeight="1" thickBot="1">
      <c r="A10" s="71">
        <v>2</v>
      </c>
      <c r="B10" s="74"/>
      <c r="C10" s="73"/>
      <c r="D10" s="74"/>
      <c r="E10" s="73"/>
      <c r="F10" s="74"/>
      <c r="G10" s="73"/>
      <c r="H10" s="74"/>
      <c r="I10" s="73"/>
      <c r="J10" s="74"/>
      <c r="K10" s="73"/>
      <c r="L10" s="74"/>
      <c r="M10" s="73"/>
      <c r="N10" s="74"/>
      <c r="O10" s="73"/>
      <c r="P10" s="88"/>
      <c r="Q10" s="89"/>
      <c r="R10" s="88"/>
      <c r="S10" s="89"/>
      <c r="T10" s="88"/>
      <c r="U10" s="89"/>
      <c r="V10" s="88"/>
      <c r="W10" s="89"/>
      <c r="X10" s="88"/>
      <c r="Y10" s="89"/>
      <c r="Z10" s="88">
        <v>2</v>
      </c>
      <c r="AA10" s="89">
        <v>20</v>
      </c>
      <c r="AB10" s="88">
        <v>21.2</v>
      </c>
      <c r="AC10" s="89">
        <v>60</v>
      </c>
      <c r="AD10" s="88">
        <v>0.8</v>
      </c>
      <c r="AE10" s="89">
        <v>20</v>
      </c>
      <c r="AF10" s="88">
        <v>0.1</v>
      </c>
      <c r="AG10" s="89">
        <v>5</v>
      </c>
      <c r="AH10" s="88"/>
      <c r="AI10" s="89"/>
      <c r="AJ10" s="88"/>
      <c r="AK10" s="90"/>
      <c r="AL10" s="88"/>
      <c r="AM10" s="89"/>
      <c r="AN10" s="88"/>
      <c r="AO10" s="89"/>
      <c r="AP10" s="88"/>
      <c r="AQ10" s="90"/>
      <c r="AR10" s="88"/>
      <c r="AS10" s="89"/>
      <c r="AT10" s="88"/>
      <c r="AU10" s="90"/>
      <c r="AV10" s="88"/>
      <c r="AW10" s="90"/>
      <c r="AX10" s="91">
        <v>2</v>
      </c>
      <c r="AY10" s="92">
        <f t="shared" si="0"/>
        <v>24.1</v>
      </c>
      <c r="AZ10" s="93">
        <f t="shared" si="0"/>
        <v>105</v>
      </c>
      <c r="BA10" s="94">
        <f t="shared" si="1"/>
        <v>21.2</v>
      </c>
      <c r="BB10" s="95">
        <f t="shared" si="2"/>
        <v>4</v>
      </c>
      <c r="BC10" s="214"/>
      <c r="BD10" s="197">
        <f t="shared" ref="BD10:BD37" si="3">IF(BB10&gt;0,1,0)</f>
        <v>1</v>
      </c>
      <c r="BE10" s="98">
        <f t="shared" ref="BE10:BE36" si="4">P9+R9+T9+V9+X9+Z9+AB9+AD9+AF9+AH9+AJ9+AL9+AN9+AP9+AR9+AT9+AV9+B10+D10+F10+H10+J10+L10+N10</f>
        <v>1.1000000000000001</v>
      </c>
      <c r="BF10" s="96"/>
      <c r="BG10" s="86">
        <f>fevereiro!$BE11</f>
        <v>24.1</v>
      </c>
      <c r="BH10" s="97"/>
      <c r="BI10" s="197">
        <f>IF(BH10&gt;0,1,0)</f>
        <v>0</v>
      </c>
    </row>
    <row r="11" spans="1:61" ht="21" customHeight="1">
      <c r="A11" s="71">
        <v>3</v>
      </c>
      <c r="B11" s="88"/>
      <c r="C11" s="89"/>
      <c r="D11" s="88"/>
      <c r="E11" s="89"/>
      <c r="F11" s="88"/>
      <c r="G11" s="89"/>
      <c r="H11" s="88"/>
      <c r="I11" s="89"/>
      <c r="J11" s="88"/>
      <c r="K11" s="89"/>
      <c r="L11" s="88"/>
      <c r="M11" s="89"/>
      <c r="N11" s="88"/>
      <c r="O11" s="89"/>
      <c r="P11" s="88"/>
      <c r="Q11" s="89"/>
      <c r="R11" s="88"/>
      <c r="S11" s="89"/>
      <c r="T11" s="88"/>
      <c r="U11" s="89"/>
      <c r="V11" s="88"/>
      <c r="W11" s="89"/>
      <c r="X11" s="88"/>
      <c r="Y11" s="89"/>
      <c r="Z11" s="88"/>
      <c r="AA11" s="89"/>
      <c r="AB11" s="88"/>
      <c r="AC11" s="89"/>
      <c r="AD11" s="88"/>
      <c r="AE11" s="89"/>
      <c r="AF11" s="88"/>
      <c r="AG11" s="89"/>
      <c r="AH11" s="88"/>
      <c r="AI11" s="89"/>
      <c r="AJ11" s="88"/>
      <c r="AK11" s="90"/>
      <c r="AL11" s="88"/>
      <c r="AM11" s="89"/>
      <c r="AN11" s="88"/>
      <c r="AO11" s="89"/>
      <c r="AP11" s="88"/>
      <c r="AQ11" s="90"/>
      <c r="AR11" s="88"/>
      <c r="AS11" s="89"/>
      <c r="AT11" s="88"/>
      <c r="AU11" s="90"/>
      <c r="AV11" s="88"/>
      <c r="AW11" s="90"/>
      <c r="AX11" s="91">
        <v>3</v>
      </c>
      <c r="AY11" s="92">
        <f t="shared" si="0"/>
        <v>0</v>
      </c>
      <c r="AZ11" s="93">
        <f t="shared" si="0"/>
        <v>0</v>
      </c>
      <c r="BA11" s="94">
        <f t="shared" si="1"/>
        <v>0</v>
      </c>
      <c r="BB11" s="95">
        <f t="shared" si="2"/>
        <v>0</v>
      </c>
      <c r="BC11" s="214"/>
      <c r="BD11" s="197">
        <f t="shared" si="3"/>
        <v>0</v>
      </c>
      <c r="BE11" s="98">
        <f t="shared" si="4"/>
        <v>24.1</v>
      </c>
      <c r="BF11" s="99"/>
      <c r="BG11" s="86">
        <f>fevereiro!$BE12</f>
        <v>0</v>
      </c>
      <c r="BH11" s="97"/>
      <c r="BI11" s="197">
        <f t="shared" ref="BI11:BI36" si="5">IF(BH11&gt;0,1,0)</f>
        <v>0</v>
      </c>
    </row>
    <row r="12" spans="1:61" ht="21" customHeight="1">
      <c r="A12" s="71">
        <v>4</v>
      </c>
      <c r="B12" s="88"/>
      <c r="C12" s="89"/>
      <c r="D12" s="88"/>
      <c r="E12" s="89"/>
      <c r="F12" s="88"/>
      <c r="G12" s="89"/>
      <c r="H12" s="88"/>
      <c r="I12" s="89"/>
      <c r="J12" s="88"/>
      <c r="K12" s="89"/>
      <c r="L12" s="88"/>
      <c r="M12" s="89"/>
      <c r="N12" s="88"/>
      <c r="O12" s="89"/>
      <c r="P12" s="88"/>
      <c r="Q12" s="89"/>
      <c r="R12" s="88"/>
      <c r="S12" s="89"/>
      <c r="T12" s="88"/>
      <c r="U12" s="89"/>
      <c r="V12" s="88"/>
      <c r="W12" s="89"/>
      <c r="X12" s="88"/>
      <c r="Y12" s="89"/>
      <c r="Z12" s="88"/>
      <c r="AA12" s="89"/>
      <c r="AB12" s="88"/>
      <c r="AC12" s="89"/>
      <c r="AD12" s="88">
        <v>6.9</v>
      </c>
      <c r="AE12" s="89">
        <v>55</v>
      </c>
      <c r="AF12" s="88">
        <v>0.9</v>
      </c>
      <c r="AG12" s="89">
        <v>40</v>
      </c>
      <c r="AH12" s="88"/>
      <c r="AI12" s="89"/>
      <c r="AJ12" s="88">
        <v>5</v>
      </c>
      <c r="AK12" s="90">
        <v>30</v>
      </c>
      <c r="AL12" s="88">
        <v>1</v>
      </c>
      <c r="AM12" s="89">
        <v>60</v>
      </c>
      <c r="AN12" s="88">
        <v>0.1</v>
      </c>
      <c r="AO12" s="89">
        <v>10</v>
      </c>
      <c r="AP12" s="88"/>
      <c r="AQ12" s="90"/>
      <c r="AR12" s="88"/>
      <c r="AS12" s="89"/>
      <c r="AT12" s="88"/>
      <c r="AU12" s="90"/>
      <c r="AV12" s="88"/>
      <c r="AW12" s="90"/>
      <c r="AX12" s="91">
        <v>4</v>
      </c>
      <c r="AY12" s="92">
        <f t="shared" si="0"/>
        <v>13.9</v>
      </c>
      <c r="AZ12" s="93">
        <f t="shared" si="0"/>
        <v>195</v>
      </c>
      <c r="BA12" s="94">
        <f t="shared" si="1"/>
        <v>6.9</v>
      </c>
      <c r="BB12" s="95">
        <f t="shared" si="2"/>
        <v>5</v>
      </c>
      <c r="BC12" s="214"/>
      <c r="BD12" s="197">
        <f t="shared" si="3"/>
        <v>1</v>
      </c>
      <c r="BE12" s="98">
        <f t="shared" si="4"/>
        <v>0</v>
      </c>
      <c r="BF12" s="99"/>
      <c r="BG12" s="86">
        <f>fevereiro!$BE13</f>
        <v>13.9</v>
      </c>
      <c r="BH12" s="97"/>
      <c r="BI12" s="197">
        <f t="shared" si="5"/>
        <v>0</v>
      </c>
    </row>
    <row r="13" spans="1:61" ht="21" customHeight="1">
      <c r="A13" s="71">
        <v>5</v>
      </c>
      <c r="B13" s="88"/>
      <c r="C13" s="89"/>
      <c r="D13" s="88"/>
      <c r="E13" s="89"/>
      <c r="F13" s="88"/>
      <c r="G13" s="89"/>
      <c r="H13" s="88"/>
      <c r="I13" s="89"/>
      <c r="J13" s="88"/>
      <c r="K13" s="89"/>
      <c r="L13" s="88"/>
      <c r="M13" s="89"/>
      <c r="N13" s="88"/>
      <c r="O13" s="89"/>
      <c r="P13" s="88"/>
      <c r="Q13" s="89"/>
      <c r="R13" s="88"/>
      <c r="S13" s="89"/>
      <c r="T13" s="88"/>
      <c r="U13" s="89"/>
      <c r="V13" s="88"/>
      <c r="W13" s="89"/>
      <c r="X13" s="88"/>
      <c r="Y13" s="89"/>
      <c r="Z13" s="88"/>
      <c r="AA13" s="89"/>
      <c r="AB13" s="88"/>
      <c r="AC13" s="89"/>
      <c r="AD13" s="88"/>
      <c r="AE13" s="89"/>
      <c r="AF13" s="88"/>
      <c r="AG13" s="89"/>
      <c r="AH13" s="88"/>
      <c r="AI13" s="89"/>
      <c r="AJ13" s="88"/>
      <c r="AK13" s="90"/>
      <c r="AL13" s="88"/>
      <c r="AM13" s="89"/>
      <c r="AN13" s="88"/>
      <c r="AO13" s="89"/>
      <c r="AP13" s="88"/>
      <c r="AQ13" s="90"/>
      <c r="AR13" s="88"/>
      <c r="AS13" s="89"/>
      <c r="AT13" s="88"/>
      <c r="AU13" s="90"/>
      <c r="AV13" s="88"/>
      <c r="AW13" s="90"/>
      <c r="AX13" s="91">
        <v>5</v>
      </c>
      <c r="AY13" s="92">
        <f t="shared" si="0"/>
        <v>0</v>
      </c>
      <c r="AZ13" s="93">
        <f t="shared" si="0"/>
        <v>0</v>
      </c>
      <c r="BA13" s="94">
        <f t="shared" si="1"/>
        <v>0</v>
      </c>
      <c r="BB13" s="95">
        <f t="shared" si="2"/>
        <v>0</v>
      </c>
      <c r="BC13" s="214"/>
      <c r="BD13" s="197">
        <f t="shared" si="3"/>
        <v>0</v>
      </c>
      <c r="BE13" s="98">
        <f t="shared" si="4"/>
        <v>13.9</v>
      </c>
      <c r="BF13" s="99"/>
      <c r="BG13" s="86">
        <f>fevereiro!$BE14</f>
        <v>0</v>
      </c>
      <c r="BH13" s="97"/>
      <c r="BI13" s="197">
        <f t="shared" si="5"/>
        <v>0</v>
      </c>
    </row>
    <row r="14" spans="1:61" ht="21" customHeight="1">
      <c r="A14" s="71">
        <v>6</v>
      </c>
      <c r="B14" s="88"/>
      <c r="C14" s="89"/>
      <c r="D14" s="88"/>
      <c r="E14" s="89"/>
      <c r="F14" s="88"/>
      <c r="G14" s="89"/>
      <c r="H14" s="88"/>
      <c r="I14" s="89"/>
      <c r="J14" s="88"/>
      <c r="K14" s="89"/>
      <c r="L14" s="88"/>
      <c r="M14" s="89"/>
      <c r="N14" s="88"/>
      <c r="O14" s="89"/>
      <c r="P14" s="88"/>
      <c r="Q14" s="89"/>
      <c r="R14" s="88"/>
      <c r="S14" s="89"/>
      <c r="T14" s="88"/>
      <c r="U14" s="89"/>
      <c r="V14" s="88"/>
      <c r="W14" s="89"/>
      <c r="X14" s="88"/>
      <c r="Y14" s="89"/>
      <c r="Z14" s="88"/>
      <c r="AA14" s="89"/>
      <c r="AB14" s="88"/>
      <c r="AC14" s="89"/>
      <c r="AD14" s="88"/>
      <c r="AE14" s="89"/>
      <c r="AF14" s="88"/>
      <c r="AG14" s="89"/>
      <c r="AH14" s="88"/>
      <c r="AI14" s="89"/>
      <c r="AJ14" s="88"/>
      <c r="AK14" s="90"/>
      <c r="AL14" s="88"/>
      <c r="AM14" s="89"/>
      <c r="AN14" s="88"/>
      <c r="AO14" s="89"/>
      <c r="AP14" s="88"/>
      <c r="AQ14" s="90"/>
      <c r="AR14" s="88"/>
      <c r="AS14" s="89"/>
      <c r="AT14" s="88"/>
      <c r="AU14" s="90"/>
      <c r="AV14" s="88"/>
      <c r="AW14" s="90"/>
      <c r="AX14" s="91">
        <v>6</v>
      </c>
      <c r="AY14" s="92">
        <f t="shared" si="0"/>
        <v>0</v>
      </c>
      <c r="AZ14" s="93">
        <f t="shared" si="0"/>
        <v>0</v>
      </c>
      <c r="BA14" s="94">
        <f t="shared" si="1"/>
        <v>0</v>
      </c>
      <c r="BB14" s="95">
        <f t="shared" si="2"/>
        <v>0</v>
      </c>
      <c r="BC14" s="214"/>
      <c r="BD14" s="197">
        <f t="shared" si="3"/>
        <v>0</v>
      </c>
      <c r="BE14" s="98">
        <f t="shared" si="4"/>
        <v>0</v>
      </c>
      <c r="BF14" s="99"/>
      <c r="BG14" s="86">
        <f>fevereiro!$BE15</f>
        <v>0</v>
      </c>
      <c r="BH14" s="97"/>
      <c r="BI14" s="197">
        <f t="shared" si="5"/>
        <v>0</v>
      </c>
    </row>
    <row r="15" spans="1:61" ht="21" customHeight="1">
      <c r="A15" s="71">
        <v>7</v>
      </c>
      <c r="B15" s="88"/>
      <c r="C15" s="89"/>
      <c r="D15" s="88"/>
      <c r="E15" s="89"/>
      <c r="F15" s="88"/>
      <c r="G15" s="89"/>
      <c r="H15" s="88"/>
      <c r="I15" s="89"/>
      <c r="J15" s="88"/>
      <c r="K15" s="89"/>
      <c r="L15" s="88"/>
      <c r="M15" s="89"/>
      <c r="N15" s="88"/>
      <c r="O15" s="89"/>
      <c r="P15" s="88"/>
      <c r="Q15" s="89"/>
      <c r="R15" s="88"/>
      <c r="S15" s="89"/>
      <c r="T15" s="88"/>
      <c r="U15" s="89"/>
      <c r="V15" s="88"/>
      <c r="W15" s="89"/>
      <c r="X15" s="88"/>
      <c r="Y15" s="89"/>
      <c r="Z15" s="88"/>
      <c r="AA15" s="89"/>
      <c r="AB15" s="88"/>
      <c r="AC15" s="89"/>
      <c r="AD15" s="88"/>
      <c r="AE15" s="89"/>
      <c r="AF15" s="88"/>
      <c r="AG15" s="89"/>
      <c r="AH15" s="88"/>
      <c r="AI15" s="89"/>
      <c r="AJ15" s="88"/>
      <c r="AK15" s="90"/>
      <c r="AL15" s="88"/>
      <c r="AM15" s="89"/>
      <c r="AN15" s="88"/>
      <c r="AO15" s="89"/>
      <c r="AP15" s="88"/>
      <c r="AQ15" s="90"/>
      <c r="AR15" s="88"/>
      <c r="AS15" s="89"/>
      <c r="AT15" s="88"/>
      <c r="AU15" s="90"/>
      <c r="AV15" s="88"/>
      <c r="AW15" s="90"/>
      <c r="AX15" s="91">
        <v>7</v>
      </c>
      <c r="AY15" s="92">
        <f t="shared" si="0"/>
        <v>0</v>
      </c>
      <c r="AZ15" s="93">
        <f t="shared" si="0"/>
        <v>0</v>
      </c>
      <c r="BA15" s="94">
        <f t="shared" si="1"/>
        <v>0</v>
      </c>
      <c r="BB15" s="95">
        <f t="shared" si="2"/>
        <v>0</v>
      </c>
      <c r="BC15" s="214"/>
      <c r="BD15" s="197">
        <f t="shared" si="3"/>
        <v>0</v>
      </c>
      <c r="BE15" s="98">
        <f t="shared" si="4"/>
        <v>0</v>
      </c>
      <c r="BF15" s="99"/>
      <c r="BG15" s="86">
        <f>fevereiro!$BE16</f>
        <v>0</v>
      </c>
      <c r="BH15" s="97"/>
      <c r="BI15" s="197">
        <f t="shared" si="5"/>
        <v>0</v>
      </c>
    </row>
    <row r="16" spans="1:61" ht="21" customHeight="1">
      <c r="A16" s="71">
        <v>8</v>
      </c>
      <c r="B16" s="88"/>
      <c r="C16" s="89"/>
      <c r="D16" s="88"/>
      <c r="E16" s="89"/>
      <c r="F16" s="88"/>
      <c r="G16" s="89"/>
      <c r="H16" s="88"/>
      <c r="I16" s="89"/>
      <c r="J16" s="88"/>
      <c r="K16" s="89"/>
      <c r="L16" s="88"/>
      <c r="M16" s="89"/>
      <c r="N16" s="88"/>
      <c r="O16" s="89"/>
      <c r="P16" s="88"/>
      <c r="Q16" s="89"/>
      <c r="R16" s="88"/>
      <c r="S16" s="89"/>
      <c r="T16" s="88"/>
      <c r="U16" s="89"/>
      <c r="V16" s="88"/>
      <c r="W16" s="89"/>
      <c r="X16" s="88"/>
      <c r="Y16" s="89"/>
      <c r="Z16" s="88"/>
      <c r="AA16" s="89"/>
      <c r="AB16" s="88"/>
      <c r="AC16" s="89"/>
      <c r="AD16" s="88"/>
      <c r="AE16" s="89"/>
      <c r="AF16" s="88"/>
      <c r="AG16" s="89"/>
      <c r="AH16" s="88"/>
      <c r="AI16" s="89"/>
      <c r="AJ16" s="88"/>
      <c r="AK16" s="90"/>
      <c r="AL16" s="88"/>
      <c r="AM16" s="89"/>
      <c r="AN16" s="88"/>
      <c r="AO16" s="89"/>
      <c r="AP16" s="88"/>
      <c r="AQ16" s="90"/>
      <c r="AR16" s="88"/>
      <c r="AS16" s="89"/>
      <c r="AT16" s="88"/>
      <c r="AU16" s="90"/>
      <c r="AV16" s="88"/>
      <c r="AW16" s="90"/>
      <c r="AX16" s="91">
        <v>8</v>
      </c>
      <c r="AY16" s="92">
        <f t="shared" si="0"/>
        <v>0</v>
      </c>
      <c r="AZ16" s="93">
        <f t="shared" si="0"/>
        <v>0</v>
      </c>
      <c r="BA16" s="94">
        <f t="shared" si="1"/>
        <v>0</v>
      </c>
      <c r="BB16" s="95">
        <f t="shared" si="2"/>
        <v>0</v>
      </c>
      <c r="BC16" s="216"/>
      <c r="BD16" s="197">
        <f t="shared" si="3"/>
        <v>0</v>
      </c>
      <c r="BE16" s="98">
        <f t="shared" si="4"/>
        <v>0</v>
      </c>
      <c r="BF16" s="99"/>
      <c r="BG16" s="86">
        <f>fevereiro!$BE17</f>
        <v>0</v>
      </c>
      <c r="BH16" s="97"/>
      <c r="BI16" s="197">
        <f t="shared" si="5"/>
        <v>0</v>
      </c>
    </row>
    <row r="17" spans="1:61" ht="21" customHeight="1">
      <c r="A17" s="71">
        <v>9</v>
      </c>
      <c r="B17" s="88"/>
      <c r="C17" s="89"/>
      <c r="D17" s="88"/>
      <c r="E17" s="89"/>
      <c r="F17" s="88"/>
      <c r="G17" s="89"/>
      <c r="H17" s="88"/>
      <c r="I17" s="89"/>
      <c r="J17" s="88"/>
      <c r="K17" s="89"/>
      <c r="L17" s="88"/>
      <c r="M17" s="89"/>
      <c r="N17" s="88"/>
      <c r="O17" s="89"/>
      <c r="P17" s="88"/>
      <c r="Q17" s="89"/>
      <c r="R17" s="88"/>
      <c r="S17" s="89"/>
      <c r="T17" s="88"/>
      <c r="U17" s="89"/>
      <c r="V17" s="88"/>
      <c r="W17" s="89"/>
      <c r="X17" s="88"/>
      <c r="Y17" s="89"/>
      <c r="Z17" s="88"/>
      <c r="AA17" s="89"/>
      <c r="AB17" s="88"/>
      <c r="AC17" s="89"/>
      <c r="AD17" s="88"/>
      <c r="AE17" s="89"/>
      <c r="AF17" s="88"/>
      <c r="AG17" s="89"/>
      <c r="AH17" s="88"/>
      <c r="AI17" s="89"/>
      <c r="AJ17" s="88"/>
      <c r="AK17" s="90"/>
      <c r="AL17" s="88"/>
      <c r="AM17" s="89"/>
      <c r="AN17" s="88"/>
      <c r="AO17" s="89"/>
      <c r="AP17" s="88"/>
      <c r="AQ17" s="90"/>
      <c r="AR17" s="88"/>
      <c r="AS17" s="89"/>
      <c r="AT17" s="88"/>
      <c r="AU17" s="90"/>
      <c r="AV17" s="88"/>
      <c r="AW17" s="90"/>
      <c r="AX17" s="91">
        <v>9</v>
      </c>
      <c r="AY17" s="92">
        <f>B17+D17+F17+H17+J17+L17+N17+P17+R17+T17+V17+X17+Z17+AB17+AD17+AF17+AH17+AJ17+AL17+AN17+AP17+AR17+AT17+AV17</f>
        <v>0</v>
      </c>
      <c r="AZ17" s="93">
        <f t="shared" si="0"/>
        <v>0</v>
      </c>
      <c r="BA17" s="94">
        <f t="shared" si="1"/>
        <v>0</v>
      </c>
      <c r="BB17" s="95">
        <f t="shared" si="2"/>
        <v>0</v>
      </c>
      <c r="BC17" s="216"/>
      <c r="BD17" s="197">
        <f t="shared" si="3"/>
        <v>0</v>
      </c>
      <c r="BE17" s="98">
        <f t="shared" si="4"/>
        <v>0</v>
      </c>
      <c r="BF17" s="99"/>
      <c r="BG17" s="86">
        <f>fevereiro!$BE18</f>
        <v>0</v>
      </c>
      <c r="BH17" s="97"/>
      <c r="BI17" s="197">
        <f t="shared" si="5"/>
        <v>0</v>
      </c>
    </row>
    <row r="18" spans="1:61" ht="21" customHeight="1">
      <c r="A18" s="71">
        <v>10</v>
      </c>
      <c r="B18" s="88"/>
      <c r="C18" s="89"/>
      <c r="D18" s="88"/>
      <c r="E18" s="89"/>
      <c r="F18" s="88"/>
      <c r="G18" s="89"/>
      <c r="H18" s="88"/>
      <c r="I18" s="89"/>
      <c r="J18" s="88"/>
      <c r="K18" s="89"/>
      <c r="L18" s="88"/>
      <c r="M18" s="89"/>
      <c r="N18" s="88"/>
      <c r="O18" s="89"/>
      <c r="P18" s="88"/>
      <c r="Q18" s="89"/>
      <c r="R18" s="88"/>
      <c r="S18" s="89"/>
      <c r="T18" s="88"/>
      <c r="U18" s="89"/>
      <c r="V18" s="88"/>
      <c r="W18" s="89"/>
      <c r="X18" s="88"/>
      <c r="Y18" s="89"/>
      <c r="Z18" s="88"/>
      <c r="AA18" s="89"/>
      <c r="AB18" s="88"/>
      <c r="AC18" s="89"/>
      <c r="AD18" s="88"/>
      <c r="AE18" s="89"/>
      <c r="AF18" s="88"/>
      <c r="AG18" s="89"/>
      <c r="AH18" s="88"/>
      <c r="AI18" s="89"/>
      <c r="AJ18" s="88"/>
      <c r="AK18" s="90"/>
      <c r="AL18" s="88"/>
      <c r="AM18" s="89"/>
      <c r="AN18" s="88"/>
      <c r="AO18" s="89"/>
      <c r="AP18" s="88"/>
      <c r="AQ18" s="90"/>
      <c r="AR18" s="88"/>
      <c r="AS18" s="89"/>
      <c r="AT18" s="88"/>
      <c r="AU18" s="90"/>
      <c r="AV18" s="88"/>
      <c r="AW18" s="90"/>
      <c r="AX18" s="91">
        <v>10</v>
      </c>
      <c r="AY18" s="92">
        <f t="shared" si="0"/>
        <v>0</v>
      </c>
      <c r="AZ18" s="93">
        <f t="shared" si="0"/>
        <v>0</v>
      </c>
      <c r="BA18" s="94">
        <f t="shared" si="1"/>
        <v>0</v>
      </c>
      <c r="BB18" s="95">
        <f t="shared" si="2"/>
        <v>0</v>
      </c>
      <c r="BC18" s="214"/>
      <c r="BD18" s="197">
        <f t="shared" si="3"/>
        <v>0</v>
      </c>
      <c r="BE18" s="98">
        <f t="shared" si="4"/>
        <v>0</v>
      </c>
      <c r="BF18" s="99"/>
      <c r="BG18" s="86">
        <f>fevereiro!$BE19</f>
        <v>0</v>
      </c>
      <c r="BH18" s="97"/>
      <c r="BI18" s="197">
        <f t="shared" si="5"/>
        <v>0</v>
      </c>
    </row>
    <row r="19" spans="1:61" ht="21" customHeight="1">
      <c r="A19" s="71">
        <v>11</v>
      </c>
      <c r="B19" s="88"/>
      <c r="C19" s="89"/>
      <c r="D19" s="88"/>
      <c r="E19" s="89"/>
      <c r="F19" s="88"/>
      <c r="G19" s="89"/>
      <c r="H19" s="88"/>
      <c r="I19" s="89"/>
      <c r="J19" s="88"/>
      <c r="K19" s="89"/>
      <c r="L19" s="88"/>
      <c r="M19" s="89"/>
      <c r="N19" s="88"/>
      <c r="O19" s="89"/>
      <c r="P19" s="88"/>
      <c r="Q19" s="89"/>
      <c r="R19" s="88"/>
      <c r="S19" s="89"/>
      <c r="T19" s="88"/>
      <c r="U19" s="89"/>
      <c r="V19" s="88"/>
      <c r="W19" s="89"/>
      <c r="X19" s="88"/>
      <c r="Y19" s="89"/>
      <c r="Z19" s="88"/>
      <c r="AA19" s="89"/>
      <c r="AB19" s="88"/>
      <c r="AC19" s="89"/>
      <c r="AD19" s="88"/>
      <c r="AE19" s="89"/>
      <c r="AF19" s="88"/>
      <c r="AG19" s="89"/>
      <c r="AH19" s="88"/>
      <c r="AI19" s="89"/>
      <c r="AJ19" s="88"/>
      <c r="AK19" s="90"/>
      <c r="AL19" s="88">
        <v>0.1</v>
      </c>
      <c r="AM19" s="89">
        <v>15</v>
      </c>
      <c r="AN19" s="88"/>
      <c r="AO19" s="89"/>
      <c r="AP19" s="88"/>
      <c r="AQ19" s="90"/>
      <c r="AR19" s="88"/>
      <c r="AS19" s="89"/>
      <c r="AT19" s="88"/>
      <c r="AU19" s="90"/>
      <c r="AV19" s="88"/>
      <c r="AW19" s="90"/>
      <c r="AX19" s="91">
        <v>11</v>
      </c>
      <c r="AY19" s="92">
        <f t="shared" si="0"/>
        <v>0.1</v>
      </c>
      <c r="AZ19" s="93">
        <f t="shared" si="0"/>
        <v>15</v>
      </c>
      <c r="BA19" s="94">
        <f t="shared" si="1"/>
        <v>0.1</v>
      </c>
      <c r="BB19" s="95">
        <f t="shared" si="2"/>
        <v>1</v>
      </c>
      <c r="BC19" s="214"/>
      <c r="BD19" s="197">
        <f t="shared" si="3"/>
        <v>1</v>
      </c>
      <c r="BE19" s="98">
        <f t="shared" si="4"/>
        <v>0</v>
      </c>
      <c r="BF19" s="99"/>
      <c r="BG19" s="86">
        <f>fevereiro!$BE20</f>
        <v>0.1</v>
      </c>
      <c r="BH19" s="97"/>
      <c r="BI19" s="197">
        <f t="shared" si="5"/>
        <v>0</v>
      </c>
    </row>
    <row r="20" spans="1:61" ht="21" customHeight="1">
      <c r="A20" s="71">
        <v>12</v>
      </c>
      <c r="B20" s="88"/>
      <c r="C20" s="89"/>
      <c r="D20" s="88"/>
      <c r="E20" s="89"/>
      <c r="F20" s="88"/>
      <c r="G20" s="89"/>
      <c r="H20" s="88"/>
      <c r="I20" s="89"/>
      <c r="J20" s="88"/>
      <c r="K20" s="89"/>
      <c r="L20" s="88"/>
      <c r="M20" s="89"/>
      <c r="N20" s="88"/>
      <c r="O20" s="89"/>
      <c r="P20" s="88"/>
      <c r="Q20" s="89"/>
      <c r="R20" s="88"/>
      <c r="S20" s="89"/>
      <c r="T20" s="88"/>
      <c r="U20" s="89"/>
      <c r="V20" s="88"/>
      <c r="W20" s="89"/>
      <c r="X20" s="88"/>
      <c r="Y20" s="89"/>
      <c r="Z20" s="88"/>
      <c r="AA20" s="89"/>
      <c r="AB20" s="88"/>
      <c r="AC20" s="89"/>
      <c r="AD20" s="88"/>
      <c r="AE20" s="89"/>
      <c r="AF20" s="88"/>
      <c r="AG20" s="89"/>
      <c r="AH20" s="88"/>
      <c r="AI20" s="89"/>
      <c r="AJ20" s="88"/>
      <c r="AK20" s="90"/>
      <c r="AL20" s="88"/>
      <c r="AM20" s="89"/>
      <c r="AN20" s="88"/>
      <c r="AO20" s="89"/>
      <c r="AP20" s="88"/>
      <c r="AQ20" s="90"/>
      <c r="AR20" s="88"/>
      <c r="AS20" s="89"/>
      <c r="AT20" s="88"/>
      <c r="AU20" s="90"/>
      <c r="AV20" s="88"/>
      <c r="AW20" s="90"/>
      <c r="AX20" s="91">
        <v>12</v>
      </c>
      <c r="AY20" s="92">
        <f t="shared" si="0"/>
        <v>0</v>
      </c>
      <c r="AZ20" s="93">
        <f t="shared" si="0"/>
        <v>0</v>
      </c>
      <c r="BA20" s="94">
        <f t="shared" si="1"/>
        <v>0</v>
      </c>
      <c r="BB20" s="95">
        <f t="shared" si="2"/>
        <v>0</v>
      </c>
      <c r="BC20" s="214"/>
      <c r="BD20" s="197">
        <f t="shared" si="3"/>
        <v>0</v>
      </c>
      <c r="BE20" s="98">
        <f>P19+R19+T19+V19+X19+Z19+AB19+AD19+AF19+AH19+AJ19+AL19+AN19+AP19+AR19+AT19+AV19+B20+D20+F20+H20+J20+L20+N20</f>
        <v>0.1</v>
      </c>
      <c r="BF20" s="99"/>
      <c r="BG20" s="86">
        <f>fevereiro!$BE21</f>
        <v>0</v>
      </c>
      <c r="BH20" s="97"/>
      <c r="BI20" s="197">
        <f t="shared" si="5"/>
        <v>0</v>
      </c>
    </row>
    <row r="21" spans="1:61" ht="21" customHeight="1">
      <c r="A21" s="71">
        <v>13</v>
      </c>
      <c r="B21" s="88"/>
      <c r="C21" s="89"/>
      <c r="D21" s="88"/>
      <c r="E21" s="89"/>
      <c r="F21" s="88"/>
      <c r="G21" s="89"/>
      <c r="H21" s="88"/>
      <c r="I21" s="89"/>
      <c r="J21" s="88"/>
      <c r="K21" s="89"/>
      <c r="L21" s="88"/>
      <c r="M21" s="89"/>
      <c r="N21" s="88"/>
      <c r="O21" s="89"/>
      <c r="P21" s="88"/>
      <c r="Q21" s="89"/>
      <c r="R21" s="88"/>
      <c r="S21" s="89"/>
      <c r="T21" s="88"/>
      <c r="U21" s="89"/>
      <c r="V21" s="88"/>
      <c r="W21" s="89"/>
      <c r="X21" s="88"/>
      <c r="Y21" s="89"/>
      <c r="Z21" s="88"/>
      <c r="AA21" s="89"/>
      <c r="AB21" s="88"/>
      <c r="AC21" s="89"/>
      <c r="AD21" s="88"/>
      <c r="AE21" s="89"/>
      <c r="AF21" s="88"/>
      <c r="AG21" s="89"/>
      <c r="AH21" s="88"/>
      <c r="AI21" s="89"/>
      <c r="AJ21" s="88"/>
      <c r="AK21" s="90"/>
      <c r="AL21" s="88"/>
      <c r="AM21" s="89"/>
      <c r="AN21" s="88"/>
      <c r="AO21" s="89"/>
      <c r="AP21" s="88"/>
      <c r="AQ21" s="90"/>
      <c r="AR21" s="88">
        <v>9.3000000000000007</v>
      </c>
      <c r="AS21" s="89">
        <v>30</v>
      </c>
      <c r="AT21" s="88">
        <v>25.8</v>
      </c>
      <c r="AU21" s="90">
        <v>60</v>
      </c>
      <c r="AV21" s="88">
        <v>20.100000000000001</v>
      </c>
      <c r="AW21" s="90">
        <v>60</v>
      </c>
      <c r="AX21" s="91">
        <v>13</v>
      </c>
      <c r="AY21" s="92">
        <f t="shared" si="0"/>
        <v>55.2</v>
      </c>
      <c r="AZ21" s="93">
        <f t="shared" si="0"/>
        <v>150</v>
      </c>
      <c r="BA21" s="94">
        <f t="shared" si="1"/>
        <v>25.8</v>
      </c>
      <c r="BB21" s="95">
        <f t="shared" si="2"/>
        <v>3</v>
      </c>
      <c r="BC21" s="214"/>
      <c r="BD21" s="197">
        <f t="shared" si="3"/>
        <v>1</v>
      </c>
      <c r="BE21" s="98">
        <f t="shared" si="4"/>
        <v>0</v>
      </c>
      <c r="BF21" s="99"/>
      <c r="BG21" s="86">
        <f>fevereiro!$BE22</f>
        <v>64.2</v>
      </c>
      <c r="BH21" s="97"/>
      <c r="BI21" s="197">
        <f t="shared" si="5"/>
        <v>0</v>
      </c>
    </row>
    <row r="22" spans="1:61" ht="21" customHeight="1">
      <c r="A22" s="71">
        <v>14</v>
      </c>
      <c r="B22" s="88">
        <v>4.9000000000000004</v>
      </c>
      <c r="C22" s="89">
        <v>60</v>
      </c>
      <c r="D22" s="88">
        <v>2.4</v>
      </c>
      <c r="E22" s="89">
        <v>60</v>
      </c>
      <c r="F22" s="88">
        <v>1.4</v>
      </c>
      <c r="G22" s="89">
        <v>60</v>
      </c>
      <c r="H22" s="88">
        <v>0.3</v>
      </c>
      <c r="I22" s="89">
        <v>60</v>
      </c>
      <c r="J22" s="88"/>
      <c r="K22" s="89"/>
      <c r="L22" s="88"/>
      <c r="M22" s="89"/>
      <c r="N22" s="88"/>
      <c r="O22" s="89"/>
      <c r="P22" s="88"/>
      <c r="Q22" s="89"/>
      <c r="R22" s="88"/>
      <c r="S22" s="89"/>
      <c r="T22" s="88"/>
      <c r="U22" s="89"/>
      <c r="V22" s="88">
        <v>1.2</v>
      </c>
      <c r="W22" s="89">
        <v>15</v>
      </c>
      <c r="X22" s="88"/>
      <c r="Y22" s="89"/>
      <c r="Z22" s="88">
        <v>0.3</v>
      </c>
      <c r="AA22" s="89">
        <v>5</v>
      </c>
      <c r="AB22" s="88">
        <v>1.5</v>
      </c>
      <c r="AC22" s="89">
        <v>55</v>
      </c>
      <c r="AD22" s="88"/>
      <c r="AE22" s="89"/>
      <c r="AF22" s="88"/>
      <c r="AG22" s="89"/>
      <c r="AH22" s="88"/>
      <c r="AI22" s="89"/>
      <c r="AJ22" s="88">
        <v>1.1000000000000001</v>
      </c>
      <c r="AK22" s="90">
        <v>40</v>
      </c>
      <c r="AL22" s="88"/>
      <c r="AM22" s="89"/>
      <c r="AN22" s="88"/>
      <c r="AO22" s="89"/>
      <c r="AP22" s="88">
        <v>0.2</v>
      </c>
      <c r="AQ22" s="90">
        <v>10</v>
      </c>
      <c r="AR22" s="88">
        <v>2.2999999999999998</v>
      </c>
      <c r="AS22" s="89">
        <v>60</v>
      </c>
      <c r="AT22" s="88">
        <v>6.3</v>
      </c>
      <c r="AU22" s="90">
        <v>60</v>
      </c>
      <c r="AV22" s="88">
        <v>0.4</v>
      </c>
      <c r="AW22" s="90">
        <v>15</v>
      </c>
      <c r="AX22" s="91">
        <v>14</v>
      </c>
      <c r="AY22" s="92">
        <f t="shared" si="0"/>
        <v>22.3</v>
      </c>
      <c r="AZ22" s="93">
        <f t="shared" si="0"/>
        <v>500</v>
      </c>
      <c r="BA22" s="94">
        <f t="shared" si="1"/>
        <v>6.3</v>
      </c>
      <c r="BB22" s="95">
        <f t="shared" si="2"/>
        <v>12</v>
      </c>
      <c r="BC22" s="214"/>
      <c r="BD22" s="197">
        <f t="shared" si="3"/>
        <v>1</v>
      </c>
      <c r="BE22" s="98">
        <f t="shared" si="4"/>
        <v>64.2</v>
      </c>
      <c r="BF22" s="99"/>
      <c r="BG22" s="86">
        <f>fevereiro!$BE23</f>
        <v>16.5</v>
      </c>
      <c r="BH22" s="97"/>
      <c r="BI22" s="197">
        <f t="shared" si="5"/>
        <v>0</v>
      </c>
    </row>
    <row r="23" spans="1:61" ht="21" customHeight="1">
      <c r="A23" s="71">
        <v>15</v>
      </c>
      <c r="B23" s="88">
        <v>0.2</v>
      </c>
      <c r="C23" s="89">
        <v>10</v>
      </c>
      <c r="D23" s="88">
        <v>0.6</v>
      </c>
      <c r="E23" s="89">
        <v>30</v>
      </c>
      <c r="F23" s="88">
        <v>1.2</v>
      </c>
      <c r="G23" s="89">
        <v>55</v>
      </c>
      <c r="H23" s="88">
        <v>0.3</v>
      </c>
      <c r="I23" s="89">
        <v>25</v>
      </c>
      <c r="J23" s="88">
        <v>0.5</v>
      </c>
      <c r="K23" s="89">
        <v>30</v>
      </c>
      <c r="L23" s="88">
        <v>0.3</v>
      </c>
      <c r="M23" s="89">
        <v>10</v>
      </c>
      <c r="N23" s="88">
        <v>0.1</v>
      </c>
      <c r="O23" s="89">
        <v>5</v>
      </c>
      <c r="P23" s="88"/>
      <c r="Q23" s="89"/>
      <c r="R23" s="88"/>
      <c r="S23" s="89"/>
      <c r="T23" s="88">
        <v>0.3</v>
      </c>
      <c r="U23" s="89">
        <v>10</v>
      </c>
      <c r="V23" s="88">
        <v>0.2</v>
      </c>
      <c r="W23" s="89">
        <v>20</v>
      </c>
      <c r="X23" s="88">
        <v>0.4</v>
      </c>
      <c r="Y23" s="89">
        <v>15</v>
      </c>
      <c r="Z23" s="88"/>
      <c r="AA23" s="89"/>
      <c r="AB23" s="88">
        <v>0.3</v>
      </c>
      <c r="AC23" s="89">
        <v>20</v>
      </c>
      <c r="AD23" s="88">
        <v>0.6</v>
      </c>
      <c r="AE23" s="89">
        <v>30</v>
      </c>
      <c r="AF23" s="88">
        <v>0.2</v>
      </c>
      <c r="AG23" s="89">
        <v>20</v>
      </c>
      <c r="AH23" s="88"/>
      <c r="AI23" s="89"/>
      <c r="AJ23" s="88"/>
      <c r="AK23" s="90"/>
      <c r="AL23" s="88"/>
      <c r="AM23" s="89"/>
      <c r="AN23" s="88">
        <v>0.2</v>
      </c>
      <c r="AO23" s="89">
        <v>10</v>
      </c>
      <c r="AP23" s="88"/>
      <c r="AQ23" s="90"/>
      <c r="AR23" s="88">
        <v>0.2</v>
      </c>
      <c r="AS23" s="89">
        <v>15</v>
      </c>
      <c r="AT23" s="88"/>
      <c r="AU23" s="90"/>
      <c r="AV23" s="88"/>
      <c r="AW23" s="90"/>
      <c r="AX23" s="91">
        <v>15</v>
      </c>
      <c r="AY23" s="92">
        <f t="shared" si="0"/>
        <v>5.6</v>
      </c>
      <c r="AZ23" s="93">
        <f t="shared" si="0"/>
        <v>305</v>
      </c>
      <c r="BA23" s="94">
        <f t="shared" si="1"/>
        <v>1.2</v>
      </c>
      <c r="BB23" s="95">
        <f t="shared" si="2"/>
        <v>15</v>
      </c>
      <c r="BC23" s="214"/>
      <c r="BD23" s="197">
        <f t="shared" si="3"/>
        <v>1</v>
      </c>
      <c r="BE23" s="98">
        <f t="shared" si="4"/>
        <v>16.5</v>
      </c>
      <c r="BF23" s="99"/>
      <c r="BG23" s="86">
        <f>fevereiro!$BE24</f>
        <v>2.5</v>
      </c>
      <c r="BH23" s="97"/>
      <c r="BI23" s="197">
        <f t="shared" si="5"/>
        <v>0</v>
      </c>
    </row>
    <row r="24" spans="1:61" ht="21" customHeight="1">
      <c r="A24" s="71">
        <v>16</v>
      </c>
      <c r="B24" s="88"/>
      <c r="C24" s="89"/>
      <c r="D24" s="88"/>
      <c r="E24" s="89"/>
      <c r="F24" s="88"/>
      <c r="G24" s="89"/>
      <c r="H24" s="88"/>
      <c r="I24" s="89"/>
      <c r="J24" s="88"/>
      <c r="K24" s="89"/>
      <c r="L24" s="88"/>
      <c r="M24" s="89"/>
      <c r="N24" s="88">
        <v>0.1</v>
      </c>
      <c r="O24" s="89"/>
      <c r="P24" s="88"/>
      <c r="Q24" s="89"/>
      <c r="R24" s="88"/>
      <c r="S24" s="89"/>
      <c r="T24" s="88"/>
      <c r="U24" s="89"/>
      <c r="V24" s="88"/>
      <c r="W24" s="89"/>
      <c r="X24" s="88"/>
      <c r="Y24" s="89"/>
      <c r="Z24" s="88"/>
      <c r="AA24" s="89"/>
      <c r="AB24" s="88"/>
      <c r="AC24" s="89"/>
      <c r="AD24" s="88"/>
      <c r="AE24" s="89"/>
      <c r="AF24" s="88"/>
      <c r="AG24" s="89"/>
      <c r="AH24" s="88"/>
      <c r="AI24" s="89"/>
      <c r="AJ24" s="88"/>
      <c r="AK24" s="90"/>
      <c r="AL24" s="88"/>
      <c r="AM24" s="89"/>
      <c r="AN24" s="88"/>
      <c r="AO24" s="89"/>
      <c r="AP24" s="88"/>
      <c r="AQ24" s="90"/>
      <c r="AR24" s="88"/>
      <c r="AS24" s="89"/>
      <c r="AT24" s="88"/>
      <c r="AU24" s="90"/>
      <c r="AV24" s="88"/>
      <c r="AW24" s="90"/>
      <c r="AX24" s="91">
        <v>16</v>
      </c>
      <c r="AY24" s="92">
        <f t="shared" si="0"/>
        <v>0.1</v>
      </c>
      <c r="AZ24" s="93">
        <f t="shared" si="0"/>
        <v>0</v>
      </c>
      <c r="BA24" s="94">
        <f t="shared" si="1"/>
        <v>0.1</v>
      </c>
      <c r="BB24" s="95">
        <f t="shared" si="2"/>
        <v>1</v>
      </c>
      <c r="BC24" s="214"/>
      <c r="BD24" s="197">
        <f t="shared" si="3"/>
        <v>1</v>
      </c>
      <c r="BE24" s="98">
        <f t="shared" si="4"/>
        <v>2.5</v>
      </c>
      <c r="BF24" s="99"/>
      <c r="BG24" s="86">
        <f>fevereiro!$BE25</f>
        <v>0</v>
      </c>
      <c r="BH24" s="97"/>
      <c r="BI24" s="197">
        <f t="shared" si="5"/>
        <v>0</v>
      </c>
    </row>
    <row r="25" spans="1:61" ht="21" customHeight="1">
      <c r="A25" s="71">
        <v>17</v>
      </c>
      <c r="B25" s="88"/>
      <c r="C25" s="89"/>
      <c r="D25" s="88"/>
      <c r="E25" s="89"/>
      <c r="F25" s="88"/>
      <c r="G25" s="89"/>
      <c r="H25" s="88"/>
      <c r="I25" s="89"/>
      <c r="J25" s="88"/>
      <c r="K25" s="89"/>
      <c r="L25" s="88"/>
      <c r="M25" s="89"/>
      <c r="N25" s="88"/>
      <c r="O25" s="89"/>
      <c r="P25" s="88"/>
      <c r="Q25" s="89"/>
      <c r="R25" s="88"/>
      <c r="S25" s="89"/>
      <c r="T25" s="88"/>
      <c r="U25" s="89"/>
      <c r="V25" s="88"/>
      <c r="W25" s="89"/>
      <c r="X25" s="88"/>
      <c r="Y25" s="89"/>
      <c r="Z25" s="88"/>
      <c r="AA25" s="89"/>
      <c r="AB25" s="88"/>
      <c r="AC25" s="89"/>
      <c r="AD25" s="88"/>
      <c r="AE25" s="89"/>
      <c r="AF25" s="88"/>
      <c r="AG25" s="89"/>
      <c r="AH25" s="88"/>
      <c r="AI25" s="89"/>
      <c r="AJ25" s="88"/>
      <c r="AK25" s="90"/>
      <c r="AL25" s="88"/>
      <c r="AM25" s="89"/>
      <c r="AN25" s="88"/>
      <c r="AO25" s="89"/>
      <c r="AP25" s="88"/>
      <c r="AQ25" s="90"/>
      <c r="AR25" s="88"/>
      <c r="AS25" s="89"/>
      <c r="AT25" s="88"/>
      <c r="AU25" s="90"/>
      <c r="AV25" s="88"/>
      <c r="AW25" s="90"/>
      <c r="AX25" s="91">
        <v>17</v>
      </c>
      <c r="AY25" s="92">
        <f t="shared" si="0"/>
        <v>0</v>
      </c>
      <c r="AZ25" s="93">
        <f t="shared" si="0"/>
        <v>0</v>
      </c>
      <c r="BA25" s="94">
        <f t="shared" si="1"/>
        <v>0</v>
      </c>
      <c r="BB25" s="95">
        <f t="shared" si="2"/>
        <v>0</v>
      </c>
      <c r="BC25" s="214"/>
      <c r="BD25" s="197">
        <f t="shared" si="3"/>
        <v>0</v>
      </c>
      <c r="BE25" s="98">
        <f t="shared" si="4"/>
        <v>0</v>
      </c>
      <c r="BF25" s="99"/>
      <c r="BG25" s="86">
        <f>fevereiro!$BE26</f>
        <v>0</v>
      </c>
      <c r="BH25" s="97"/>
      <c r="BI25" s="197">
        <f t="shared" si="5"/>
        <v>0</v>
      </c>
    </row>
    <row r="26" spans="1:61" ht="21" customHeight="1">
      <c r="A26" s="71">
        <v>18</v>
      </c>
      <c r="B26" s="88"/>
      <c r="C26" s="89"/>
      <c r="D26" s="88"/>
      <c r="E26" s="89"/>
      <c r="F26" s="88"/>
      <c r="G26" s="89"/>
      <c r="H26" s="88"/>
      <c r="I26" s="89"/>
      <c r="J26" s="88"/>
      <c r="K26" s="89"/>
      <c r="L26" s="88"/>
      <c r="M26" s="89"/>
      <c r="N26" s="88"/>
      <c r="O26" s="89"/>
      <c r="P26" s="88"/>
      <c r="Q26" s="89"/>
      <c r="R26" s="88"/>
      <c r="S26" s="89"/>
      <c r="T26" s="88"/>
      <c r="U26" s="89"/>
      <c r="V26" s="88"/>
      <c r="W26" s="89"/>
      <c r="X26" s="88"/>
      <c r="Y26" s="89"/>
      <c r="Z26" s="88"/>
      <c r="AA26" s="89"/>
      <c r="AB26" s="88"/>
      <c r="AC26" s="89"/>
      <c r="AD26" s="88"/>
      <c r="AE26" s="89"/>
      <c r="AF26" s="88">
        <v>3.5</v>
      </c>
      <c r="AG26" s="89">
        <v>25</v>
      </c>
      <c r="AH26" s="88">
        <v>1.4</v>
      </c>
      <c r="AI26" s="89">
        <v>55</v>
      </c>
      <c r="AJ26" s="88">
        <v>0.2</v>
      </c>
      <c r="AK26" s="90">
        <v>10</v>
      </c>
      <c r="AL26" s="88"/>
      <c r="AM26" s="89"/>
      <c r="AN26" s="88"/>
      <c r="AO26" s="89"/>
      <c r="AP26" s="88"/>
      <c r="AQ26" s="90"/>
      <c r="AR26" s="88"/>
      <c r="AS26" s="89"/>
      <c r="AT26" s="88"/>
      <c r="AU26" s="90"/>
      <c r="AV26" s="88"/>
      <c r="AW26" s="90"/>
      <c r="AX26" s="91">
        <v>18</v>
      </c>
      <c r="AY26" s="92">
        <f t="shared" si="0"/>
        <v>5.1000000000000005</v>
      </c>
      <c r="AZ26" s="93">
        <f t="shared" si="0"/>
        <v>90</v>
      </c>
      <c r="BA26" s="94">
        <f t="shared" si="1"/>
        <v>3.5</v>
      </c>
      <c r="BB26" s="95">
        <f t="shared" si="2"/>
        <v>3</v>
      </c>
      <c r="BC26" s="214"/>
      <c r="BD26" s="197">
        <f t="shared" si="3"/>
        <v>1</v>
      </c>
      <c r="BE26" s="98">
        <f t="shared" si="4"/>
        <v>0</v>
      </c>
      <c r="BF26" s="99"/>
      <c r="BG26" s="86">
        <f>fevereiro!$BE27</f>
        <v>5.1000000000000005</v>
      </c>
      <c r="BH26" s="97"/>
      <c r="BI26" s="197">
        <f t="shared" si="5"/>
        <v>0</v>
      </c>
    </row>
    <row r="27" spans="1:61" ht="21" customHeight="1">
      <c r="A27" s="71">
        <v>19</v>
      </c>
      <c r="B27" s="88"/>
      <c r="C27" s="89"/>
      <c r="D27" s="88"/>
      <c r="E27" s="89"/>
      <c r="F27" s="88"/>
      <c r="G27" s="89"/>
      <c r="H27" s="88"/>
      <c r="I27" s="89"/>
      <c r="J27" s="88"/>
      <c r="K27" s="89"/>
      <c r="L27" s="88"/>
      <c r="M27" s="89"/>
      <c r="N27" s="88"/>
      <c r="O27" s="89"/>
      <c r="P27" s="88"/>
      <c r="Q27" s="89"/>
      <c r="R27" s="88"/>
      <c r="S27" s="89"/>
      <c r="T27" s="88"/>
      <c r="U27" s="89"/>
      <c r="V27" s="88"/>
      <c r="W27" s="89"/>
      <c r="X27" s="88"/>
      <c r="Y27" s="89"/>
      <c r="Z27" s="88"/>
      <c r="AA27" s="89"/>
      <c r="AB27" s="88"/>
      <c r="AC27" s="89"/>
      <c r="AD27" s="88"/>
      <c r="AE27" s="89"/>
      <c r="AF27" s="88">
        <v>2.2000000000000002</v>
      </c>
      <c r="AG27" s="89">
        <v>30</v>
      </c>
      <c r="AH27" s="88">
        <v>5.0999999999999996</v>
      </c>
      <c r="AI27" s="89">
        <v>30</v>
      </c>
      <c r="AJ27" s="88"/>
      <c r="AK27" s="90"/>
      <c r="AL27" s="88"/>
      <c r="AM27" s="89"/>
      <c r="AN27" s="88"/>
      <c r="AO27" s="89"/>
      <c r="AP27" s="88"/>
      <c r="AQ27" s="90"/>
      <c r="AR27" s="88"/>
      <c r="AS27" s="89"/>
      <c r="AT27" s="88"/>
      <c r="AU27" s="90"/>
      <c r="AV27" s="88"/>
      <c r="AW27" s="90"/>
      <c r="AX27" s="91">
        <v>19</v>
      </c>
      <c r="AY27" s="92">
        <f t="shared" si="0"/>
        <v>7.3</v>
      </c>
      <c r="AZ27" s="93">
        <f t="shared" si="0"/>
        <v>60</v>
      </c>
      <c r="BA27" s="94">
        <f t="shared" si="1"/>
        <v>5.0999999999999996</v>
      </c>
      <c r="BB27" s="95">
        <f t="shared" si="2"/>
        <v>2</v>
      </c>
      <c r="BC27" s="214"/>
      <c r="BD27" s="197">
        <f t="shared" si="3"/>
        <v>1</v>
      </c>
      <c r="BE27" s="98">
        <f t="shared" si="4"/>
        <v>5.1000000000000005</v>
      </c>
      <c r="BF27" s="99"/>
      <c r="BG27" s="86">
        <f>fevereiro!$BE28</f>
        <v>7.3</v>
      </c>
      <c r="BH27" s="97"/>
      <c r="BI27" s="197">
        <f t="shared" si="5"/>
        <v>0</v>
      </c>
    </row>
    <row r="28" spans="1:61" ht="21" customHeight="1">
      <c r="A28" s="71">
        <v>20</v>
      </c>
      <c r="B28" s="88"/>
      <c r="C28" s="89"/>
      <c r="D28" s="88"/>
      <c r="E28" s="89"/>
      <c r="F28" s="88"/>
      <c r="G28" s="89"/>
      <c r="H28" s="88"/>
      <c r="I28" s="89"/>
      <c r="J28" s="88"/>
      <c r="K28" s="89"/>
      <c r="L28" s="88"/>
      <c r="M28" s="89"/>
      <c r="N28" s="88"/>
      <c r="O28" s="89"/>
      <c r="P28" s="88"/>
      <c r="Q28" s="89"/>
      <c r="R28" s="88"/>
      <c r="S28" s="89"/>
      <c r="T28" s="88"/>
      <c r="U28" s="89"/>
      <c r="V28" s="88">
        <v>5.7</v>
      </c>
      <c r="W28" s="89">
        <v>20</v>
      </c>
      <c r="X28" s="88">
        <v>2.4</v>
      </c>
      <c r="Y28" s="89">
        <v>20</v>
      </c>
      <c r="Z28" s="88"/>
      <c r="AA28" s="89"/>
      <c r="AB28" s="88">
        <v>0.1</v>
      </c>
      <c r="AC28" s="89">
        <v>5</v>
      </c>
      <c r="AD28" s="88">
        <v>14.7</v>
      </c>
      <c r="AE28" s="89">
        <v>60</v>
      </c>
      <c r="AF28" s="88"/>
      <c r="AG28" s="89"/>
      <c r="AH28" s="88"/>
      <c r="AI28" s="89"/>
      <c r="AJ28" s="88"/>
      <c r="AK28" s="90"/>
      <c r="AL28" s="88">
        <v>0.1</v>
      </c>
      <c r="AM28" s="89">
        <v>5</v>
      </c>
      <c r="AN28" s="88"/>
      <c r="AO28" s="89"/>
      <c r="AP28" s="88"/>
      <c r="AQ28" s="90"/>
      <c r="AR28" s="88"/>
      <c r="AS28" s="89"/>
      <c r="AT28" s="88"/>
      <c r="AU28" s="90"/>
      <c r="AV28" s="88">
        <v>0.1</v>
      </c>
      <c r="AW28" s="90">
        <v>5</v>
      </c>
      <c r="AX28" s="217">
        <v>20</v>
      </c>
      <c r="AY28" s="92">
        <f t="shared" si="0"/>
        <v>23.1</v>
      </c>
      <c r="AZ28" s="93">
        <f t="shared" si="0"/>
        <v>115</v>
      </c>
      <c r="BA28" s="94">
        <f t="shared" si="1"/>
        <v>14.7</v>
      </c>
      <c r="BB28" s="95">
        <f t="shared" si="2"/>
        <v>6</v>
      </c>
      <c r="BC28" s="214"/>
      <c r="BD28" s="197">
        <f t="shared" si="3"/>
        <v>1</v>
      </c>
      <c r="BE28" s="98">
        <f t="shared" si="4"/>
        <v>7.3</v>
      </c>
      <c r="BF28" s="99"/>
      <c r="BG28" s="86">
        <f>fevereiro!$BE29</f>
        <v>23.1</v>
      </c>
      <c r="BH28" s="97"/>
      <c r="BI28" s="197">
        <f t="shared" si="5"/>
        <v>0</v>
      </c>
    </row>
    <row r="29" spans="1:61" ht="21" customHeight="1">
      <c r="A29" s="71">
        <v>21</v>
      </c>
      <c r="B29" s="88"/>
      <c r="C29" s="89"/>
      <c r="D29" s="88"/>
      <c r="E29" s="89"/>
      <c r="F29" s="88"/>
      <c r="G29" s="89"/>
      <c r="H29" s="88"/>
      <c r="I29" s="89"/>
      <c r="J29" s="88"/>
      <c r="K29" s="89"/>
      <c r="L29" s="88"/>
      <c r="M29" s="89"/>
      <c r="N29" s="88"/>
      <c r="O29" s="89"/>
      <c r="P29" s="88"/>
      <c r="Q29" s="89"/>
      <c r="R29" s="88"/>
      <c r="S29" s="89"/>
      <c r="T29" s="88"/>
      <c r="U29" s="89"/>
      <c r="V29" s="88"/>
      <c r="W29" s="89"/>
      <c r="X29" s="88"/>
      <c r="Y29" s="89"/>
      <c r="Z29" s="106"/>
      <c r="AA29" s="89"/>
      <c r="AB29" s="88"/>
      <c r="AC29" s="89"/>
      <c r="AD29" s="88">
        <v>15.6</v>
      </c>
      <c r="AE29" s="89">
        <v>30</v>
      </c>
      <c r="AF29" s="88">
        <v>3.9</v>
      </c>
      <c r="AG29" s="89">
        <v>20</v>
      </c>
      <c r="AH29" s="88">
        <v>0.2</v>
      </c>
      <c r="AI29" s="89">
        <v>10</v>
      </c>
      <c r="AJ29" s="88">
        <v>1.5</v>
      </c>
      <c r="AK29" s="90">
        <v>40</v>
      </c>
      <c r="AL29" s="88">
        <v>6.8</v>
      </c>
      <c r="AM29" s="89">
        <v>50</v>
      </c>
      <c r="AN29" s="88">
        <v>0.4</v>
      </c>
      <c r="AO29" s="89">
        <v>20</v>
      </c>
      <c r="AP29" s="88">
        <v>0.4</v>
      </c>
      <c r="AQ29" s="90">
        <v>25</v>
      </c>
      <c r="AR29" s="88">
        <v>1.4</v>
      </c>
      <c r="AS29" s="89">
        <v>60</v>
      </c>
      <c r="AT29" s="88">
        <v>0.3</v>
      </c>
      <c r="AU29" s="90">
        <v>20</v>
      </c>
      <c r="AV29" s="88"/>
      <c r="AW29" s="90"/>
      <c r="AX29" s="91">
        <v>21</v>
      </c>
      <c r="AY29" s="92">
        <f t="shared" si="0"/>
        <v>30.499999999999996</v>
      </c>
      <c r="AZ29" s="93">
        <f t="shared" si="0"/>
        <v>275</v>
      </c>
      <c r="BA29" s="94">
        <f t="shared" si="1"/>
        <v>15.6</v>
      </c>
      <c r="BB29" s="95">
        <f t="shared" si="2"/>
        <v>9</v>
      </c>
      <c r="BC29" s="214"/>
      <c r="BD29" s="197">
        <f t="shared" si="3"/>
        <v>1</v>
      </c>
      <c r="BE29" s="98">
        <f t="shared" si="4"/>
        <v>23.1</v>
      </c>
      <c r="BF29" s="99"/>
      <c r="BG29" s="86">
        <f>fevereiro!$BE30</f>
        <v>30.7</v>
      </c>
      <c r="BH29" s="97"/>
      <c r="BI29" s="197">
        <f t="shared" si="5"/>
        <v>0</v>
      </c>
    </row>
    <row r="30" spans="1:61" ht="21" customHeight="1">
      <c r="A30" s="71">
        <v>22</v>
      </c>
      <c r="B30" s="88">
        <v>0.1</v>
      </c>
      <c r="C30" s="89">
        <v>5</v>
      </c>
      <c r="D30" s="88"/>
      <c r="E30" s="89"/>
      <c r="F30" s="88">
        <v>0.1</v>
      </c>
      <c r="G30" s="89">
        <v>5</v>
      </c>
      <c r="H30" s="88"/>
      <c r="I30" s="89"/>
      <c r="J30" s="88"/>
      <c r="K30" s="89"/>
      <c r="L30" s="88"/>
      <c r="M30" s="89"/>
      <c r="N30" s="88"/>
      <c r="O30" s="89"/>
      <c r="P30" s="88"/>
      <c r="Q30" s="89"/>
      <c r="R30" s="88"/>
      <c r="S30" s="89"/>
      <c r="T30" s="88"/>
      <c r="U30" s="89"/>
      <c r="V30" s="88"/>
      <c r="W30" s="89"/>
      <c r="X30" s="88"/>
      <c r="Y30" s="89"/>
      <c r="Z30" s="88"/>
      <c r="AA30" s="89"/>
      <c r="AB30" s="88"/>
      <c r="AC30" s="89"/>
      <c r="AD30" s="88"/>
      <c r="AE30" s="89"/>
      <c r="AF30" s="88"/>
      <c r="AG30" s="89"/>
      <c r="AH30" s="88"/>
      <c r="AI30" s="89"/>
      <c r="AJ30" s="88"/>
      <c r="AK30" s="90"/>
      <c r="AL30" s="88"/>
      <c r="AM30" s="89"/>
      <c r="AN30" s="88"/>
      <c r="AO30" s="89"/>
      <c r="AP30" s="88"/>
      <c r="AQ30" s="90"/>
      <c r="AR30" s="88"/>
      <c r="AS30" s="89"/>
      <c r="AT30" s="88"/>
      <c r="AU30" s="90"/>
      <c r="AV30" s="88"/>
      <c r="AW30" s="90"/>
      <c r="AX30" s="91">
        <v>22</v>
      </c>
      <c r="AY30" s="92">
        <f t="shared" si="0"/>
        <v>0.2</v>
      </c>
      <c r="AZ30" s="93">
        <f t="shared" si="0"/>
        <v>10</v>
      </c>
      <c r="BA30" s="94">
        <f t="shared" si="1"/>
        <v>0.1</v>
      </c>
      <c r="BB30" s="95">
        <f t="shared" si="2"/>
        <v>2</v>
      </c>
      <c r="BC30" s="214"/>
      <c r="BD30" s="197">
        <f t="shared" si="3"/>
        <v>1</v>
      </c>
      <c r="BE30" s="98">
        <f t="shared" si="4"/>
        <v>30.7</v>
      </c>
      <c r="BF30" s="99"/>
      <c r="BG30" s="86">
        <f>fevereiro!$BE31</f>
        <v>0</v>
      </c>
      <c r="BH30" s="97"/>
      <c r="BI30" s="197">
        <f t="shared" si="5"/>
        <v>0</v>
      </c>
    </row>
    <row r="31" spans="1:61" ht="21" customHeight="1">
      <c r="A31" s="71">
        <v>23</v>
      </c>
      <c r="B31" s="88"/>
      <c r="C31" s="89"/>
      <c r="D31" s="88"/>
      <c r="E31" s="89"/>
      <c r="F31" s="88"/>
      <c r="G31" s="89"/>
      <c r="H31" s="88"/>
      <c r="I31" s="89"/>
      <c r="J31" s="88"/>
      <c r="K31" s="89"/>
      <c r="L31" s="88"/>
      <c r="M31" s="89"/>
      <c r="N31" s="88"/>
      <c r="O31" s="89"/>
      <c r="P31" s="88"/>
      <c r="Q31" s="89"/>
      <c r="R31" s="88"/>
      <c r="S31" s="89"/>
      <c r="T31" s="88"/>
      <c r="U31" s="89"/>
      <c r="V31" s="88"/>
      <c r="W31" s="89"/>
      <c r="X31" s="88"/>
      <c r="Y31" s="89"/>
      <c r="Z31" s="88"/>
      <c r="AA31" s="89"/>
      <c r="AB31" s="88"/>
      <c r="AC31" s="89"/>
      <c r="AD31" s="88"/>
      <c r="AE31" s="89"/>
      <c r="AF31" s="88"/>
      <c r="AG31" s="89"/>
      <c r="AH31" s="88">
        <v>9.6999999999999993</v>
      </c>
      <c r="AI31" s="89">
        <v>10</v>
      </c>
      <c r="AJ31" s="88">
        <v>11.3</v>
      </c>
      <c r="AK31" s="90">
        <v>10</v>
      </c>
      <c r="AL31" s="88"/>
      <c r="AM31" s="89"/>
      <c r="AN31" s="88">
        <v>1</v>
      </c>
      <c r="AO31" s="89">
        <v>20</v>
      </c>
      <c r="AP31" s="88">
        <v>0.3</v>
      </c>
      <c r="AQ31" s="90">
        <v>5</v>
      </c>
      <c r="AR31" s="107">
        <v>0.5</v>
      </c>
      <c r="AS31" s="89">
        <v>25</v>
      </c>
      <c r="AT31" s="88"/>
      <c r="AU31" s="90"/>
      <c r="AV31" s="88"/>
      <c r="AW31" s="90"/>
      <c r="AX31" s="91">
        <v>23</v>
      </c>
      <c r="AY31" s="92">
        <f t="shared" si="0"/>
        <v>22.8</v>
      </c>
      <c r="AZ31" s="93">
        <f t="shared" si="0"/>
        <v>70</v>
      </c>
      <c r="BA31" s="94">
        <f t="shared" si="1"/>
        <v>11.3</v>
      </c>
      <c r="BB31" s="95">
        <f t="shared" si="2"/>
        <v>5</v>
      </c>
      <c r="BC31" s="214"/>
      <c r="BD31" s="197">
        <f t="shared" si="3"/>
        <v>1</v>
      </c>
      <c r="BE31" s="98">
        <f t="shared" si="4"/>
        <v>0</v>
      </c>
      <c r="BF31" s="99"/>
      <c r="BG31" s="86">
        <f>fevereiro!$BE32</f>
        <v>22.8</v>
      </c>
      <c r="BH31" s="97"/>
      <c r="BI31" s="197">
        <f t="shared" si="5"/>
        <v>0</v>
      </c>
    </row>
    <row r="32" spans="1:61" ht="21" customHeight="1">
      <c r="A32" s="71">
        <v>24</v>
      </c>
      <c r="B32" s="88"/>
      <c r="C32" s="89"/>
      <c r="D32" s="88"/>
      <c r="E32" s="89"/>
      <c r="F32" s="88"/>
      <c r="G32" s="89"/>
      <c r="H32" s="88"/>
      <c r="I32" s="89"/>
      <c r="J32" s="88"/>
      <c r="K32" s="89"/>
      <c r="L32" s="88"/>
      <c r="M32" s="89"/>
      <c r="N32" s="88"/>
      <c r="O32" s="89"/>
      <c r="P32" s="88"/>
      <c r="Q32" s="89"/>
      <c r="R32" s="88"/>
      <c r="S32" s="89"/>
      <c r="T32" s="88"/>
      <c r="U32" s="89"/>
      <c r="V32" s="88"/>
      <c r="W32" s="89"/>
      <c r="X32" s="88"/>
      <c r="Y32" s="89"/>
      <c r="Z32" s="88"/>
      <c r="AA32" s="89"/>
      <c r="AB32" s="88">
        <v>7.6</v>
      </c>
      <c r="AC32" s="89">
        <v>20</v>
      </c>
      <c r="AD32" s="88">
        <v>9.5</v>
      </c>
      <c r="AE32" s="89">
        <v>40</v>
      </c>
      <c r="AF32" s="88">
        <v>6.2</v>
      </c>
      <c r="AG32" s="89">
        <v>60</v>
      </c>
      <c r="AH32" s="88">
        <v>0.4</v>
      </c>
      <c r="AI32" s="89">
        <v>30</v>
      </c>
      <c r="AJ32" s="88">
        <v>0.1</v>
      </c>
      <c r="AK32" s="90">
        <v>5</v>
      </c>
      <c r="AL32" s="88"/>
      <c r="AM32" s="89"/>
      <c r="AN32" s="88"/>
      <c r="AO32" s="89"/>
      <c r="AP32" s="88"/>
      <c r="AQ32" s="90"/>
      <c r="AR32" s="107"/>
      <c r="AS32" s="89"/>
      <c r="AT32" s="88"/>
      <c r="AU32" s="90"/>
      <c r="AV32" s="88"/>
      <c r="AW32" s="90"/>
      <c r="AX32" s="91">
        <v>24</v>
      </c>
      <c r="AY32" s="92">
        <f t="shared" si="0"/>
        <v>23.8</v>
      </c>
      <c r="AZ32" s="93">
        <f t="shared" si="0"/>
        <v>155</v>
      </c>
      <c r="BA32" s="94">
        <f t="shared" si="1"/>
        <v>9.5</v>
      </c>
      <c r="BB32" s="95">
        <f t="shared" si="2"/>
        <v>5</v>
      </c>
      <c r="BC32" s="214"/>
      <c r="BD32" s="197">
        <f t="shared" si="3"/>
        <v>1</v>
      </c>
      <c r="BE32" s="98">
        <f t="shared" si="4"/>
        <v>22.8</v>
      </c>
      <c r="BF32" s="99"/>
      <c r="BG32" s="86">
        <f>fevereiro!$BE33</f>
        <v>23.8</v>
      </c>
      <c r="BH32" s="97"/>
      <c r="BI32" s="197">
        <f t="shared" si="5"/>
        <v>0</v>
      </c>
    </row>
    <row r="33" spans="1:62" ht="21" customHeight="1">
      <c r="A33" s="71">
        <v>25</v>
      </c>
      <c r="B33" s="88"/>
      <c r="C33" s="89"/>
      <c r="D33" s="88"/>
      <c r="E33" s="89"/>
      <c r="F33" s="88"/>
      <c r="G33" s="89"/>
      <c r="H33" s="88"/>
      <c r="I33" s="89"/>
      <c r="J33" s="88"/>
      <c r="K33" s="89"/>
      <c r="L33" s="88"/>
      <c r="M33" s="89"/>
      <c r="N33" s="88"/>
      <c r="O33" s="89"/>
      <c r="P33" s="88"/>
      <c r="Q33" s="89"/>
      <c r="R33" s="88"/>
      <c r="S33" s="89"/>
      <c r="T33" s="88"/>
      <c r="U33" s="89"/>
      <c r="V33" s="88"/>
      <c r="W33" s="89"/>
      <c r="X33" s="88"/>
      <c r="Y33" s="89"/>
      <c r="Z33" s="88"/>
      <c r="AA33" s="89"/>
      <c r="AB33" s="88"/>
      <c r="AC33" s="89"/>
      <c r="AD33" s="88"/>
      <c r="AE33" s="89"/>
      <c r="AF33" s="88"/>
      <c r="AG33" s="89"/>
      <c r="AH33" s="88"/>
      <c r="AI33" s="89"/>
      <c r="AJ33" s="88"/>
      <c r="AK33" s="90"/>
      <c r="AL33" s="88"/>
      <c r="AM33" s="89"/>
      <c r="AN33" s="88"/>
      <c r="AO33" s="89"/>
      <c r="AP33" s="88"/>
      <c r="AQ33" s="90"/>
      <c r="AR33" s="107"/>
      <c r="AS33" s="89"/>
      <c r="AT33" s="88"/>
      <c r="AU33" s="90"/>
      <c r="AV33" s="88"/>
      <c r="AW33" s="90"/>
      <c r="AX33" s="91">
        <v>25</v>
      </c>
      <c r="AY33" s="92">
        <f t="shared" si="0"/>
        <v>0</v>
      </c>
      <c r="AZ33" s="93">
        <f t="shared" si="0"/>
        <v>0</v>
      </c>
      <c r="BA33" s="94">
        <f t="shared" si="1"/>
        <v>0</v>
      </c>
      <c r="BB33" s="95">
        <f t="shared" si="2"/>
        <v>0</v>
      </c>
      <c r="BC33" s="214"/>
      <c r="BD33" s="197">
        <f t="shared" si="3"/>
        <v>0</v>
      </c>
      <c r="BE33" s="98">
        <f t="shared" si="4"/>
        <v>23.8</v>
      </c>
      <c r="BF33" s="99"/>
      <c r="BG33" s="86">
        <f>fevereiro!$BE34</f>
        <v>0</v>
      </c>
      <c r="BH33" s="97"/>
      <c r="BI33" s="197">
        <f t="shared" si="5"/>
        <v>0</v>
      </c>
    </row>
    <row r="34" spans="1:62" ht="21" customHeight="1">
      <c r="A34" s="71">
        <v>26</v>
      </c>
      <c r="B34" s="88"/>
      <c r="C34" s="89"/>
      <c r="D34" s="88"/>
      <c r="E34" s="89"/>
      <c r="F34" s="88"/>
      <c r="G34" s="89"/>
      <c r="H34" s="88"/>
      <c r="I34" s="89"/>
      <c r="J34" s="88"/>
      <c r="K34" s="89"/>
      <c r="L34" s="88"/>
      <c r="M34" s="89"/>
      <c r="N34" s="88"/>
      <c r="O34" s="89"/>
      <c r="P34" s="88"/>
      <c r="Q34" s="89"/>
      <c r="R34" s="88"/>
      <c r="S34" s="89"/>
      <c r="T34" s="88"/>
      <c r="U34" s="89"/>
      <c r="V34" s="88"/>
      <c r="W34" s="89"/>
      <c r="X34" s="88"/>
      <c r="Y34" s="89"/>
      <c r="Z34" s="88"/>
      <c r="AA34" s="89"/>
      <c r="AB34" s="88"/>
      <c r="AC34" s="89"/>
      <c r="AD34" s="88"/>
      <c r="AE34" s="89"/>
      <c r="AF34" s="88"/>
      <c r="AG34" s="89"/>
      <c r="AH34" s="88"/>
      <c r="AI34" s="89"/>
      <c r="AJ34" s="88"/>
      <c r="AK34" s="90"/>
      <c r="AL34" s="88"/>
      <c r="AM34" s="89"/>
      <c r="AN34" s="88"/>
      <c r="AO34" s="89"/>
      <c r="AP34" s="88"/>
      <c r="AQ34" s="90"/>
      <c r="AR34" s="107"/>
      <c r="AS34" s="89"/>
      <c r="AT34" s="88"/>
      <c r="AU34" s="90"/>
      <c r="AV34" s="88"/>
      <c r="AW34" s="90"/>
      <c r="AX34" s="91">
        <v>26</v>
      </c>
      <c r="AY34" s="92">
        <f t="shared" si="0"/>
        <v>0</v>
      </c>
      <c r="AZ34" s="93">
        <f t="shared" si="0"/>
        <v>0</v>
      </c>
      <c r="BA34" s="94">
        <f t="shared" si="1"/>
        <v>0</v>
      </c>
      <c r="BB34" s="95">
        <f t="shared" si="2"/>
        <v>0</v>
      </c>
      <c r="BC34" s="214"/>
      <c r="BD34" s="197">
        <f t="shared" si="3"/>
        <v>0</v>
      </c>
      <c r="BE34" s="98">
        <f t="shared" si="4"/>
        <v>0</v>
      </c>
      <c r="BF34" s="99"/>
      <c r="BG34" s="86">
        <f>fevereiro!$BE35</f>
        <v>0</v>
      </c>
      <c r="BH34" s="97"/>
      <c r="BI34" s="197">
        <f t="shared" si="5"/>
        <v>0</v>
      </c>
    </row>
    <row r="35" spans="1:62" ht="21" customHeight="1">
      <c r="A35" s="71">
        <v>27</v>
      </c>
      <c r="B35" s="88"/>
      <c r="C35" s="89"/>
      <c r="D35" s="88"/>
      <c r="E35" s="89"/>
      <c r="F35" s="88"/>
      <c r="G35" s="89"/>
      <c r="H35" s="88"/>
      <c r="I35" s="89"/>
      <c r="J35" s="88"/>
      <c r="K35" s="89"/>
      <c r="L35" s="88"/>
      <c r="M35" s="89"/>
      <c r="N35" s="88"/>
      <c r="O35" s="89"/>
      <c r="P35" s="88"/>
      <c r="Q35" s="89"/>
      <c r="R35" s="88"/>
      <c r="S35" s="89"/>
      <c r="T35" s="88"/>
      <c r="U35" s="89"/>
      <c r="V35" s="88"/>
      <c r="W35" s="89"/>
      <c r="X35" s="88"/>
      <c r="Y35" s="89"/>
      <c r="Z35" s="88"/>
      <c r="AA35" s="89"/>
      <c r="AB35" s="88"/>
      <c r="AC35" s="89"/>
      <c r="AD35" s="88"/>
      <c r="AE35" s="89"/>
      <c r="AF35" s="88"/>
      <c r="AG35" s="89"/>
      <c r="AH35" s="88"/>
      <c r="AI35" s="89"/>
      <c r="AJ35" s="88"/>
      <c r="AK35" s="90"/>
      <c r="AL35" s="88"/>
      <c r="AM35" s="89"/>
      <c r="AN35" s="88"/>
      <c r="AO35" s="89"/>
      <c r="AP35" s="88"/>
      <c r="AQ35" s="90"/>
      <c r="AR35" s="107"/>
      <c r="AS35" s="89"/>
      <c r="AT35" s="88"/>
      <c r="AU35" s="90"/>
      <c r="AV35" s="88"/>
      <c r="AW35" s="90"/>
      <c r="AX35" s="91">
        <v>27</v>
      </c>
      <c r="AY35" s="92">
        <f t="shared" si="0"/>
        <v>0</v>
      </c>
      <c r="AZ35" s="93">
        <f t="shared" si="0"/>
        <v>0</v>
      </c>
      <c r="BA35" s="94">
        <f t="shared" si="1"/>
        <v>0</v>
      </c>
      <c r="BB35" s="95">
        <f t="shared" si="2"/>
        <v>0</v>
      </c>
      <c r="BC35" s="214"/>
      <c r="BD35" s="197">
        <f t="shared" si="3"/>
        <v>0</v>
      </c>
      <c r="BE35" s="98">
        <f t="shared" si="4"/>
        <v>0</v>
      </c>
      <c r="BF35" s="99"/>
      <c r="BG35" s="86">
        <f>fevereiro!$BE36</f>
        <v>0</v>
      </c>
      <c r="BH35" s="97"/>
      <c r="BI35" s="197">
        <f t="shared" si="5"/>
        <v>0</v>
      </c>
    </row>
    <row r="36" spans="1:62" ht="21" customHeight="1">
      <c r="A36" s="71">
        <v>28</v>
      </c>
      <c r="B36" s="118"/>
      <c r="C36" s="218"/>
      <c r="D36" s="118"/>
      <c r="E36" s="218"/>
      <c r="F36" s="118"/>
      <c r="G36" s="218"/>
      <c r="H36" s="118"/>
      <c r="I36" s="218"/>
      <c r="J36" s="118"/>
      <c r="K36" s="218"/>
      <c r="L36" s="118"/>
      <c r="M36" s="218"/>
      <c r="N36" s="219"/>
      <c r="O36" s="218"/>
      <c r="P36" s="88"/>
      <c r="Q36" s="89"/>
      <c r="R36" s="88"/>
      <c r="S36" s="89"/>
      <c r="T36" s="88"/>
      <c r="U36" s="89"/>
      <c r="V36" s="88"/>
      <c r="W36" s="89"/>
      <c r="X36" s="88"/>
      <c r="Y36" s="89"/>
      <c r="Z36" s="88"/>
      <c r="AA36" s="89"/>
      <c r="AB36" s="88">
        <v>5.9</v>
      </c>
      <c r="AC36" s="89">
        <v>10</v>
      </c>
      <c r="AD36" s="88"/>
      <c r="AE36" s="89"/>
      <c r="AF36" s="88">
        <v>8.1</v>
      </c>
      <c r="AG36" s="89">
        <v>30</v>
      </c>
      <c r="AH36" s="88">
        <v>0.1</v>
      </c>
      <c r="AI36" s="89">
        <v>5</v>
      </c>
      <c r="AJ36" s="88">
        <v>3.4</v>
      </c>
      <c r="AK36" s="90">
        <v>20</v>
      </c>
      <c r="AL36" s="88"/>
      <c r="AM36" s="89"/>
      <c r="AN36" s="88"/>
      <c r="AO36" s="89"/>
      <c r="AP36" s="88"/>
      <c r="AQ36" s="90"/>
      <c r="AR36" s="88"/>
      <c r="AS36" s="89"/>
      <c r="AT36" s="88"/>
      <c r="AU36" s="90"/>
      <c r="AV36" s="88"/>
      <c r="AW36" s="90"/>
      <c r="AX36" s="91">
        <v>28</v>
      </c>
      <c r="AY36" s="92">
        <f t="shared" si="0"/>
        <v>17.5</v>
      </c>
      <c r="AZ36" s="93">
        <f t="shared" si="0"/>
        <v>65</v>
      </c>
      <c r="BA36" s="94">
        <f t="shared" si="1"/>
        <v>8.1</v>
      </c>
      <c r="BB36" s="95">
        <f t="shared" si="2"/>
        <v>4</v>
      </c>
      <c r="BC36" s="214"/>
      <c r="BD36" s="197">
        <f t="shared" si="3"/>
        <v>1</v>
      </c>
      <c r="BE36" s="98">
        <f t="shared" si="4"/>
        <v>0</v>
      </c>
      <c r="BF36" s="99"/>
      <c r="BG36" s="86">
        <f>fevereiro!$BE37</f>
        <v>19.899999999999999</v>
      </c>
      <c r="BH36" s="97"/>
      <c r="BI36" s="197">
        <f t="shared" si="5"/>
        <v>0</v>
      </c>
    </row>
    <row r="37" spans="1:62" ht="21" customHeight="1" thickBot="1">
      <c r="A37" s="103">
        <v>29</v>
      </c>
      <c r="B37" s="118"/>
      <c r="C37" s="218"/>
      <c r="D37" s="118"/>
      <c r="E37" s="218"/>
      <c r="F37" s="118"/>
      <c r="G37" s="218"/>
      <c r="H37" s="118"/>
      <c r="I37" s="218"/>
      <c r="J37" s="118">
        <v>1.5</v>
      </c>
      <c r="K37" s="218">
        <v>25</v>
      </c>
      <c r="L37" s="118">
        <v>0.9</v>
      </c>
      <c r="M37" s="218">
        <v>25</v>
      </c>
      <c r="N37" s="219"/>
      <c r="O37" s="218"/>
      <c r="P37" s="88"/>
      <c r="Q37" s="89"/>
      <c r="R37" s="88"/>
      <c r="S37" s="89"/>
      <c r="T37" s="88"/>
      <c r="U37" s="89"/>
      <c r="V37" s="88"/>
      <c r="W37" s="89"/>
      <c r="X37" s="88"/>
      <c r="Y37" s="89"/>
      <c r="Z37" s="88"/>
      <c r="AA37" s="89"/>
      <c r="AB37" s="88"/>
      <c r="AC37" s="89"/>
      <c r="AD37" s="88"/>
      <c r="AE37" s="89"/>
      <c r="AF37" s="88"/>
      <c r="AG37" s="89"/>
      <c r="AH37" s="88"/>
      <c r="AI37" s="89"/>
      <c r="AJ37" s="88"/>
      <c r="AK37" s="90"/>
      <c r="AL37" s="88"/>
      <c r="AM37" s="89"/>
      <c r="AN37" s="88"/>
      <c r="AO37" s="89"/>
      <c r="AP37" s="88"/>
      <c r="AQ37" s="90"/>
      <c r="AR37" s="220"/>
      <c r="AS37" s="113"/>
      <c r="AT37" s="88"/>
      <c r="AU37" s="90"/>
      <c r="AV37" s="88"/>
      <c r="AW37" s="90"/>
      <c r="AX37" s="91">
        <v>29</v>
      </c>
      <c r="AY37" s="92">
        <f t="shared" si="0"/>
        <v>2.4</v>
      </c>
      <c r="AZ37" s="93">
        <f t="shared" si="0"/>
        <v>50</v>
      </c>
      <c r="BA37" s="94">
        <f t="shared" si="1"/>
        <v>1.5</v>
      </c>
      <c r="BB37" s="95">
        <f t="shared" si="2"/>
        <v>2</v>
      </c>
      <c r="BC37" s="214"/>
      <c r="BD37" s="197">
        <f t="shared" si="3"/>
        <v>1</v>
      </c>
      <c r="BE37" s="98">
        <f>P36+R36+T36+V36+X36+Z36+AB36+AD36+AF36+AH36+AJ36+AL36+AN36+AP36+AR36+AT36+AV36+B37+D37+F37+H37+J37+L37+N37</f>
        <v>19.899999999999999</v>
      </c>
      <c r="BF37" s="99"/>
      <c r="BG37" s="86">
        <f>fevereiro!$BE38</f>
        <v>0</v>
      </c>
      <c r="BH37" s="97"/>
      <c r="BI37" s="197">
        <f>IF(BH37&gt;0,1,0)</f>
        <v>0</v>
      </c>
    </row>
    <row r="38" spans="1:62" ht="21" customHeight="1" thickBot="1">
      <c r="A38" s="103">
        <v>1</v>
      </c>
      <c r="B38" s="221"/>
      <c r="C38" s="222"/>
      <c r="D38" s="223"/>
      <c r="E38" s="222"/>
      <c r="F38" s="223"/>
      <c r="G38" s="222"/>
      <c r="H38" s="223"/>
      <c r="I38" s="222"/>
      <c r="J38" s="223"/>
      <c r="K38" s="222"/>
      <c r="L38" s="223"/>
      <c r="M38" s="222"/>
      <c r="N38" s="223"/>
      <c r="O38" s="224"/>
      <c r="P38" s="88"/>
      <c r="Q38" s="89"/>
      <c r="R38" s="88"/>
      <c r="S38" s="89"/>
      <c r="T38" s="88"/>
      <c r="U38" s="89"/>
      <c r="V38" s="88"/>
      <c r="W38" s="89"/>
      <c r="X38" s="88"/>
      <c r="Y38" s="89"/>
      <c r="Z38" s="88"/>
      <c r="AA38" s="89"/>
      <c r="AB38" s="88"/>
      <c r="AC38" s="89"/>
      <c r="AD38" s="88"/>
      <c r="AE38" s="89"/>
      <c r="AF38" s="88"/>
      <c r="AG38" s="89"/>
      <c r="AH38" s="88"/>
      <c r="AI38" s="89"/>
      <c r="AJ38" s="88"/>
      <c r="AK38" s="90"/>
      <c r="AL38" s="88"/>
      <c r="AM38" s="89"/>
      <c r="AN38" s="88"/>
      <c r="AO38" s="89"/>
      <c r="AP38" s="88"/>
      <c r="AQ38" s="90"/>
      <c r="AR38" s="88"/>
      <c r="AS38" s="113"/>
      <c r="AT38" s="88"/>
      <c r="AU38" s="90"/>
      <c r="AV38" s="88"/>
      <c r="AW38" s="90"/>
      <c r="AX38" s="225"/>
      <c r="AY38" s="92"/>
      <c r="AZ38" s="93"/>
      <c r="BA38" s="94"/>
      <c r="BB38" s="95"/>
      <c r="BC38" s="214"/>
      <c r="BD38" s="197"/>
      <c r="BE38" s="98"/>
      <c r="BF38" s="99"/>
      <c r="BG38" s="226">
        <f>fevereiro!$BH40</f>
        <v>0</v>
      </c>
      <c r="BH38" s="97"/>
      <c r="BI38" s="197">
        <f>IF(BH38&gt;0,1,0)</f>
        <v>0</v>
      </c>
    </row>
    <row r="39" spans="1:62" ht="21" customHeight="1" thickBot="1">
      <c r="A39" s="114"/>
      <c r="B39" s="115"/>
      <c r="C39" s="227"/>
      <c r="D39" s="117"/>
      <c r="E39" s="227"/>
      <c r="F39" s="117"/>
      <c r="G39" s="227"/>
      <c r="H39" s="117"/>
      <c r="I39" s="227"/>
      <c r="J39" s="117"/>
      <c r="K39" s="227"/>
      <c r="L39" s="117"/>
      <c r="M39" s="227"/>
      <c r="N39" s="117"/>
      <c r="O39" s="227"/>
      <c r="P39" s="117"/>
      <c r="Q39" s="116"/>
      <c r="R39" s="117"/>
      <c r="S39" s="116"/>
      <c r="T39" s="117"/>
      <c r="U39" s="116"/>
      <c r="V39" s="117"/>
      <c r="W39" s="116"/>
      <c r="X39" s="117"/>
      <c r="Y39" s="116"/>
      <c r="Z39" s="117"/>
      <c r="AA39" s="116"/>
      <c r="AB39" s="117"/>
      <c r="AC39" s="116"/>
      <c r="AD39" s="117"/>
      <c r="AE39" s="116"/>
      <c r="AF39" s="117"/>
      <c r="AG39" s="116"/>
      <c r="AH39" s="117"/>
      <c r="AI39" s="116"/>
      <c r="AJ39" s="117"/>
      <c r="AK39" s="119"/>
      <c r="AL39" s="120"/>
      <c r="AM39" s="116"/>
      <c r="AN39" s="117"/>
      <c r="AO39" s="116"/>
      <c r="AP39" s="117"/>
      <c r="AQ39" s="121"/>
      <c r="AR39" s="117"/>
      <c r="AS39" s="116"/>
      <c r="AT39" s="117"/>
      <c r="AU39" s="121"/>
      <c r="AV39" s="122"/>
      <c r="AW39" s="121"/>
      <c r="AX39" s="123"/>
      <c r="AY39" s="92"/>
      <c r="AZ39" s="93"/>
      <c r="BA39" s="94"/>
      <c r="BB39" s="95"/>
      <c r="BC39" s="214"/>
      <c r="BD39" s="197"/>
      <c r="BE39" s="98"/>
      <c r="BF39" s="99"/>
      <c r="BG39" s="228"/>
      <c r="BH39" s="125">
        <v>39142</v>
      </c>
      <c r="BI39" s="197"/>
    </row>
    <row r="40" spans="1:62" ht="21" customHeight="1" thickBot="1">
      <c r="A40" s="229"/>
      <c r="B40" s="230"/>
      <c r="C40" s="32"/>
      <c r="D40" s="31"/>
      <c r="E40" s="32"/>
      <c r="F40" s="31"/>
      <c r="G40" s="32"/>
      <c r="H40" s="31"/>
      <c r="I40" s="32"/>
      <c r="J40" s="31"/>
      <c r="K40" s="32"/>
      <c r="L40" s="31"/>
      <c r="M40" s="32"/>
      <c r="N40" s="31"/>
      <c r="O40" s="32"/>
      <c r="P40" s="31"/>
      <c r="Q40" s="32"/>
      <c r="R40" s="31"/>
      <c r="S40" s="32"/>
      <c r="T40" s="31"/>
      <c r="U40" s="32"/>
      <c r="V40" s="31"/>
      <c r="W40" s="32"/>
      <c r="X40" s="31"/>
      <c r="Y40" s="32"/>
      <c r="Z40" s="31"/>
      <c r="AA40" s="32"/>
      <c r="AB40" s="31"/>
      <c r="AC40" s="32"/>
      <c r="AD40" s="31"/>
      <c r="AE40" s="32"/>
      <c r="AF40" s="31"/>
      <c r="AG40" s="32"/>
      <c r="AH40" s="31"/>
      <c r="AI40" s="32"/>
      <c r="AJ40" s="31"/>
      <c r="AK40" s="32"/>
      <c r="AL40" s="31"/>
      <c r="AM40" s="32"/>
      <c r="AN40" s="31"/>
      <c r="AO40" s="32"/>
      <c r="AP40" s="31"/>
      <c r="AQ40" s="32"/>
      <c r="AR40" s="31"/>
      <c r="AS40" s="32"/>
      <c r="AT40" s="31"/>
      <c r="AU40" s="32"/>
      <c r="AV40" s="31"/>
      <c r="AW40" s="32"/>
      <c r="AX40" s="132"/>
      <c r="AY40" s="231" t="s">
        <v>53</v>
      </c>
      <c r="AZ40" s="232"/>
      <c r="BA40" s="233"/>
      <c r="BB40" s="136"/>
      <c r="BC40" s="214"/>
      <c r="BD40" s="137" t="s">
        <v>54</v>
      </c>
      <c r="BE40" s="138">
        <f>SUM(BE9:BE39)</f>
        <v>295.8</v>
      </c>
      <c r="BF40" s="232"/>
      <c r="BG40" s="139"/>
      <c r="BH40" s="140">
        <f>P37+R37+T37+V37+X37+Z37+AB37+AD37+AF37+AH37+AJ37+AL37+AN37+AP37+AR37+AT37+AV37+B38+D38+F38+H38+J38+L38+N38</f>
        <v>0</v>
      </c>
      <c r="BI40" s="214"/>
      <c r="BJ40" s="197"/>
    </row>
    <row r="41" spans="1:62" ht="21" customHeight="1" thickBot="1">
      <c r="A41" s="142"/>
      <c r="B41" s="37" t="s">
        <v>19</v>
      </c>
      <c r="C41" s="37"/>
      <c r="D41" s="38" t="s">
        <v>20</v>
      </c>
      <c r="E41" s="38"/>
      <c r="F41" s="37" t="s">
        <v>21</v>
      </c>
      <c r="G41" s="37"/>
      <c r="H41" s="37" t="s">
        <v>22</v>
      </c>
      <c r="I41" s="37"/>
      <c r="J41" s="39" t="s">
        <v>23</v>
      </c>
      <c r="K41" s="39"/>
      <c r="L41" s="37" t="s">
        <v>24</v>
      </c>
      <c r="M41" s="37"/>
      <c r="N41" s="37" t="s">
        <v>25</v>
      </c>
      <c r="O41" s="37"/>
      <c r="P41" s="37" t="s">
        <v>26</v>
      </c>
      <c r="Q41" s="37"/>
      <c r="R41" s="37" t="s">
        <v>27</v>
      </c>
      <c r="S41" s="37"/>
      <c r="T41" s="37" t="s">
        <v>28</v>
      </c>
      <c r="U41" s="37"/>
      <c r="V41" s="37" t="s">
        <v>29</v>
      </c>
      <c r="W41" s="37"/>
      <c r="X41" s="37" t="s">
        <v>30</v>
      </c>
      <c r="Y41" s="37"/>
      <c r="Z41" s="40" t="s">
        <v>31</v>
      </c>
      <c r="AA41" s="40"/>
      <c r="AB41" s="37" t="s">
        <v>32</v>
      </c>
      <c r="AC41" s="37"/>
      <c r="AD41" s="37" t="s">
        <v>33</v>
      </c>
      <c r="AE41" s="37"/>
      <c r="AF41" s="37" t="s">
        <v>34</v>
      </c>
      <c r="AG41" s="37"/>
      <c r="AH41" s="37" t="s">
        <v>35</v>
      </c>
      <c r="AI41" s="37"/>
      <c r="AJ41" s="37" t="s">
        <v>36</v>
      </c>
      <c r="AK41" s="37"/>
      <c r="AL41" s="37" t="s">
        <v>37</v>
      </c>
      <c r="AM41" s="37"/>
      <c r="AN41" s="37" t="s">
        <v>38</v>
      </c>
      <c r="AO41" s="37"/>
      <c r="AP41" s="37" t="s">
        <v>39</v>
      </c>
      <c r="AQ41" s="37"/>
      <c r="AR41" s="37" t="s">
        <v>40</v>
      </c>
      <c r="AS41" s="37"/>
      <c r="AT41" s="37" t="s">
        <v>41</v>
      </c>
      <c r="AU41" s="37"/>
      <c r="AV41" s="37" t="s">
        <v>42</v>
      </c>
      <c r="AW41" s="37"/>
      <c r="AX41" s="146"/>
      <c r="AY41" s="33" t="s">
        <v>15</v>
      </c>
      <c r="AZ41" s="33" t="s">
        <v>16</v>
      </c>
      <c r="BA41" s="34" t="s">
        <v>17</v>
      </c>
      <c r="BB41" s="34" t="s">
        <v>55</v>
      </c>
      <c r="BC41" s="214"/>
      <c r="BD41" s="137" t="s">
        <v>56</v>
      </c>
      <c r="BE41" s="147">
        <f>MAX(BE9:BE39)</f>
        <v>64.2</v>
      </c>
      <c r="BF41" s="148"/>
      <c r="BG41" s="148"/>
      <c r="BH41" s="148"/>
      <c r="BI41" s="214"/>
      <c r="BJ41" s="197"/>
    </row>
    <row r="42" spans="1:62" ht="21" customHeight="1" thickBot="1">
      <c r="A42" s="142"/>
      <c r="B42" s="234" t="s">
        <v>47</v>
      </c>
      <c r="C42" s="235" t="s">
        <v>48</v>
      </c>
      <c r="D42" s="204" t="s">
        <v>47</v>
      </c>
      <c r="E42" s="236" t="s">
        <v>48</v>
      </c>
      <c r="F42" s="204" t="s">
        <v>47</v>
      </c>
      <c r="G42" s="237" t="s">
        <v>48</v>
      </c>
      <c r="H42" s="204" t="s">
        <v>47</v>
      </c>
      <c r="I42" s="237" t="s">
        <v>48</v>
      </c>
      <c r="J42" s="204" t="s">
        <v>47</v>
      </c>
      <c r="K42" s="237" t="s">
        <v>48</v>
      </c>
      <c r="L42" s="204" t="s">
        <v>47</v>
      </c>
      <c r="M42" s="237" t="s">
        <v>48</v>
      </c>
      <c r="N42" s="204" t="s">
        <v>47</v>
      </c>
      <c r="O42" s="237" t="s">
        <v>48</v>
      </c>
      <c r="P42" s="204" t="s">
        <v>47</v>
      </c>
      <c r="Q42" s="237" t="s">
        <v>48</v>
      </c>
      <c r="R42" s="204" t="s">
        <v>47</v>
      </c>
      <c r="S42" s="237" t="s">
        <v>48</v>
      </c>
      <c r="T42" s="204" t="s">
        <v>47</v>
      </c>
      <c r="U42" s="237" t="s">
        <v>48</v>
      </c>
      <c r="V42" s="204" t="s">
        <v>47</v>
      </c>
      <c r="W42" s="237" t="s">
        <v>48</v>
      </c>
      <c r="X42" s="204" t="s">
        <v>47</v>
      </c>
      <c r="Y42" s="237" t="s">
        <v>48</v>
      </c>
      <c r="Z42" s="204" t="s">
        <v>47</v>
      </c>
      <c r="AA42" s="237" t="s">
        <v>48</v>
      </c>
      <c r="AB42" s="204" t="s">
        <v>47</v>
      </c>
      <c r="AC42" s="237" t="s">
        <v>48</v>
      </c>
      <c r="AD42" s="204" t="s">
        <v>47</v>
      </c>
      <c r="AE42" s="237" t="s">
        <v>48</v>
      </c>
      <c r="AF42" s="204" t="s">
        <v>47</v>
      </c>
      <c r="AG42" s="237" t="s">
        <v>48</v>
      </c>
      <c r="AH42" s="204" t="s">
        <v>47</v>
      </c>
      <c r="AI42" s="237" t="s">
        <v>48</v>
      </c>
      <c r="AJ42" s="204" t="s">
        <v>47</v>
      </c>
      <c r="AK42" s="205" t="s">
        <v>48</v>
      </c>
      <c r="AL42" s="204" t="s">
        <v>47</v>
      </c>
      <c r="AM42" s="237" t="s">
        <v>48</v>
      </c>
      <c r="AN42" s="204" t="s">
        <v>47</v>
      </c>
      <c r="AO42" s="237" t="s">
        <v>48</v>
      </c>
      <c r="AP42" s="204" t="s">
        <v>47</v>
      </c>
      <c r="AQ42" s="205" t="s">
        <v>48</v>
      </c>
      <c r="AR42" s="204" t="s">
        <v>47</v>
      </c>
      <c r="AS42" s="237" t="s">
        <v>48</v>
      </c>
      <c r="AT42" s="204" t="s">
        <v>47</v>
      </c>
      <c r="AU42" s="205" t="s">
        <v>48</v>
      </c>
      <c r="AV42" s="204" t="s">
        <v>47</v>
      </c>
      <c r="AW42" s="205" t="s">
        <v>48</v>
      </c>
      <c r="AX42" s="146"/>
      <c r="AY42" s="35" t="s">
        <v>57</v>
      </c>
      <c r="AZ42" s="35" t="s">
        <v>43</v>
      </c>
      <c r="BA42" s="35" t="s">
        <v>44</v>
      </c>
      <c r="BB42" s="35" t="s">
        <v>58</v>
      </c>
      <c r="BC42" s="214"/>
      <c r="BD42" s="137" t="s">
        <v>59</v>
      </c>
      <c r="BE42" s="70">
        <f>COUNTIF(BE9:BE39,"&gt;=1")</f>
        <v>14</v>
      </c>
      <c r="BF42" s="238"/>
      <c r="BG42" s="238"/>
      <c r="BH42" s="238"/>
      <c r="BI42" s="214"/>
      <c r="BJ42" s="197"/>
    </row>
    <row r="43" spans="1:62" ht="21" customHeight="1" thickBot="1">
      <c r="A43" s="238" t="s">
        <v>60</v>
      </c>
      <c r="B43" s="154">
        <f>SUM(B9:B39)</f>
        <v>5.2</v>
      </c>
      <c r="C43" s="154"/>
      <c r="D43" s="154">
        <f>SUM(D9:D39)</f>
        <v>3</v>
      </c>
      <c r="E43" s="154"/>
      <c r="F43" s="154">
        <f>SUM(F9:F39)</f>
        <v>2.6999999999999997</v>
      </c>
      <c r="G43" s="154"/>
      <c r="H43" s="154">
        <f>SUM(H9:H39)</f>
        <v>0.6</v>
      </c>
      <c r="I43" s="154"/>
      <c r="J43" s="154">
        <f>SUM(J9:J39)</f>
        <v>2</v>
      </c>
      <c r="K43" s="154"/>
      <c r="L43" s="154">
        <f>SUM(L9:L39)</f>
        <v>1.2</v>
      </c>
      <c r="M43" s="154"/>
      <c r="N43" s="154">
        <f>SUM(N9:N39)</f>
        <v>0.2</v>
      </c>
      <c r="O43" s="154"/>
      <c r="P43" s="154">
        <f>SUM(P9:P39)</f>
        <v>0</v>
      </c>
      <c r="Q43" s="154"/>
      <c r="R43" s="154">
        <f>SUM(R9:R39)</f>
        <v>0</v>
      </c>
      <c r="S43" s="154"/>
      <c r="T43" s="154">
        <f>SUM(T9:T39)</f>
        <v>0.3</v>
      </c>
      <c r="U43" s="154"/>
      <c r="V43" s="154">
        <f>SUM(V9:V39)</f>
        <v>7.1</v>
      </c>
      <c r="W43" s="154"/>
      <c r="X43" s="154">
        <f>SUM(X9:X39)</f>
        <v>2.8</v>
      </c>
      <c r="Y43" s="154"/>
      <c r="Z43" s="154">
        <f>SUM(Z9:Z39)</f>
        <v>2.2999999999999998</v>
      </c>
      <c r="AA43" s="154"/>
      <c r="AB43" s="154">
        <f>SUM(AB9:AB39)</f>
        <v>36.6</v>
      </c>
      <c r="AC43" s="154"/>
      <c r="AD43" s="154">
        <f>SUM(AD9:AD39)</f>
        <v>48.8</v>
      </c>
      <c r="AE43" s="154"/>
      <c r="AF43" s="154">
        <f>SUM(AF9:AF39)</f>
        <v>25.4</v>
      </c>
      <c r="AG43" s="154"/>
      <c r="AH43" s="154">
        <f>SUM(AH9:AH39)</f>
        <v>17</v>
      </c>
      <c r="AI43" s="154"/>
      <c r="AJ43" s="154">
        <f>SUM(AJ9:AJ39)</f>
        <v>22.6</v>
      </c>
      <c r="AK43" s="154"/>
      <c r="AL43" s="154">
        <f>SUM(AL9:AL39)</f>
        <v>8</v>
      </c>
      <c r="AM43" s="154"/>
      <c r="AN43" s="154">
        <f>SUM(AN9:AN39)</f>
        <v>1.7000000000000002</v>
      </c>
      <c r="AO43" s="154"/>
      <c r="AP43" s="154">
        <f>SUM(AP9:AP39)</f>
        <v>0.90000000000000013</v>
      </c>
      <c r="AQ43" s="154"/>
      <c r="AR43" s="154">
        <f>SUM(AR9:AR39)</f>
        <v>13.700000000000001</v>
      </c>
      <c r="AS43" s="154"/>
      <c r="AT43" s="154">
        <f>SUM(AT9:AT39)</f>
        <v>32.4</v>
      </c>
      <c r="AU43" s="154"/>
      <c r="AV43" s="154">
        <f>SUM(AV9:AV39)</f>
        <v>20.6</v>
      </c>
      <c r="AW43" s="154"/>
      <c r="AX43" s="146"/>
      <c r="AY43" s="53" t="s">
        <v>49</v>
      </c>
      <c r="AZ43" s="53" t="s">
        <v>50</v>
      </c>
      <c r="BA43" s="54" t="s">
        <v>51</v>
      </c>
      <c r="BB43" s="54" t="s">
        <v>61</v>
      </c>
      <c r="BC43" s="214"/>
      <c r="BD43" s="137"/>
      <c r="BE43" s="70"/>
      <c r="BF43" s="238"/>
      <c r="BG43" s="238"/>
      <c r="BH43" s="238"/>
      <c r="BI43" s="214"/>
      <c r="BJ43" s="197"/>
    </row>
    <row r="44" spans="1:62" s="161" customFormat="1" ht="21" customHeight="1" thickBot="1">
      <c r="A44" s="238" t="s">
        <v>62</v>
      </c>
      <c r="B44" s="155"/>
      <c r="C44" s="155">
        <f>SUM(C9:C39)</f>
        <v>75</v>
      </c>
      <c r="D44" s="155"/>
      <c r="E44" s="155">
        <f>SUM(E9:E39)</f>
        <v>90</v>
      </c>
      <c r="F44" s="155"/>
      <c r="G44" s="155">
        <f>SUM(G9:G39)</f>
        <v>120</v>
      </c>
      <c r="H44" s="155"/>
      <c r="I44" s="155">
        <f>SUM(I9:I39)</f>
        <v>85</v>
      </c>
      <c r="J44" s="155"/>
      <c r="K44" s="155">
        <f>SUM(K9:K39)</f>
        <v>55</v>
      </c>
      <c r="L44" s="155"/>
      <c r="M44" s="155">
        <f>SUM(M9:M39)</f>
        <v>35</v>
      </c>
      <c r="N44" s="155"/>
      <c r="O44" s="155">
        <f>SUM(O9:O39)</f>
        <v>5</v>
      </c>
      <c r="P44" s="155"/>
      <c r="Q44" s="155">
        <f>SUM(Q9:Q39)</f>
        <v>0</v>
      </c>
      <c r="R44" s="155"/>
      <c r="S44" s="155">
        <f>SUM(S9:S39)</f>
        <v>0</v>
      </c>
      <c r="T44" s="155"/>
      <c r="U44" s="155">
        <f>SUM(U9:U39)</f>
        <v>10</v>
      </c>
      <c r="V44" s="155"/>
      <c r="W44" s="155">
        <f>SUM(W9:W39)</f>
        <v>55</v>
      </c>
      <c r="X44" s="155"/>
      <c r="Y44" s="155">
        <f>SUM(Y9:Y39)</f>
        <v>35</v>
      </c>
      <c r="Z44" s="155"/>
      <c r="AA44" s="155">
        <f>SUM(AA9:AA39)</f>
        <v>25</v>
      </c>
      <c r="AB44" s="155"/>
      <c r="AC44" s="155">
        <f>SUM(AC9:AC39)</f>
        <v>170</v>
      </c>
      <c r="AD44" s="155"/>
      <c r="AE44" s="155">
        <f>SUM(AE9:AE39)</f>
        <v>240</v>
      </c>
      <c r="AF44" s="155"/>
      <c r="AG44" s="155">
        <f>SUM(AG9:AG39)</f>
        <v>265</v>
      </c>
      <c r="AH44" s="155"/>
      <c r="AI44" s="155">
        <f>SUM(AI9:AI39)</f>
        <v>145</v>
      </c>
      <c r="AJ44" s="155"/>
      <c r="AK44" s="155">
        <f>SUM(AK9:AK39)</f>
        <v>155</v>
      </c>
      <c r="AL44" s="155"/>
      <c r="AM44" s="155">
        <f>SUM(AM9:AM39)</f>
        <v>130</v>
      </c>
      <c r="AN44" s="155"/>
      <c r="AO44" s="155">
        <f>SUM(AO9:AO39)</f>
        <v>60</v>
      </c>
      <c r="AP44" s="155"/>
      <c r="AQ44" s="155">
        <f>SUM(AQ9:AQ39)</f>
        <v>40</v>
      </c>
      <c r="AR44" s="155"/>
      <c r="AS44" s="155">
        <f>SUM(AS9:AS39)</f>
        <v>190</v>
      </c>
      <c r="AT44" s="155"/>
      <c r="AU44" s="155">
        <f>SUM(AU9:AU39)</f>
        <v>140</v>
      </c>
      <c r="AV44" s="155"/>
      <c r="AW44" s="155">
        <f>SUM(AW9:AW39)</f>
        <v>80</v>
      </c>
      <c r="AX44" s="239"/>
      <c r="AY44" s="157">
        <f>AY9+AY10+AY11+AY12+AY13+AY14+AY15+AY16+AY17+AY18+AY19+AY20+AY21+AY22+AY23+AY24+AY25+AY26+AY27+AY28+AY29+AY30+AY31+AY32+AY33+AY34+AY35+AY36+AY37+AY38+AY39</f>
        <v>255.1</v>
      </c>
      <c r="AZ44" s="158">
        <f>AZ9+AZ10+AZ11+AZ12+AZ13+AZ14+AZ15+AZ16+AZ17+AZ18+AZ19+AZ20+AZ21+AZ22+AZ23+AZ24+AZ25+AZ26+AZ27+AZ28+AZ29+AZ30+AZ31+AZ32+AZ33+AZ34+AZ35+AZ36+AZ37+AZ38+AZ39</f>
        <v>2205</v>
      </c>
      <c r="BA44" s="154">
        <f>MAX(BA9:BA39)</f>
        <v>25.8</v>
      </c>
      <c r="BB44" s="155">
        <f>SUM(BB8:BB39)</f>
        <v>82</v>
      </c>
      <c r="BC44" s="42"/>
      <c r="BD44" s="197"/>
      <c r="BE44" s="240"/>
      <c r="BF44" s="241"/>
      <c r="BG44" s="240"/>
      <c r="BH44" s="242"/>
      <c r="BI44" s="214"/>
      <c r="BJ44" s="197"/>
    </row>
    <row r="45" spans="1:62" s="161" customFormat="1" ht="21" customHeight="1" thickBot="1">
      <c r="A45" s="238" t="s">
        <v>63</v>
      </c>
      <c r="B45" s="155">
        <f>COUNT(B9:B39)</f>
        <v>3</v>
      </c>
      <c r="C45" s="155"/>
      <c r="D45" s="155">
        <f>COUNT(D9:D39)</f>
        <v>2</v>
      </c>
      <c r="E45" s="155"/>
      <c r="F45" s="155">
        <f>COUNT(F9:F39)</f>
        <v>3</v>
      </c>
      <c r="G45" s="155"/>
      <c r="H45" s="155">
        <f>COUNT(H9:H39)</f>
        <v>2</v>
      </c>
      <c r="I45" s="155"/>
      <c r="J45" s="155">
        <f>COUNT(J9:J39)</f>
        <v>2</v>
      </c>
      <c r="K45" s="155"/>
      <c r="L45" s="155">
        <f>COUNT(L9:L39)</f>
        <v>2</v>
      </c>
      <c r="M45" s="155"/>
      <c r="N45" s="155">
        <f>COUNT(N9:N39)</f>
        <v>2</v>
      </c>
      <c r="O45" s="155"/>
      <c r="P45" s="155">
        <f>COUNT(P9:P39)</f>
        <v>0</v>
      </c>
      <c r="Q45" s="155"/>
      <c r="R45" s="155">
        <f>COUNT(R9:R39)</f>
        <v>0</v>
      </c>
      <c r="S45" s="155"/>
      <c r="T45" s="155">
        <f>COUNT(T9:T39)</f>
        <v>1</v>
      </c>
      <c r="U45" s="155"/>
      <c r="V45" s="155">
        <f>COUNT(V9:V39)</f>
        <v>3</v>
      </c>
      <c r="W45" s="155"/>
      <c r="X45" s="155">
        <f>COUNT(X9:X39)</f>
        <v>2</v>
      </c>
      <c r="Y45" s="155"/>
      <c r="Z45" s="155">
        <f>COUNT(Z9:Z39)</f>
        <v>2</v>
      </c>
      <c r="AA45" s="155"/>
      <c r="AB45" s="155">
        <f>COUNT(AB9:AB39)</f>
        <v>6</v>
      </c>
      <c r="AC45" s="155"/>
      <c r="AD45" s="155">
        <f>COUNT(AD9:AD39)</f>
        <v>7</v>
      </c>
      <c r="AE45" s="155"/>
      <c r="AF45" s="155">
        <f>COUNT(AF9:AF39)</f>
        <v>9</v>
      </c>
      <c r="AG45" s="155"/>
      <c r="AH45" s="155">
        <f>COUNT(AH9:AH39)</f>
        <v>7</v>
      </c>
      <c r="AI45" s="155"/>
      <c r="AJ45" s="155">
        <f>COUNT(AJ9:AJ39)</f>
        <v>7</v>
      </c>
      <c r="AK45" s="155"/>
      <c r="AL45" s="155">
        <f>COUNT(AL9:AL39)</f>
        <v>4</v>
      </c>
      <c r="AM45" s="155"/>
      <c r="AN45" s="155">
        <f>COUNT(AN9:AN39)</f>
        <v>4</v>
      </c>
      <c r="AO45" s="162"/>
      <c r="AP45" s="155">
        <f>COUNT(AP9:AP39)</f>
        <v>3</v>
      </c>
      <c r="AQ45" s="155"/>
      <c r="AR45" s="155">
        <f>COUNT(AR9:AR39)</f>
        <v>5</v>
      </c>
      <c r="AS45" s="155"/>
      <c r="AT45" s="155">
        <f>COUNT(AT9:AT39)</f>
        <v>3</v>
      </c>
      <c r="AU45" s="155"/>
      <c r="AV45" s="155">
        <f>COUNT(AV9:AV39)</f>
        <v>3</v>
      </c>
      <c r="AW45" s="155"/>
      <c r="AX45" s="243"/>
      <c r="AY45" s="164" t="s">
        <v>64</v>
      </c>
      <c r="AZ45" s="165" t="s">
        <v>65</v>
      </c>
      <c r="BA45" s="240"/>
      <c r="BB45" s="34" t="s">
        <v>66</v>
      </c>
      <c r="BC45" s="214"/>
      <c r="BD45" s="197"/>
      <c r="BE45" s="238"/>
      <c r="BF45" s="241"/>
      <c r="BG45" s="240"/>
      <c r="BH45" s="238"/>
      <c r="BI45" s="214"/>
      <c r="BJ45" s="197"/>
    </row>
    <row r="46" spans="1:62" s="161" customFormat="1" ht="21" customHeight="1" thickBot="1">
      <c r="A46" s="196"/>
      <c r="B46" s="196"/>
      <c r="C46" s="196"/>
      <c r="D46" s="196"/>
      <c r="E46" s="196"/>
      <c r="F46" s="196"/>
      <c r="G46" s="196"/>
      <c r="H46" s="196"/>
      <c r="I46" s="196"/>
      <c r="J46" s="196"/>
      <c r="K46" s="196"/>
      <c r="L46" s="196"/>
      <c r="M46" s="196"/>
      <c r="N46" s="196"/>
      <c r="O46" s="196"/>
      <c r="P46" s="196"/>
      <c r="Q46" s="196"/>
      <c r="R46" s="196"/>
      <c r="S46" s="196"/>
      <c r="T46" s="196"/>
      <c r="U46" s="196"/>
      <c r="V46" s="196"/>
      <c r="W46" s="196"/>
      <c r="X46" s="196"/>
      <c r="Y46" s="196"/>
      <c r="Z46" s="196"/>
      <c r="AA46" s="196"/>
      <c r="AB46" s="196"/>
      <c r="AC46" s="196"/>
      <c r="AD46" s="196"/>
      <c r="AE46" s="196"/>
      <c r="AF46" s="196"/>
      <c r="AG46" s="196"/>
      <c r="AH46" s="196"/>
      <c r="AI46" s="196"/>
      <c r="AJ46" s="196"/>
      <c r="AK46" s="196"/>
      <c r="AL46" s="196"/>
      <c r="AM46" s="196"/>
      <c r="AN46" s="196"/>
      <c r="AO46" s="196"/>
      <c r="AP46" s="196"/>
      <c r="AQ46" s="196"/>
      <c r="AR46" s="196"/>
      <c r="AS46" s="196"/>
      <c r="AT46" s="196"/>
      <c r="AU46" s="196"/>
      <c r="AV46" s="196"/>
      <c r="AW46" s="31"/>
      <c r="AX46" s="244"/>
      <c r="AY46" s="157">
        <f>[1]ano!D44</f>
        <v>207.04285714285714</v>
      </c>
      <c r="AZ46" s="167"/>
      <c r="BA46" s="245"/>
      <c r="BB46" s="35" t="s">
        <v>58</v>
      </c>
      <c r="BC46" s="214"/>
      <c r="BD46" s="197"/>
      <c r="BE46" s="240"/>
      <c r="BF46" s="238"/>
      <c r="BG46" s="245"/>
      <c r="BH46" s="238"/>
      <c r="BI46" s="214"/>
      <c r="BJ46" s="197"/>
    </row>
    <row r="47" spans="1:62" s="161" customFormat="1" ht="21" customHeight="1" thickBot="1">
      <c r="A47" s="246"/>
      <c r="B47" s="247" t="s">
        <v>67</v>
      </c>
      <c r="C47" s="248"/>
      <c r="D47" s="248"/>
      <c r="E47" s="248"/>
      <c r="F47" s="248"/>
      <c r="G47" s="248"/>
      <c r="H47" s="248"/>
      <c r="I47" s="248"/>
      <c r="J47" s="248"/>
      <c r="K47" s="248"/>
      <c r="L47" s="248"/>
      <c r="M47" s="248"/>
      <c r="N47" s="242"/>
      <c r="O47" s="242"/>
      <c r="P47" s="242"/>
      <c r="Q47" s="242"/>
      <c r="R47" s="242"/>
      <c r="S47" s="242"/>
      <c r="T47" s="242"/>
      <c r="U47" s="242"/>
      <c r="V47" s="242"/>
      <c r="W47" s="242"/>
      <c r="X47" s="242"/>
      <c r="Y47" s="242"/>
      <c r="Z47" s="242"/>
      <c r="AA47" s="242"/>
      <c r="AB47" s="242"/>
      <c r="AC47" s="242"/>
      <c r="AD47" s="242"/>
      <c r="AE47" s="242"/>
      <c r="AF47" s="242"/>
      <c r="AG47" s="242"/>
      <c r="AH47" s="242"/>
      <c r="AI47" s="242"/>
      <c r="AJ47" s="242"/>
      <c r="AK47" s="242"/>
      <c r="AL47" s="242"/>
      <c r="AM47" s="242"/>
      <c r="AN47" s="242"/>
      <c r="AO47" s="242"/>
      <c r="AP47" s="242"/>
      <c r="AQ47" s="242"/>
      <c r="AR47" s="242"/>
      <c r="AS47" s="242"/>
      <c r="AT47" s="242"/>
      <c r="AU47" s="242"/>
      <c r="AV47" s="242"/>
      <c r="AW47" s="242"/>
      <c r="AX47" s="249"/>
      <c r="AY47" s="26" t="s">
        <v>68</v>
      </c>
      <c r="AZ47" s="167"/>
      <c r="BA47" s="245"/>
      <c r="BB47" s="54" t="s">
        <v>61</v>
      </c>
      <c r="BC47" s="214"/>
      <c r="BD47" s="197"/>
      <c r="BE47" s="238"/>
      <c r="BF47" s="238"/>
      <c r="BG47" s="245"/>
      <c r="BH47" s="238"/>
      <c r="BI47" s="214"/>
      <c r="BJ47" s="197"/>
    </row>
    <row r="48" spans="1:62" s="161" customFormat="1" ht="21" customHeight="1" thickBot="1">
      <c r="A48" s="245"/>
      <c r="B48" s="250" t="s">
        <v>69</v>
      </c>
      <c r="C48" s="245"/>
      <c r="D48" s="245"/>
      <c r="E48" s="245"/>
      <c r="F48" s="245"/>
      <c r="G48" s="245"/>
      <c r="H48" s="245"/>
      <c r="I48" s="245"/>
      <c r="J48" s="245"/>
      <c r="K48" s="245"/>
      <c r="L48" s="245"/>
      <c r="M48" s="245"/>
      <c r="N48" s="196"/>
      <c r="O48" s="196"/>
      <c r="P48" s="196"/>
      <c r="Q48" s="196"/>
      <c r="R48" s="196"/>
      <c r="S48" s="196"/>
      <c r="T48" s="196"/>
      <c r="U48" s="196"/>
      <c r="V48" s="196"/>
      <c r="W48" s="196"/>
      <c r="X48" s="196"/>
      <c r="Y48" s="196"/>
      <c r="Z48" s="196"/>
      <c r="AA48" s="196"/>
      <c r="AB48" s="196"/>
      <c r="AC48" s="196"/>
      <c r="AD48" s="196"/>
      <c r="AE48" s="196"/>
      <c r="AF48" s="196"/>
      <c r="AG48" s="196"/>
      <c r="AH48" s="196"/>
      <c r="AI48" s="196"/>
      <c r="AJ48" s="196"/>
      <c r="AK48" s="196"/>
      <c r="AL48" s="196"/>
      <c r="AM48" s="196"/>
      <c r="AN48" s="196"/>
      <c r="AO48" s="196"/>
      <c r="AP48" s="196"/>
      <c r="AQ48" s="196"/>
      <c r="AR48" s="196"/>
      <c r="AS48" s="196"/>
      <c r="AT48" s="196"/>
      <c r="AU48" s="196"/>
      <c r="AV48" s="196"/>
      <c r="AW48" s="196"/>
      <c r="AX48" s="178"/>
      <c r="AY48" s="157">
        <f>AY44-AY46</f>
        <v>48.05714285714285</v>
      </c>
      <c r="AZ48" s="179"/>
      <c r="BA48" s="245"/>
      <c r="BB48" s="155">
        <f>SUM(BD9:BD39)</f>
        <v>17</v>
      </c>
      <c r="BC48" s="180"/>
      <c r="BD48" s="197"/>
      <c r="BE48" s="240"/>
      <c r="BF48" s="240"/>
      <c r="BG48" s="245"/>
      <c r="BH48" s="242"/>
      <c r="BI48" s="214"/>
      <c r="BJ48" s="197"/>
    </row>
    <row r="49" spans="1:62" ht="24" customHeight="1">
      <c r="A49" s="1"/>
      <c r="B49" s="251" t="s">
        <v>71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245"/>
      <c r="AX49" s="1"/>
      <c r="AY49" s="1"/>
      <c r="AZ49" s="1"/>
      <c r="BA49" s="1"/>
      <c r="BB49" s="1"/>
      <c r="BC49" s="17"/>
      <c r="BD49" s="197"/>
      <c r="BE49" s="1"/>
      <c r="BF49" s="1"/>
      <c r="BG49" s="1"/>
      <c r="BH49" s="1"/>
      <c r="BI49" s="17"/>
      <c r="BJ49" s="197"/>
    </row>
    <row r="50" spans="1:62" ht="23.25">
      <c r="A50" s="252"/>
      <c r="B50" s="252"/>
      <c r="C50" s="252"/>
      <c r="D50" s="252"/>
      <c r="E50" s="252"/>
      <c r="F50" s="252"/>
      <c r="G50" s="252"/>
      <c r="H50" s="252"/>
      <c r="I50" s="252"/>
      <c r="J50" s="252"/>
      <c r="K50" s="252"/>
      <c r="L50" s="252"/>
      <c r="M50" s="252"/>
      <c r="N50" s="252"/>
      <c r="O50" s="252"/>
      <c r="P50" s="252"/>
      <c r="Q50" s="252"/>
      <c r="R50" s="252"/>
      <c r="S50" s="252"/>
      <c r="T50" s="252"/>
      <c r="U50" s="252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62" s="189" customFormat="1" ht="18">
      <c r="A51" s="188"/>
      <c r="B51" s="188"/>
      <c r="C51" s="188"/>
      <c r="D51" s="188"/>
      <c r="E51" s="188"/>
      <c r="F51" s="188"/>
      <c r="G51" s="188"/>
      <c r="H51" s="188"/>
      <c r="I51" s="188"/>
      <c r="J51" s="188"/>
      <c r="K51" s="188"/>
      <c r="L51" s="188"/>
      <c r="M51" s="188"/>
      <c r="N51" s="188"/>
      <c r="O51" s="188"/>
      <c r="P51" s="188"/>
      <c r="Q51" s="188"/>
      <c r="R51" s="188"/>
      <c r="S51" s="188"/>
      <c r="T51" s="188"/>
      <c r="U51" s="188"/>
      <c r="V51" s="188"/>
      <c r="W51" s="188"/>
      <c r="X51" s="188"/>
      <c r="Y51" s="188"/>
      <c r="Z51" s="188"/>
      <c r="AA51" s="188"/>
      <c r="AB51" s="188"/>
      <c r="AC51" s="188"/>
      <c r="AD51" s="188"/>
      <c r="AE51" s="188"/>
      <c r="AF51" s="188"/>
      <c r="AG51" s="188"/>
      <c r="AH51" s="188"/>
      <c r="AI51" s="188"/>
      <c r="AJ51" s="188"/>
      <c r="AK51" s="188"/>
      <c r="AL51" s="188"/>
      <c r="AM51" s="188"/>
      <c r="AN51" s="188"/>
      <c r="AO51" s="188"/>
      <c r="AP51" s="188"/>
      <c r="AQ51" s="188"/>
      <c r="AR51" s="188"/>
      <c r="AS51" s="188"/>
      <c r="AT51" s="188"/>
      <c r="AU51" s="188"/>
      <c r="AV51" s="188"/>
      <c r="BD51" s="191"/>
    </row>
    <row r="52" spans="1:62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62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2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2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2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12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2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2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</sheetData>
  <sheetProtection selectLockedCells="1" selectUnlockedCells="1"/>
  <mergeCells count="51">
    <mergeCell ref="AV41:AW41"/>
    <mergeCell ref="AJ41:AK41"/>
    <mergeCell ref="AL41:AM41"/>
    <mergeCell ref="AN41:AO41"/>
    <mergeCell ref="AP41:AQ41"/>
    <mergeCell ref="AR41:AS41"/>
    <mergeCell ref="AT41:AU41"/>
    <mergeCell ref="X41:Y41"/>
    <mergeCell ref="Z41:AA41"/>
    <mergeCell ref="AB41:AC41"/>
    <mergeCell ref="AD41:AE41"/>
    <mergeCell ref="AF41:AG41"/>
    <mergeCell ref="AH41:AI41"/>
    <mergeCell ref="L41:M41"/>
    <mergeCell ref="N41:O41"/>
    <mergeCell ref="P41:Q41"/>
    <mergeCell ref="R41:S41"/>
    <mergeCell ref="T41:U41"/>
    <mergeCell ref="V41:W41"/>
    <mergeCell ref="AN7:AO7"/>
    <mergeCell ref="AP7:AQ7"/>
    <mergeCell ref="AR7:AS7"/>
    <mergeCell ref="AT7:AU7"/>
    <mergeCell ref="AV7:AW7"/>
    <mergeCell ref="B41:C41"/>
    <mergeCell ref="D41:E41"/>
    <mergeCell ref="F41:G41"/>
    <mergeCell ref="H41:I41"/>
    <mergeCell ref="J41:K41"/>
    <mergeCell ref="AB7:AC7"/>
    <mergeCell ref="AD7:AE7"/>
    <mergeCell ref="AF7:AG7"/>
    <mergeCell ref="AH7:AI7"/>
    <mergeCell ref="AJ7:AK7"/>
    <mergeCell ref="AL7:AM7"/>
    <mergeCell ref="P7:Q7"/>
    <mergeCell ref="R7:S7"/>
    <mergeCell ref="T7:U7"/>
    <mergeCell ref="V7:W7"/>
    <mergeCell ref="X7:Y7"/>
    <mergeCell ref="Z7:AA7"/>
    <mergeCell ref="AY4:BB4"/>
    <mergeCell ref="BE4:BH4"/>
    <mergeCell ref="AY5:BB5"/>
    <mergeCell ref="B7:C7"/>
    <mergeCell ref="D7:E7"/>
    <mergeCell ref="F7:G7"/>
    <mergeCell ref="H7:I7"/>
    <mergeCell ref="J7:K7"/>
    <mergeCell ref="L7:M7"/>
    <mergeCell ref="N7:O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BI58"/>
  <sheetViews>
    <sheetView showGridLines="0" defaultGridColor="0" colorId="8" zoomScale="60" zoomScaleNormal="60" workbookViewId="0">
      <selection activeCell="B5" sqref="B5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193" customWidth="1"/>
    <col min="57" max="58" width="13.140625" customWidth="1"/>
    <col min="59" max="59" width="12.42578125" customWidth="1"/>
    <col min="60" max="60" width="14.42578125" customWidth="1"/>
  </cols>
  <sheetData>
    <row r="1" spans="1:61" s="6" customFormat="1" ht="21" customHeight="1">
      <c r="A1" s="253"/>
      <c r="B1" s="254" t="s">
        <v>74</v>
      </c>
      <c r="C1" s="1"/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1"/>
      <c r="B2" s="7" t="s">
        <v>73</v>
      </c>
      <c r="C2" s="8"/>
      <c r="D2" s="8"/>
      <c r="E2" s="8"/>
      <c r="F2" s="9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1" t="s">
        <v>4</v>
      </c>
      <c r="AV2" s="1"/>
      <c r="AW2" s="1"/>
      <c r="AX2" s="1"/>
      <c r="AY2" s="1"/>
      <c r="AZ2" s="1"/>
      <c r="BA2" s="1"/>
      <c r="BB2" s="1"/>
      <c r="BC2" s="1"/>
      <c r="BD2" s="4"/>
    </row>
    <row r="3" spans="1:61" s="6" customFormat="1" ht="21" customHeight="1" thickBot="1">
      <c r="A3" s="1"/>
      <c r="B3" s="194" t="s">
        <v>75</v>
      </c>
      <c r="C3" s="8"/>
      <c r="D3" s="8"/>
      <c r="E3" s="8"/>
      <c r="F3" s="9"/>
      <c r="G3" s="9"/>
      <c r="H3" s="1"/>
      <c r="I3" s="1"/>
      <c r="J3" s="1"/>
      <c r="K3" s="1"/>
      <c r="L3" s="1"/>
      <c r="M3" s="3" t="s">
        <v>8</v>
      </c>
      <c r="N3" s="1"/>
      <c r="O3" s="1"/>
      <c r="P3" s="1"/>
      <c r="Q3" s="1"/>
      <c r="R3" s="1"/>
      <c r="S3" s="1"/>
      <c r="T3" s="1"/>
      <c r="U3" s="1"/>
      <c r="V3" s="1"/>
      <c r="W3" s="13"/>
      <c r="X3" s="13"/>
      <c r="Y3" s="13"/>
      <c r="Z3" s="13"/>
      <c r="AA3" s="13"/>
      <c r="AB3" s="13"/>
      <c r="AC3" s="13"/>
      <c r="AD3" s="13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</row>
    <row r="4" spans="1:61" ht="21" customHeight="1" thickBot="1">
      <c r="A4" s="195"/>
      <c r="B4" s="196"/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75"/>
      <c r="T4" s="196"/>
      <c r="U4" s="196"/>
      <c r="V4" s="196"/>
      <c r="W4" s="196"/>
      <c r="X4" s="196"/>
      <c r="Y4" s="196"/>
      <c r="Z4" s="196"/>
      <c r="AA4" s="196"/>
      <c r="AB4" s="196"/>
      <c r="AC4" s="196"/>
      <c r="AD4" s="196"/>
      <c r="AE4" s="196"/>
      <c r="AF4" s="196"/>
      <c r="AG4" s="196"/>
      <c r="AH4" s="196"/>
      <c r="AI4" s="196"/>
      <c r="AJ4" s="196"/>
      <c r="AK4" s="196"/>
      <c r="AL4" s="196"/>
      <c r="AM4" s="196"/>
      <c r="AN4" s="196"/>
      <c r="AO4" s="196"/>
      <c r="AP4" s="196"/>
      <c r="AQ4" s="196"/>
      <c r="AR4" s="196"/>
      <c r="AS4" s="196"/>
      <c r="AT4" s="196"/>
      <c r="AU4" s="196"/>
      <c r="AV4" s="196"/>
      <c r="AW4" s="196"/>
      <c r="AX4" s="196"/>
      <c r="AY4" s="18" t="s">
        <v>9</v>
      </c>
      <c r="AZ4" s="18"/>
      <c r="BA4" s="18"/>
      <c r="BB4" s="18"/>
      <c r="BC4" s="17"/>
      <c r="BD4" s="19"/>
      <c r="BE4" s="18" t="s">
        <v>9</v>
      </c>
      <c r="BF4" s="18"/>
      <c r="BG4" s="18"/>
      <c r="BH4" s="18"/>
    </row>
    <row r="5" spans="1:61" ht="21" customHeight="1" thickBot="1">
      <c r="A5" s="17"/>
      <c r="B5" s="17"/>
      <c r="C5" s="255"/>
      <c r="D5" s="255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"/>
      <c r="AS5" s="1"/>
      <c r="AT5" s="1"/>
      <c r="AU5" s="1"/>
      <c r="AV5" s="1"/>
      <c r="AW5" s="1"/>
      <c r="AX5" s="17"/>
      <c r="AY5" s="25" t="s">
        <v>11</v>
      </c>
      <c r="AZ5" s="25"/>
      <c r="BA5" s="25"/>
      <c r="BB5" s="25"/>
      <c r="BC5" s="17"/>
      <c r="BD5" s="19"/>
      <c r="BE5" s="26" t="s">
        <v>12</v>
      </c>
      <c r="BF5" s="27" t="s">
        <v>13</v>
      </c>
      <c r="BG5" s="28" t="s">
        <v>14</v>
      </c>
      <c r="BH5" s="29"/>
    </row>
    <row r="6" spans="1:61" ht="21" customHeight="1" thickBot="1">
      <c r="A6" s="30"/>
      <c r="B6" s="31"/>
      <c r="C6" s="32"/>
      <c r="D6" s="31"/>
      <c r="E6" s="32"/>
      <c r="F6" s="31"/>
      <c r="G6" s="32"/>
      <c r="H6" s="31"/>
      <c r="I6" s="32"/>
      <c r="J6" s="31"/>
      <c r="K6" s="32"/>
      <c r="L6" s="31"/>
      <c r="M6" s="32"/>
      <c r="N6" s="31"/>
      <c r="O6" s="32"/>
      <c r="P6" s="31"/>
      <c r="Q6" s="32"/>
      <c r="R6" s="31"/>
      <c r="S6" s="32"/>
      <c r="T6" s="31"/>
      <c r="U6" s="32"/>
      <c r="V6" s="31"/>
      <c r="W6" s="32"/>
      <c r="X6" s="31"/>
      <c r="Y6" s="32"/>
      <c r="Z6" s="31"/>
      <c r="AA6" s="32"/>
      <c r="AB6" s="31"/>
      <c r="AC6" s="32"/>
      <c r="AD6" s="31"/>
      <c r="AE6" s="32"/>
      <c r="AF6" s="31"/>
      <c r="AG6" s="32"/>
      <c r="AH6" s="31"/>
      <c r="AI6" s="32"/>
      <c r="AJ6" s="31"/>
      <c r="AK6" s="32"/>
      <c r="AL6" s="31"/>
      <c r="AM6" s="32"/>
      <c r="AN6" s="31"/>
      <c r="AO6" s="32"/>
      <c r="AP6" s="31"/>
      <c r="AQ6" s="32"/>
      <c r="AR6" s="31"/>
      <c r="AS6" s="32"/>
      <c r="AT6" s="31"/>
      <c r="AU6" s="32"/>
      <c r="AV6" s="31"/>
      <c r="AW6" s="32"/>
      <c r="AX6" s="31"/>
      <c r="AY6" s="33" t="s">
        <v>15</v>
      </c>
      <c r="AZ6" s="33" t="s">
        <v>16</v>
      </c>
      <c r="BA6" s="34" t="s">
        <v>17</v>
      </c>
      <c r="BB6" s="34"/>
      <c r="BC6" s="17"/>
      <c r="BD6" s="19"/>
      <c r="BE6" s="35" t="s">
        <v>15</v>
      </c>
      <c r="BF6" s="35"/>
      <c r="BG6" s="35" t="s">
        <v>17</v>
      </c>
      <c r="BH6" s="35"/>
    </row>
    <row r="7" spans="1:61" ht="21" customHeight="1" thickBot="1">
      <c r="A7" s="36" t="s">
        <v>18</v>
      </c>
      <c r="B7" s="37" t="s">
        <v>19</v>
      </c>
      <c r="C7" s="37"/>
      <c r="D7" s="38" t="s">
        <v>20</v>
      </c>
      <c r="E7" s="38"/>
      <c r="F7" s="37" t="s">
        <v>21</v>
      </c>
      <c r="G7" s="37"/>
      <c r="H7" s="37" t="s">
        <v>22</v>
      </c>
      <c r="I7" s="37"/>
      <c r="J7" s="39" t="s">
        <v>23</v>
      </c>
      <c r="K7" s="39"/>
      <c r="L7" s="37" t="s">
        <v>24</v>
      </c>
      <c r="M7" s="37"/>
      <c r="N7" s="37" t="s">
        <v>25</v>
      </c>
      <c r="O7" s="37"/>
      <c r="P7" s="37" t="s">
        <v>26</v>
      </c>
      <c r="Q7" s="37"/>
      <c r="R7" s="37" t="s">
        <v>27</v>
      </c>
      <c r="S7" s="37"/>
      <c r="T7" s="37" t="s">
        <v>28</v>
      </c>
      <c r="U7" s="37"/>
      <c r="V7" s="37" t="s">
        <v>29</v>
      </c>
      <c r="W7" s="37"/>
      <c r="X7" s="37" t="s">
        <v>30</v>
      </c>
      <c r="Y7" s="37"/>
      <c r="Z7" s="40" t="s">
        <v>31</v>
      </c>
      <c r="AA7" s="40"/>
      <c r="AB7" s="37" t="s">
        <v>32</v>
      </c>
      <c r="AC7" s="37"/>
      <c r="AD7" s="37" t="s">
        <v>33</v>
      </c>
      <c r="AE7" s="37"/>
      <c r="AF7" s="37" t="s">
        <v>34</v>
      </c>
      <c r="AG7" s="37"/>
      <c r="AH7" s="37" t="s">
        <v>35</v>
      </c>
      <c r="AI7" s="37"/>
      <c r="AJ7" s="37" t="s">
        <v>36</v>
      </c>
      <c r="AK7" s="37"/>
      <c r="AL7" s="37" t="s">
        <v>37</v>
      </c>
      <c r="AM7" s="37"/>
      <c r="AN7" s="37" t="s">
        <v>38</v>
      </c>
      <c r="AO7" s="37"/>
      <c r="AP7" s="37" t="s">
        <v>39</v>
      </c>
      <c r="AQ7" s="37"/>
      <c r="AR7" s="37" t="s">
        <v>40</v>
      </c>
      <c r="AS7" s="37"/>
      <c r="AT7" s="37" t="s">
        <v>41</v>
      </c>
      <c r="AU7" s="37"/>
      <c r="AV7" s="37" t="s">
        <v>42</v>
      </c>
      <c r="AW7" s="37"/>
      <c r="AX7" s="41" t="s">
        <v>18</v>
      </c>
      <c r="AY7" s="35" t="s">
        <v>43</v>
      </c>
      <c r="AZ7" s="35" t="s">
        <v>43</v>
      </c>
      <c r="BA7" s="35" t="s">
        <v>44</v>
      </c>
      <c r="BB7" s="35" t="s">
        <v>45</v>
      </c>
      <c r="BC7" s="42"/>
      <c r="BD7" s="197"/>
      <c r="BE7" s="35" t="s">
        <v>43</v>
      </c>
      <c r="BF7" s="35"/>
      <c r="BG7" s="35" t="s">
        <v>44</v>
      </c>
      <c r="BH7" s="35"/>
    </row>
    <row r="8" spans="1:61" ht="21" customHeight="1" thickBot="1">
      <c r="A8" s="43" t="s">
        <v>46</v>
      </c>
      <c r="B8" s="198" t="s">
        <v>47</v>
      </c>
      <c r="C8" s="199" t="s">
        <v>48</v>
      </c>
      <c r="D8" s="200" t="s">
        <v>47</v>
      </c>
      <c r="E8" s="201" t="s">
        <v>48</v>
      </c>
      <c r="F8" s="200" t="s">
        <v>47</v>
      </c>
      <c r="G8" s="202" t="s">
        <v>48</v>
      </c>
      <c r="H8" s="200" t="s">
        <v>47</v>
      </c>
      <c r="I8" s="202" t="s">
        <v>48</v>
      </c>
      <c r="J8" s="200" t="s">
        <v>47</v>
      </c>
      <c r="K8" s="202" t="s">
        <v>48</v>
      </c>
      <c r="L8" s="200" t="s">
        <v>47</v>
      </c>
      <c r="M8" s="202" t="s">
        <v>48</v>
      </c>
      <c r="N8" s="200" t="s">
        <v>47</v>
      </c>
      <c r="O8" s="202" t="s">
        <v>48</v>
      </c>
      <c r="P8" s="200" t="s">
        <v>47</v>
      </c>
      <c r="Q8" s="202" t="s">
        <v>48</v>
      </c>
      <c r="R8" s="200" t="s">
        <v>47</v>
      </c>
      <c r="S8" s="202" t="s">
        <v>48</v>
      </c>
      <c r="T8" s="200" t="s">
        <v>47</v>
      </c>
      <c r="U8" s="202" t="s">
        <v>48</v>
      </c>
      <c r="V8" s="200" t="s">
        <v>47</v>
      </c>
      <c r="W8" s="202" t="s">
        <v>48</v>
      </c>
      <c r="X8" s="200" t="s">
        <v>47</v>
      </c>
      <c r="Y8" s="202" t="s">
        <v>48</v>
      </c>
      <c r="Z8" s="200" t="s">
        <v>47</v>
      </c>
      <c r="AA8" s="202" t="s">
        <v>48</v>
      </c>
      <c r="AB8" s="200" t="s">
        <v>47</v>
      </c>
      <c r="AC8" s="202" t="s">
        <v>48</v>
      </c>
      <c r="AD8" s="200" t="s">
        <v>47</v>
      </c>
      <c r="AE8" s="202" t="s">
        <v>48</v>
      </c>
      <c r="AF8" s="200" t="s">
        <v>47</v>
      </c>
      <c r="AG8" s="202" t="s">
        <v>48</v>
      </c>
      <c r="AH8" s="200" t="s">
        <v>47</v>
      </c>
      <c r="AI8" s="202" t="s">
        <v>48</v>
      </c>
      <c r="AJ8" s="200" t="s">
        <v>47</v>
      </c>
      <c r="AK8" s="203" t="s">
        <v>48</v>
      </c>
      <c r="AL8" s="200" t="s">
        <v>47</v>
      </c>
      <c r="AM8" s="202" t="s">
        <v>48</v>
      </c>
      <c r="AN8" s="200" t="s">
        <v>47</v>
      </c>
      <c r="AO8" s="202" t="s">
        <v>48</v>
      </c>
      <c r="AP8" s="200" t="s">
        <v>47</v>
      </c>
      <c r="AQ8" s="203" t="s">
        <v>48</v>
      </c>
      <c r="AR8" s="200" t="s">
        <v>47</v>
      </c>
      <c r="AS8" s="202" t="s">
        <v>48</v>
      </c>
      <c r="AT8" s="204" t="s">
        <v>47</v>
      </c>
      <c r="AU8" s="205" t="s">
        <v>48</v>
      </c>
      <c r="AV8" s="204" t="s">
        <v>47</v>
      </c>
      <c r="AW8" s="205" t="s">
        <v>48</v>
      </c>
      <c r="AX8" s="52" t="s">
        <v>46</v>
      </c>
      <c r="AY8" s="53" t="s">
        <v>49</v>
      </c>
      <c r="AZ8" s="53" t="s">
        <v>50</v>
      </c>
      <c r="BA8" s="54" t="s">
        <v>51</v>
      </c>
      <c r="BB8" s="54" t="s">
        <v>52</v>
      </c>
      <c r="BC8" s="206"/>
      <c r="BD8" s="197"/>
      <c r="BE8" s="54" t="s">
        <v>49</v>
      </c>
      <c r="BF8" s="35"/>
      <c r="BG8" s="54" t="s">
        <v>51</v>
      </c>
      <c r="BH8" s="54" t="s">
        <v>52</v>
      </c>
    </row>
    <row r="9" spans="1:61" ht="21" customHeight="1" thickBot="1">
      <c r="A9" s="71">
        <v>1</v>
      </c>
      <c r="B9" s="256"/>
      <c r="C9" s="257"/>
      <c r="D9" s="258"/>
      <c r="E9" s="257"/>
      <c r="F9" s="258"/>
      <c r="G9" s="257"/>
      <c r="H9" s="258"/>
      <c r="I9" s="257"/>
      <c r="J9" s="258"/>
      <c r="K9" s="257"/>
      <c r="L9" s="258"/>
      <c r="M9" s="257"/>
      <c r="N9" s="258"/>
      <c r="O9" s="257"/>
      <c r="P9" s="258"/>
      <c r="Q9" s="257"/>
      <c r="R9" s="258"/>
      <c r="S9" s="257"/>
      <c r="T9" s="258"/>
      <c r="U9" s="257"/>
      <c r="V9" s="258"/>
      <c r="W9" s="257"/>
      <c r="X9" s="258"/>
      <c r="Y9" s="257"/>
      <c r="Z9" s="258"/>
      <c r="AA9" s="257"/>
      <c r="AB9" s="258"/>
      <c r="AC9" s="257"/>
      <c r="AD9" s="258"/>
      <c r="AE9" s="257"/>
      <c r="AF9" s="259">
        <v>2.8</v>
      </c>
      <c r="AG9" s="257">
        <v>10</v>
      </c>
      <c r="AH9" s="258"/>
      <c r="AI9" s="257"/>
      <c r="AJ9" s="258"/>
      <c r="AK9" s="260"/>
      <c r="AL9" s="256"/>
      <c r="AM9" s="261"/>
      <c r="AN9" s="256"/>
      <c r="AO9" s="261"/>
      <c r="AP9" s="256"/>
      <c r="AQ9" s="262"/>
      <c r="AR9" s="256"/>
      <c r="AS9" s="263"/>
      <c r="AT9" s="256"/>
      <c r="AU9" s="262"/>
      <c r="AV9" s="256"/>
      <c r="AW9" s="262"/>
      <c r="AX9" s="91">
        <v>1</v>
      </c>
      <c r="AY9" s="92">
        <f t="shared" ref="AY9:AZ39" si="0">B9+D9+F9+H9+J9+L9+N9+P9+R9+T9+V9+X9+Z9+AB9+AD9+AF9+AH9+AJ9+AL9+AN9+AP9+AR9+AT9+AV9</f>
        <v>2.8</v>
      </c>
      <c r="AZ9" s="93">
        <f t="shared" si="0"/>
        <v>10</v>
      </c>
      <c r="BA9" s="94">
        <f t="shared" ref="BA9:BA39" si="1">MAX(B9,D9,F9,H9,J9,L9,N9,P9,R9,T9,V9,X9,Z9,AB9,AD9,AF9,AH9,AJ9,AL9,AN9,AP9,AR9,AT9,AV9)</f>
        <v>2.8</v>
      </c>
      <c r="BB9" s="95">
        <f t="shared" ref="BB9:BB39" si="2">COUNT(B9,D9,F9,H9,J9,L9,N9,P9,R9,T9,V9,X9,Z9,AB9,AD9,AF9,AH9,AJ9,AL9,AN9,AP9,AR9,AT9,AV9)</f>
        <v>1</v>
      </c>
      <c r="BC9" s="214"/>
      <c r="BD9" s="197">
        <f t="shared" ref="BD9:BD39" si="3">IF(BB9&gt;0,1,0)</f>
        <v>1</v>
      </c>
      <c r="BE9" s="264">
        <f>fevereiro!$BH40</f>
        <v>0</v>
      </c>
      <c r="BF9" s="85">
        <v>39507</v>
      </c>
      <c r="BG9" s="86">
        <f>marco!$BE10</f>
        <v>2.8</v>
      </c>
      <c r="BH9" s="87"/>
      <c r="BI9" s="197">
        <f>IF(BH9&gt;0,1,0)</f>
        <v>0</v>
      </c>
    </row>
    <row r="10" spans="1:61" ht="21" customHeight="1" thickBot="1">
      <c r="A10" s="71">
        <v>2</v>
      </c>
      <c r="B10" s="258"/>
      <c r="C10" s="257"/>
      <c r="D10" s="258"/>
      <c r="E10" s="257"/>
      <c r="F10" s="258"/>
      <c r="G10" s="257"/>
      <c r="H10" s="258"/>
      <c r="I10" s="257"/>
      <c r="J10" s="258"/>
      <c r="K10" s="257"/>
      <c r="L10" s="258"/>
      <c r="M10" s="257"/>
      <c r="N10" s="258"/>
      <c r="O10" s="257"/>
      <c r="P10" s="258"/>
      <c r="Q10" s="257"/>
      <c r="R10" s="258"/>
      <c r="S10" s="257"/>
      <c r="T10" s="258"/>
      <c r="U10" s="257"/>
      <c r="V10" s="258"/>
      <c r="W10" s="257"/>
      <c r="X10" s="258"/>
      <c r="Y10" s="257"/>
      <c r="Z10" s="258"/>
      <c r="AA10" s="257"/>
      <c r="AB10" s="258"/>
      <c r="AC10" s="257"/>
      <c r="AD10" s="258"/>
      <c r="AE10" s="257"/>
      <c r="AF10" s="258"/>
      <c r="AG10" s="257"/>
      <c r="AH10" s="258"/>
      <c r="AI10" s="257"/>
      <c r="AJ10" s="258"/>
      <c r="AK10" s="257"/>
      <c r="AL10" s="258"/>
      <c r="AM10" s="265"/>
      <c r="AN10" s="258"/>
      <c r="AO10" s="257"/>
      <c r="AP10" s="258"/>
      <c r="AQ10" s="257"/>
      <c r="AR10" s="258"/>
      <c r="AS10" s="265"/>
      <c r="AT10" s="258"/>
      <c r="AU10" s="257"/>
      <c r="AV10" s="258"/>
      <c r="AW10" s="265"/>
      <c r="AX10" s="91">
        <v>2</v>
      </c>
      <c r="AY10" s="92">
        <f t="shared" si="0"/>
        <v>0</v>
      </c>
      <c r="AZ10" s="93">
        <f t="shared" si="0"/>
        <v>0</v>
      </c>
      <c r="BA10" s="94">
        <f t="shared" si="1"/>
        <v>0</v>
      </c>
      <c r="BB10" s="95">
        <f t="shared" si="2"/>
        <v>0</v>
      </c>
      <c r="BC10" s="214"/>
      <c r="BD10" s="197">
        <f t="shared" si="3"/>
        <v>0</v>
      </c>
      <c r="BE10" s="84">
        <f>P9+R9+T9+V9+X9+Z9+AB9+AD9+AF9+AH9+AJ9+AL9+AN9+AP9+AR9+AT9+AV9+B10+D10+F10+H10+J10+L10+N10</f>
        <v>2.8</v>
      </c>
      <c r="BF10" s="96"/>
      <c r="BG10" s="86">
        <f>marco!$BE11</f>
        <v>0</v>
      </c>
      <c r="BH10" s="97"/>
      <c r="BI10" s="197">
        <f>IF(BH10&gt;0,1,0)</f>
        <v>0</v>
      </c>
    </row>
    <row r="11" spans="1:61" ht="21" customHeight="1">
      <c r="A11" s="71">
        <v>3</v>
      </c>
      <c r="B11" s="258"/>
      <c r="C11" s="257"/>
      <c r="D11" s="258"/>
      <c r="E11" s="257"/>
      <c r="F11" s="258"/>
      <c r="G11" s="257"/>
      <c r="H11" s="258"/>
      <c r="I11" s="257"/>
      <c r="J11" s="258"/>
      <c r="K11" s="257"/>
      <c r="L11" s="258"/>
      <c r="M11" s="257"/>
      <c r="N11" s="258"/>
      <c r="O11" s="257"/>
      <c r="P11" s="258"/>
      <c r="Q11" s="257"/>
      <c r="R11" s="258"/>
      <c r="S11" s="257"/>
      <c r="T11" s="258"/>
      <c r="U11" s="257"/>
      <c r="V11" s="258"/>
      <c r="W11" s="257"/>
      <c r="X11" s="258"/>
      <c r="Y11" s="257"/>
      <c r="Z11" s="258"/>
      <c r="AA11" s="257"/>
      <c r="AB11" s="258"/>
      <c r="AC11" s="257"/>
      <c r="AD11" s="258"/>
      <c r="AE11" s="257"/>
      <c r="AF11" s="258"/>
      <c r="AG11" s="257"/>
      <c r="AH11" s="258"/>
      <c r="AI11" s="257"/>
      <c r="AJ11" s="258"/>
      <c r="AK11" s="265"/>
      <c r="AL11" s="258"/>
      <c r="AM11" s="257"/>
      <c r="AN11" s="258"/>
      <c r="AO11" s="257"/>
      <c r="AP11" s="258"/>
      <c r="AQ11" s="265"/>
      <c r="AR11" s="258"/>
      <c r="AS11" s="257"/>
      <c r="AT11" s="258"/>
      <c r="AU11" s="265"/>
      <c r="AV11" s="258"/>
      <c r="AW11" s="265"/>
      <c r="AX11" s="91">
        <v>3</v>
      </c>
      <c r="AY11" s="92">
        <f t="shared" si="0"/>
        <v>0</v>
      </c>
      <c r="AZ11" s="93">
        <f t="shared" si="0"/>
        <v>0</v>
      </c>
      <c r="BA11" s="94">
        <f t="shared" si="1"/>
        <v>0</v>
      </c>
      <c r="BB11" s="95">
        <f t="shared" si="2"/>
        <v>0</v>
      </c>
      <c r="BC11" s="214"/>
      <c r="BD11" s="197">
        <f t="shared" si="3"/>
        <v>0</v>
      </c>
      <c r="BE11" s="98">
        <f t="shared" ref="BE11:BE38" si="4">P10+R10+T10+V10+X10+Z10+AB10+AD10+AF10+AH10+AJ10+AL10+AN10+AP10+AR10+AT10+AV10+B11+D11+F11+H11+J11+L11+N11</f>
        <v>0</v>
      </c>
      <c r="BF11" s="99"/>
      <c r="BG11" s="86">
        <f>marco!$BE12</f>
        <v>0</v>
      </c>
      <c r="BH11" s="97"/>
      <c r="BI11" s="197">
        <f t="shared" ref="BI11:BI39" si="5">IF(BH11&gt;0,1,0)</f>
        <v>0</v>
      </c>
    </row>
    <row r="12" spans="1:61" ht="21" customHeight="1">
      <c r="A12" s="71">
        <v>4</v>
      </c>
      <c r="B12" s="258"/>
      <c r="C12" s="257"/>
      <c r="D12" s="258"/>
      <c r="E12" s="257"/>
      <c r="F12" s="258"/>
      <c r="G12" s="257"/>
      <c r="H12" s="258"/>
      <c r="I12" s="257"/>
      <c r="J12" s="258"/>
      <c r="K12" s="257"/>
      <c r="L12" s="258"/>
      <c r="M12" s="257"/>
      <c r="N12" s="258"/>
      <c r="O12" s="257"/>
      <c r="P12" s="258"/>
      <c r="Q12" s="257"/>
      <c r="R12" s="258"/>
      <c r="S12" s="257"/>
      <c r="T12" s="266"/>
      <c r="U12" s="257"/>
      <c r="V12" s="258"/>
      <c r="W12" s="257"/>
      <c r="X12" s="258"/>
      <c r="Y12" s="257"/>
      <c r="Z12" s="258"/>
      <c r="AA12" s="257"/>
      <c r="AB12" s="258"/>
      <c r="AC12" s="257"/>
      <c r="AD12" s="258"/>
      <c r="AE12" s="257"/>
      <c r="AF12" s="258"/>
      <c r="AG12" s="257"/>
      <c r="AH12" s="258"/>
      <c r="AI12" s="257"/>
      <c r="AJ12" s="258"/>
      <c r="AK12" s="265"/>
      <c r="AL12" s="258"/>
      <c r="AM12" s="257"/>
      <c r="AN12" s="258"/>
      <c r="AO12" s="257"/>
      <c r="AP12" s="258"/>
      <c r="AQ12" s="265"/>
      <c r="AR12" s="258"/>
      <c r="AS12" s="257"/>
      <c r="AT12" s="258"/>
      <c r="AU12" s="265"/>
      <c r="AV12" s="258"/>
      <c r="AW12" s="265"/>
      <c r="AX12" s="91">
        <v>4</v>
      </c>
      <c r="AY12" s="92">
        <f t="shared" si="0"/>
        <v>0</v>
      </c>
      <c r="AZ12" s="93">
        <f t="shared" si="0"/>
        <v>0</v>
      </c>
      <c r="BA12" s="94">
        <f t="shared" si="1"/>
        <v>0</v>
      </c>
      <c r="BB12" s="95">
        <f t="shared" si="2"/>
        <v>0</v>
      </c>
      <c r="BC12" s="214"/>
      <c r="BD12" s="197">
        <f t="shared" si="3"/>
        <v>0</v>
      </c>
      <c r="BE12" s="98">
        <f t="shared" si="4"/>
        <v>0</v>
      </c>
      <c r="BF12" s="99"/>
      <c r="BG12" s="86">
        <f>marco!$BE13</f>
        <v>2.1</v>
      </c>
      <c r="BH12" s="97"/>
      <c r="BI12" s="197">
        <f t="shared" si="5"/>
        <v>0</v>
      </c>
    </row>
    <row r="13" spans="1:61" ht="21" customHeight="1">
      <c r="A13" s="71">
        <v>5</v>
      </c>
      <c r="B13" s="258"/>
      <c r="C13" s="257"/>
      <c r="D13" s="258"/>
      <c r="E13" s="257"/>
      <c r="F13" s="258"/>
      <c r="G13" s="257"/>
      <c r="H13" s="258">
        <v>1.9</v>
      </c>
      <c r="I13" s="257">
        <v>15</v>
      </c>
      <c r="J13" s="258"/>
      <c r="K13" s="257"/>
      <c r="L13" s="258">
        <v>0.2</v>
      </c>
      <c r="M13" s="257">
        <v>15</v>
      </c>
      <c r="N13" s="258"/>
      <c r="O13" s="257"/>
      <c r="P13" s="258"/>
      <c r="Q13" s="257"/>
      <c r="R13" s="258"/>
      <c r="S13" s="257"/>
      <c r="T13" s="258"/>
      <c r="U13" s="257"/>
      <c r="V13" s="258"/>
      <c r="W13" s="257"/>
      <c r="X13" s="258"/>
      <c r="Y13" s="257"/>
      <c r="Z13" s="258"/>
      <c r="AA13" s="257"/>
      <c r="AB13" s="258"/>
      <c r="AC13" s="257"/>
      <c r="AD13" s="258"/>
      <c r="AE13" s="257"/>
      <c r="AF13" s="258"/>
      <c r="AG13" s="257"/>
      <c r="AH13" s="258">
        <v>1</v>
      </c>
      <c r="AI13" s="257">
        <v>10</v>
      </c>
      <c r="AJ13" s="258"/>
      <c r="AK13" s="265"/>
      <c r="AL13" s="258"/>
      <c r="AM13" s="257"/>
      <c r="AN13" s="258"/>
      <c r="AO13" s="257"/>
      <c r="AP13" s="258">
        <v>7.6000000000000014</v>
      </c>
      <c r="AQ13" s="265">
        <v>55</v>
      </c>
      <c r="AR13" s="258">
        <v>0.9</v>
      </c>
      <c r="AS13" s="257">
        <v>25</v>
      </c>
      <c r="AT13" s="258"/>
      <c r="AU13" s="265"/>
      <c r="AV13" s="258"/>
      <c r="AW13" s="265"/>
      <c r="AX13" s="91">
        <v>5</v>
      </c>
      <c r="AY13" s="92">
        <f>B13+D13+F13+H13+J13+L13+N13+P13+R13+T13+V13+X13+Z13+AB13+AD13+AF13+AH13+AJ13+AL13+AN13+AP13+AR13+AT13+AV13</f>
        <v>11.600000000000001</v>
      </c>
      <c r="AZ13" s="93">
        <f>C13+E13+G13+I13+K13+M13+O13+Q13+S13+U13+W13+Y13+AA13+AC13+AE13+AG13+AI13+AK13+AM13+AO13+AQ13+AS13+AU13+AW13</f>
        <v>120</v>
      </c>
      <c r="BA13" s="94">
        <f>MAX(B13,D13,F13,H13,J13,L13,N13,P13,R13,T13,V13,X13,Z13,AB13,AD13,AF13,AH13,AJ13,AL13,AN13,AP13,AR13,AT13,AV13)</f>
        <v>7.6000000000000014</v>
      </c>
      <c r="BB13" s="95">
        <f>COUNT(B13,D13,F13,H13,J13,L13,N13,P13,R13,T13,V13,X13,Z13,AB13,AD13,AF13,AH13,AJ13,AL13,AN13,AP13,AR13,AT13,AV13)</f>
        <v>5</v>
      </c>
      <c r="BC13" s="214"/>
      <c r="BD13" s="197">
        <f t="shared" si="3"/>
        <v>1</v>
      </c>
      <c r="BE13" s="98">
        <f>P12+R12+T12+V12+X12+Z12+AB12+AD12+AF12+AH12+AJ12+AL12+AN12+AP12+AR12+AT12+AV12+B13+D13+F13+H13+J13+L13+N13</f>
        <v>2.1</v>
      </c>
      <c r="BF13" s="99"/>
      <c r="BG13" s="86">
        <f>marco!$BE14</f>
        <v>11.3</v>
      </c>
      <c r="BH13" s="97"/>
      <c r="BI13" s="197">
        <f t="shared" si="5"/>
        <v>0</v>
      </c>
    </row>
    <row r="14" spans="1:61" ht="21" customHeight="1">
      <c r="A14" s="71">
        <v>6</v>
      </c>
      <c r="B14" s="258"/>
      <c r="C14" s="257"/>
      <c r="D14" s="258"/>
      <c r="E14" s="257"/>
      <c r="F14" s="258">
        <v>1.1000000000000001</v>
      </c>
      <c r="G14" s="257">
        <v>25</v>
      </c>
      <c r="H14" s="258">
        <v>0.6</v>
      </c>
      <c r="I14" s="257">
        <v>20</v>
      </c>
      <c r="J14" s="258"/>
      <c r="K14" s="257"/>
      <c r="L14" s="258"/>
      <c r="M14" s="257"/>
      <c r="N14" s="258">
        <v>0.1</v>
      </c>
      <c r="O14" s="257">
        <v>5</v>
      </c>
      <c r="P14" s="258"/>
      <c r="Q14" s="257"/>
      <c r="R14" s="258"/>
      <c r="S14" s="257"/>
      <c r="T14" s="258"/>
      <c r="U14" s="257"/>
      <c r="V14" s="258"/>
      <c r="W14" s="257"/>
      <c r="X14" s="258"/>
      <c r="Y14" s="257"/>
      <c r="Z14" s="258"/>
      <c r="AA14" s="257"/>
      <c r="AB14" s="258"/>
      <c r="AC14" s="257"/>
      <c r="AD14" s="258"/>
      <c r="AE14" s="257"/>
      <c r="AF14" s="258"/>
      <c r="AG14" s="257"/>
      <c r="AH14" s="258"/>
      <c r="AI14" s="257"/>
      <c r="AJ14" s="258"/>
      <c r="AK14" s="265"/>
      <c r="AL14" s="258"/>
      <c r="AM14" s="257"/>
      <c r="AN14" s="258"/>
      <c r="AO14" s="257"/>
      <c r="AP14" s="258"/>
      <c r="AQ14" s="265"/>
      <c r="AR14" s="258"/>
      <c r="AS14" s="257"/>
      <c r="AT14" s="258"/>
      <c r="AU14" s="265"/>
      <c r="AV14" s="258"/>
      <c r="AW14" s="265"/>
      <c r="AX14" s="91">
        <v>6</v>
      </c>
      <c r="AY14" s="92">
        <f>B14+D14+F14+H14+J14+L14+N14+P14+R14+T14+V14+X14+Z14+AB14+AD14+AF14+AH14+AJ14+AL14+AN14+AP14+AR14+AT14+AV14</f>
        <v>1.8000000000000003</v>
      </c>
      <c r="AZ14" s="93">
        <f>C14+E14+G14+I14+K14+M14+O14+Q14+S14+U14+W14+Y14+AA14+AC14+AE14+AG14+AI14+AK14+AM14+AO14+AQ14+AS14+AU14+AW14</f>
        <v>50</v>
      </c>
      <c r="BA14" s="94">
        <f>MAX(B14,D14,F14,H14,J14,L14,N14,P14,R14,T14,V14,X14,Z14,AB14,AD14,AF14,AH14,AJ14,AL14,AN14,AP14,AR14,AT14,AV14)</f>
        <v>1.1000000000000001</v>
      </c>
      <c r="BB14" s="95">
        <f>COUNT(B14,D14,F14,H14,J14,L14,N14,P14,R14,T14,V14,X14,Z14,AB14,AD14,AF14,AH14,AJ14,AL14,AN14,AP14,AR14,AT14,AV14)</f>
        <v>3</v>
      </c>
      <c r="BC14" s="214"/>
      <c r="BD14" s="197">
        <f t="shared" si="3"/>
        <v>1</v>
      </c>
      <c r="BE14" s="98">
        <f>P13+R13+T13+V13+X13+Z13+AB13+AD13+AF13+AH13+AJ13+AL13+AN13+AP13+AR13+AT13+AV13+B14+D14+F14+H14+J14+L14+N14</f>
        <v>11.3</v>
      </c>
      <c r="BF14" s="99"/>
      <c r="BG14" s="86">
        <f>marco!$BE15</f>
        <v>0</v>
      </c>
      <c r="BH14" s="97"/>
      <c r="BI14" s="197">
        <f t="shared" si="5"/>
        <v>0</v>
      </c>
    </row>
    <row r="15" spans="1:61" ht="21" customHeight="1">
      <c r="A15" s="71">
        <v>7</v>
      </c>
      <c r="B15" s="258"/>
      <c r="C15" s="257"/>
      <c r="D15" s="258"/>
      <c r="E15" s="257"/>
      <c r="F15" s="258"/>
      <c r="G15" s="257"/>
      <c r="H15" s="258"/>
      <c r="I15" s="257"/>
      <c r="J15" s="258"/>
      <c r="K15" s="257"/>
      <c r="L15" s="258"/>
      <c r="M15" s="257"/>
      <c r="N15" s="258"/>
      <c r="O15" s="257"/>
      <c r="P15" s="258"/>
      <c r="Q15" s="257"/>
      <c r="R15" s="258"/>
      <c r="S15" s="257"/>
      <c r="T15" s="258"/>
      <c r="U15" s="257"/>
      <c r="V15" s="258"/>
      <c r="W15" s="257"/>
      <c r="X15" s="258"/>
      <c r="Y15" s="257"/>
      <c r="Z15" s="258"/>
      <c r="AA15" s="257"/>
      <c r="AB15" s="258"/>
      <c r="AC15" s="257"/>
      <c r="AD15" s="258"/>
      <c r="AE15" s="257"/>
      <c r="AF15" s="258"/>
      <c r="AG15" s="257"/>
      <c r="AH15" s="258"/>
      <c r="AI15" s="257"/>
      <c r="AJ15" s="258"/>
      <c r="AK15" s="265"/>
      <c r="AL15" s="258"/>
      <c r="AM15" s="257"/>
      <c r="AN15" s="258"/>
      <c r="AO15" s="257"/>
      <c r="AP15" s="258"/>
      <c r="AQ15" s="265"/>
      <c r="AR15" s="258"/>
      <c r="AS15" s="257"/>
      <c r="AT15" s="258"/>
      <c r="AU15" s="265"/>
      <c r="AV15" s="258"/>
      <c r="AW15" s="265"/>
      <c r="AX15" s="91">
        <v>7</v>
      </c>
      <c r="AY15" s="92">
        <f t="shared" si="0"/>
        <v>0</v>
      </c>
      <c r="AZ15" s="93">
        <f t="shared" si="0"/>
        <v>0</v>
      </c>
      <c r="BA15" s="94">
        <f t="shared" si="1"/>
        <v>0</v>
      </c>
      <c r="BB15" s="95">
        <f t="shared" si="2"/>
        <v>0</v>
      </c>
      <c r="BC15" s="214"/>
      <c r="BD15" s="197">
        <f t="shared" si="3"/>
        <v>0</v>
      </c>
      <c r="BE15" s="98">
        <f t="shared" si="4"/>
        <v>0</v>
      </c>
      <c r="BF15" s="99"/>
      <c r="BG15" s="86">
        <f>marco!$BE16</f>
        <v>0</v>
      </c>
      <c r="BH15" s="97"/>
      <c r="BI15" s="197">
        <f t="shared" si="5"/>
        <v>0</v>
      </c>
    </row>
    <row r="16" spans="1:61" ht="21" customHeight="1">
      <c r="A16" s="71">
        <v>8</v>
      </c>
      <c r="B16" s="258"/>
      <c r="C16" s="257"/>
      <c r="D16" s="258"/>
      <c r="E16" s="257"/>
      <c r="F16" s="258"/>
      <c r="G16" s="257"/>
      <c r="H16" s="258"/>
      <c r="I16" s="257"/>
      <c r="J16" s="258"/>
      <c r="K16" s="257"/>
      <c r="L16" s="258"/>
      <c r="M16" s="257"/>
      <c r="N16" s="258"/>
      <c r="O16" s="257"/>
      <c r="P16" s="258"/>
      <c r="Q16" s="257"/>
      <c r="R16" s="258"/>
      <c r="S16" s="257"/>
      <c r="T16" s="258"/>
      <c r="U16" s="257"/>
      <c r="V16" s="258"/>
      <c r="W16" s="257"/>
      <c r="X16" s="258"/>
      <c r="Y16" s="257"/>
      <c r="Z16" s="258"/>
      <c r="AA16" s="257"/>
      <c r="AB16" s="258"/>
      <c r="AC16" s="257"/>
      <c r="AD16" s="258"/>
      <c r="AE16" s="257"/>
      <c r="AF16" s="258">
        <v>22.8</v>
      </c>
      <c r="AG16" s="257">
        <v>30</v>
      </c>
      <c r="AH16" s="258">
        <v>8.6</v>
      </c>
      <c r="AI16" s="257">
        <v>50</v>
      </c>
      <c r="AJ16" s="258">
        <v>0.8</v>
      </c>
      <c r="AK16" s="265">
        <v>30</v>
      </c>
      <c r="AL16" s="258">
        <v>1.2000000000000002</v>
      </c>
      <c r="AM16" s="257">
        <v>30</v>
      </c>
      <c r="AN16" s="258">
        <v>3.4</v>
      </c>
      <c r="AO16" s="257">
        <v>60</v>
      </c>
      <c r="AP16" s="258">
        <v>3.2</v>
      </c>
      <c r="AQ16" s="265">
        <v>60</v>
      </c>
      <c r="AR16" s="258">
        <v>0.7</v>
      </c>
      <c r="AS16" s="257">
        <v>60</v>
      </c>
      <c r="AT16" s="258">
        <v>0.8</v>
      </c>
      <c r="AU16" s="265">
        <v>45</v>
      </c>
      <c r="AV16" s="258">
        <v>1.2</v>
      </c>
      <c r="AW16" s="265">
        <v>50</v>
      </c>
      <c r="AX16" s="91">
        <v>8</v>
      </c>
      <c r="AY16" s="92">
        <f t="shared" si="0"/>
        <v>42.7</v>
      </c>
      <c r="AZ16" s="93">
        <f t="shared" si="0"/>
        <v>415</v>
      </c>
      <c r="BA16" s="94">
        <f t="shared" si="1"/>
        <v>22.8</v>
      </c>
      <c r="BB16" s="95">
        <f t="shared" si="2"/>
        <v>9</v>
      </c>
      <c r="BC16" s="216"/>
      <c r="BD16" s="197">
        <f t="shared" si="3"/>
        <v>1</v>
      </c>
      <c r="BE16" s="98">
        <f t="shared" si="4"/>
        <v>0</v>
      </c>
      <c r="BF16" s="99"/>
      <c r="BG16" s="86">
        <f>marco!$BE17</f>
        <v>44.400000000000006</v>
      </c>
      <c r="BH16" s="97"/>
      <c r="BI16" s="197">
        <f t="shared" si="5"/>
        <v>0</v>
      </c>
    </row>
    <row r="17" spans="1:61" ht="21" customHeight="1">
      <c r="A17" s="71">
        <v>9</v>
      </c>
      <c r="B17" s="258">
        <v>1.5000000000000002</v>
      </c>
      <c r="C17" s="257">
        <v>50</v>
      </c>
      <c r="D17" s="258"/>
      <c r="E17" s="257"/>
      <c r="F17" s="258"/>
      <c r="G17" s="257"/>
      <c r="H17" s="258"/>
      <c r="I17" s="257"/>
      <c r="J17" s="258">
        <v>0.1</v>
      </c>
      <c r="K17" s="257">
        <v>5</v>
      </c>
      <c r="L17" s="258"/>
      <c r="M17" s="257"/>
      <c r="N17" s="258">
        <v>0.1</v>
      </c>
      <c r="O17" s="257">
        <v>5</v>
      </c>
      <c r="P17" s="258"/>
      <c r="Q17" s="257"/>
      <c r="R17" s="258"/>
      <c r="S17" s="257"/>
      <c r="T17" s="258"/>
      <c r="U17" s="257"/>
      <c r="V17" s="258"/>
      <c r="W17" s="257"/>
      <c r="X17" s="258"/>
      <c r="Y17" s="257"/>
      <c r="Z17" s="258"/>
      <c r="AA17" s="257"/>
      <c r="AB17" s="258"/>
      <c r="AC17" s="257"/>
      <c r="AD17" s="258"/>
      <c r="AE17" s="257"/>
      <c r="AF17" s="258"/>
      <c r="AG17" s="257"/>
      <c r="AH17" s="258"/>
      <c r="AI17" s="257"/>
      <c r="AJ17" s="258"/>
      <c r="AK17" s="265"/>
      <c r="AL17" s="258"/>
      <c r="AM17" s="257"/>
      <c r="AN17" s="258"/>
      <c r="AO17" s="257"/>
      <c r="AP17" s="258"/>
      <c r="AQ17" s="265"/>
      <c r="AR17" s="258"/>
      <c r="AS17" s="257"/>
      <c r="AT17" s="258">
        <v>0.4</v>
      </c>
      <c r="AU17" s="265">
        <v>10</v>
      </c>
      <c r="AV17" s="258">
        <v>0.7</v>
      </c>
      <c r="AW17" s="265">
        <v>40</v>
      </c>
      <c r="AX17" s="91">
        <v>9</v>
      </c>
      <c r="AY17" s="92">
        <f t="shared" si="0"/>
        <v>2.8000000000000007</v>
      </c>
      <c r="AZ17" s="93">
        <f t="shared" si="0"/>
        <v>110</v>
      </c>
      <c r="BA17" s="94">
        <f t="shared" si="1"/>
        <v>1.5000000000000002</v>
      </c>
      <c r="BB17" s="95">
        <f t="shared" si="2"/>
        <v>5</v>
      </c>
      <c r="BC17" s="216"/>
      <c r="BD17" s="197">
        <f t="shared" si="3"/>
        <v>1</v>
      </c>
      <c r="BE17" s="98">
        <f t="shared" si="4"/>
        <v>44.400000000000006</v>
      </c>
      <c r="BF17" s="99"/>
      <c r="BG17" s="86">
        <f>marco!$BE18</f>
        <v>1.7000000000000002</v>
      </c>
      <c r="BH17" s="97"/>
      <c r="BI17" s="197">
        <f t="shared" si="5"/>
        <v>0</v>
      </c>
    </row>
    <row r="18" spans="1:61" ht="21" customHeight="1">
      <c r="A18" s="71">
        <v>10</v>
      </c>
      <c r="B18" s="258">
        <v>0.4</v>
      </c>
      <c r="C18" s="257">
        <v>15</v>
      </c>
      <c r="D18" s="258"/>
      <c r="E18" s="257"/>
      <c r="F18" s="258"/>
      <c r="G18" s="257"/>
      <c r="H18" s="258">
        <v>0.1</v>
      </c>
      <c r="I18" s="257">
        <v>5</v>
      </c>
      <c r="J18" s="258"/>
      <c r="K18" s="257"/>
      <c r="L18" s="258"/>
      <c r="M18" s="257"/>
      <c r="N18" s="258">
        <v>0.1</v>
      </c>
      <c r="O18" s="257">
        <v>5</v>
      </c>
      <c r="P18" s="258"/>
      <c r="Q18" s="257"/>
      <c r="R18" s="258"/>
      <c r="S18" s="257"/>
      <c r="T18" s="258"/>
      <c r="U18" s="257"/>
      <c r="V18" s="258"/>
      <c r="W18" s="257"/>
      <c r="X18" s="258">
        <v>3</v>
      </c>
      <c r="Y18" s="257">
        <v>10</v>
      </c>
      <c r="Z18" s="258"/>
      <c r="AA18" s="257"/>
      <c r="AB18" s="258"/>
      <c r="AC18" s="257"/>
      <c r="AD18" s="258"/>
      <c r="AE18" s="257"/>
      <c r="AF18" s="258"/>
      <c r="AG18" s="257"/>
      <c r="AH18" s="258"/>
      <c r="AI18" s="257"/>
      <c r="AJ18" s="258"/>
      <c r="AK18" s="265"/>
      <c r="AL18" s="258"/>
      <c r="AM18" s="257"/>
      <c r="AN18" s="258"/>
      <c r="AO18" s="257"/>
      <c r="AP18" s="258"/>
      <c r="AQ18" s="265"/>
      <c r="AR18" s="258"/>
      <c r="AS18" s="257"/>
      <c r="AT18" s="258"/>
      <c r="AU18" s="265"/>
      <c r="AV18" s="258"/>
      <c r="AW18" s="265"/>
      <c r="AX18" s="91">
        <v>10</v>
      </c>
      <c r="AY18" s="92">
        <f t="shared" si="0"/>
        <v>3.6</v>
      </c>
      <c r="AZ18" s="93">
        <f t="shared" si="0"/>
        <v>35</v>
      </c>
      <c r="BA18" s="94">
        <f t="shared" si="1"/>
        <v>3</v>
      </c>
      <c r="BB18" s="95">
        <f t="shared" si="2"/>
        <v>4</v>
      </c>
      <c r="BC18" s="214"/>
      <c r="BD18" s="197">
        <f t="shared" si="3"/>
        <v>1</v>
      </c>
      <c r="BE18" s="98">
        <f t="shared" si="4"/>
        <v>1.7000000000000002</v>
      </c>
      <c r="BF18" s="99"/>
      <c r="BG18" s="86">
        <f>marco!$BE19</f>
        <v>3.5</v>
      </c>
      <c r="BH18" s="97"/>
      <c r="BI18" s="197">
        <f t="shared" si="5"/>
        <v>0</v>
      </c>
    </row>
    <row r="19" spans="1:61" ht="21" customHeight="1">
      <c r="A19" s="71">
        <v>11</v>
      </c>
      <c r="B19" s="258"/>
      <c r="C19" s="257"/>
      <c r="D19" s="258">
        <v>0.2</v>
      </c>
      <c r="E19" s="257">
        <v>5</v>
      </c>
      <c r="F19" s="258">
        <v>0.3</v>
      </c>
      <c r="G19" s="257">
        <v>15</v>
      </c>
      <c r="H19" s="258"/>
      <c r="I19" s="257"/>
      <c r="J19" s="258"/>
      <c r="K19" s="257"/>
      <c r="L19" s="258"/>
      <c r="M19" s="257"/>
      <c r="N19" s="258"/>
      <c r="O19" s="257"/>
      <c r="P19" s="258"/>
      <c r="Q19" s="257"/>
      <c r="R19" s="258"/>
      <c r="S19" s="257"/>
      <c r="T19" s="258"/>
      <c r="U19" s="257"/>
      <c r="V19" s="258"/>
      <c r="W19" s="257"/>
      <c r="X19" s="258"/>
      <c r="Y19" s="257"/>
      <c r="Z19" s="258"/>
      <c r="AA19" s="257"/>
      <c r="AB19" s="258"/>
      <c r="AC19" s="257"/>
      <c r="AD19" s="258"/>
      <c r="AE19" s="257"/>
      <c r="AF19" s="258"/>
      <c r="AG19" s="257"/>
      <c r="AH19" s="258"/>
      <c r="AI19" s="257"/>
      <c r="AJ19" s="258"/>
      <c r="AK19" s="265"/>
      <c r="AL19" s="258"/>
      <c r="AM19" s="257"/>
      <c r="AN19" s="258"/>
      <c r="AO19" s="257"/>
      <c r="AP19" s="258"/>
      <c r="AQ19" s="265"/>
      <c r="AR19" s="258"/>
      <c r="AS19" s="257"/>
      <c r="AT19" s="258"/>
      <c r="AU19" s="265"/>
      <c r="AV19" s="258"/>
      <c r="AW19" s="265"/>
      <c r="AX19" s="91">
        <v>11</v>
      </c>
      <c r="AY19" s="92">
        <f t="shared" si="0"/>
        <v>0.5</v>
      </c>
      <c r="AZ19" s="93">
        <f t="shared" si="0"/>
        <v>20</v>
      </c>
      <c r="BA19" s="94">
        <f t="shared" si="1"/>
        <v>0.3</v>
      </c>
      <c r="BB19" s="95">
        <f t="shared" si="2"/>
        <v>2</v>
      </c>
      <c r="BC19" s="214"/>
      <c r="BD19" s="197">
        <f t="shared" si="3"/>
        <v>1</v>
      </c>
      <c r="BE19" s="98">
        <f t="shared" si="4"/>
        <v>3.5</v>
      </c>
      <c r="BF19" s="99"/>
      <c r="BG19" s="86">
        <f>marco!$BE20</f>
        <v>0</v>
      </c>
      <c r="BH19" s="97"/>
      <c r="BI19" s="197">
        <f t="shared" si="5"/>
        <v>0</v>
      </c>
    </row>
    <row r="20" spans="1:61" ht="21" customHeight="1">
      <c r="A20" s="71">
        <v>12</v>
      </c>
      <c r="B20" s="258"/>
      <c r="C20" s="257"/>
      <c r="D20" s="258"/>
      <c r="E20" s="257"/>
      <c r="F20" s="258"/>
      <c r="G20" s="257"/>
      <c r="H20" s="258"/>
      <c r="I20" s="257"/>
      <c r="J20" s="258"/>
      <c r="K20" s="257"/>
      <c r="L20" s="258"/>
      <c r="M20" s="257"/>
      <c r="N20" s="258"/>
      <c r="O20" s="257"/>
      <c r="P20" s="258"/>
      <c r="Q20" s="257"/>
      <c r="R20" s="258"/>
      <c r="S20" s="257"/>
      <c r="T20" s="258"/>
      <c r="U20" s="257"/>
      <c r="V20" s="258"/>
      <c r="W20" s="257"/>
      <c r="X20" s="258"/>
      <c r="Y20" s="257"/>
      <c r="Z20" s="258"/>
      <c r="AA20" s="257"/>
      <c r="AB20" s="258"/>
      <c r="AC20" s="257"/>
      <c r="AD20" s="258"/>
      <c r="AE20" s="257"/>
      <c r="AF20" s="258"/>
      <c r="AG20" s="257"/>
      <c r="AH20" s="258"/>
      <c r="AI20" s="257"/>
      <c r="AJ20" s="258"/>
      <c r="AK20" s="265"/>
      <c r="AL20" s="258"/>
      <c r="AM20" s="257"/>
      <c r="AN20" s="258"/>
      <c r="AO20" s="257"/>
      <c r="AP20" s="258"/>
      <c r="AQ20" s="265"/>
      <c r="AR20" s="258"/>
      <c r="AS20" s="257"/>
      <c r="AT20" s="258"/>
      <c r="AU20" s="265"/>
      <c r="AV20" s="258"/>
      <c r="AW20" s="265"/>
      <c r="AX20" s="91">
        <v>12</v>
      </c>
      <c r="AY20" s="92">
        <f t="shared" si="0"/>
        <v>0</v>
      </c>
      <c r="AZ20" s="93">
        <f t="shared" si="0"/>
        <v>0</v>
      </c>
      <c r="BA20" s="94">
        <f t="shared" si="1"/>
        <v>0</v>
      </c>
      <c r="BB20" s="95">
        <f t="shared" si="2"/>
        <v>0</v>
      </c>
      <c r="BC20" s="214"/>
      <c r="BD20" s="197">
        <f t="shared" si="3"/>
        <v>0</v>
      </c>
      <c r="BE20" s="98">
        <f t="shared" si="4"/>
        <v>0</v>
      </c>
      <c r="BF20" s="99"/>
      <c r="BG20" s="86">
        <f>marco!$BE21</f>
        <v>0</v>
      </c>
      <c r="BH20" s="97"/>
      <c r="BI20" s="197">
        <f t="shared" si="5"/>
        <v>0</v>
      </c>
    </row>
    <row r="21" spans="1:61" ht="21" customHeight="1">
      <c r="A21" s="71">
        <v>13</v>
      </c>
      <c r="B21" s="258"/>
      <c r="C21" s="257"/>
      <c r="D21" s="258"/>
      <c r="E21" s="257"/>
      <c r="F21" s="258"/>
      <c r="G21" s="257"/>
      <c r="H21" s="258"/>
      <c r="I21" s="257"/>
      <c r="J21" s="258"/>
      <c r="K21" s="257"/>
      <c r="L21" s="258"/>
      <c r="M21" s="257"/>
      <c r="N21" s="258"/>
      <c r="O21" s="257"/>
      <c r="P21" s="258"/>
      <c r="Q21" s="257"/>
      <c r="R21" s="258"/>
      <c r="S21" s="257"/>
      <c r="T21" s="258"/>
      <c r="U21" s="257"/>
      <c r="V21" s="258"/>
      <c r="W21" s="257"/>
      <c r="X21" s="258"/>
      <c r="Y21" s="257"/>
      <c r="Z21" s="258"/>
      <c r="AA21" s="257"/>
      <c r="AB21" s="258"/>
      <c r="AC21" s="257"/>
      <c r="AD21" s="258"/>
      <c r="AE21" s="257"/>
      <c r="AF21" s="258"/>
      <c r="AG21" s="257"/>
      <c r="AH21" s="258"/>
      <c r="AI21" s="257"/>
      <c r="AJ21" s="258"/>
      <c r="AK21" s="265"/>
      <c r="AL21" s="258"/>
      <c r="AM21" s="257"/>
      <c r="AN21" s="258"/>
      <c r="AO21" s="257"/>
      <c r="AP21" s="258"/>
      <c r="AQ21" s="265"/>
      <c r="AR21" s="258"/>
      <c r="AS21" s="257"/>
      <c r="AT21" s="258"/>
      <c r="AU21" s="265"/>
      <c r="AV21" s="258"/>
      <c r="AW21" s="265"/>
      <c r="AX21" s="91">
        <v>13</v>
      </c>
      <c r="AY21" s="92">
        <f t="shared" si="0"/>
        <v>0</v>
      </c>
      <c r="AZ21" s="93">
        <f t="shared" si="0"/>
        <v>0</v>
      </c>
      <c r="BA21" s="94">
        <f t="shared" si="1"/>
        <v>0</v>
      </c>
      <c r="BB21" s="95">
        <f t="shared" si="2"/>
        <v>0</v>
      </c>
      <c r="BC21" s="214"/>
      <c r="BD21" s="197">
        <f t="shared" si="3"/>
        <v>0</v>
      </c>
      <c r="BE21" s="98">
        <f t="shared" si="4"/>
        <v>0</v>
      </c>
      <c r="BF21" s="99"/>
      <c r="BG21" s="86">
        <f>marco!$BE22</f>
        <v>0</v>
      </c>
      <c r="BH21" s="97"/>
      <c r="BI21" s="197">
        <f t="shared" si="5"/>
        <v>0</v>
      </c>
    </row>
    <row r="22" spans="1:61" ht="21" customHeight="1">
      <c r="A22" s="71">
        <v>14</v>
      </c>
      <c r="B22" s="258"/>
      <c r="C22" s="257"/>
      <c r="D22" s="258"/>
      <c r="E22" s="257"/>
      <c r="F22" s="258"/>
      <c r="G22" s="257"/>
      <c r="H22" s="258"/>
      <c r="I22" s="257"/>
      <c r="J22" s="258"/>
      <c r="K22" s="257"/>
      <c r="L22" s="258"/>
      <c r="M22" s="257"/>
      <c r="N22" s="258"/>
      <c r="O22" s="257"/>
      <c r="P22" s="258"/>
      <c r="Q22" s="257"/>
      <c r="R22" s="258"/>
      <c r="S22" s="257"/>
      <c r="T22" s="258"/>
      <c r="U22" s="257"/>
      <c r="V22" s="258"/>
      <c r="W22" s="257"/>
      <c r="X22" s="258"/>
      <c r="Y22" s="257"/>
      <c r="Z22" s="258"/>
      <c r="AA22" s="257"/>
      <c r="AB22" s="258"/>
      <c r="AC22" s="257"/>
      <c r="AD22" s="258"/>
      <c r="AE22" s="257"/>
      <c r="AF22" s="258"/>
      <c r="AG22" s="257"/>
      <c r="AH22" s="258"/>
      <c r="AI22" s="257"/>
      <c r="AJ22" s="258"/>
      <c r="AK22" s="265"/>
      <c r="AL22" s="258"/>
      <c r="AM22" s="257"/>
      <c r="AN22" s="258"/>
      <c r="AO22" s="257"/>
      <c r="AP22" s="258"/>
      <c r="AQ22" s="265"/>
      <c r="AR22" s="258"/>
      <c r="AS22" s="257"/>
      <c r="AT22" s="258"/>
      <c r="AU22" s="265"/>
      <c r="AV22" s="258"/>
      <c r="AW22" s="265"/>
      <c r="AX22" s="91">
        <v>14</v>
      </c>
      <c r="AY22" s="92">
        <f t="shared" si="0"/>
        <v>0</v>
      </c>
      <c r="AZ22" s="93">
        <f t="shared" si="0"/>
        <v>0</v>
      </c>
      <c r="BA22" s="94">
        <f t="shared" si="1"/>
        <v>0</v>
      </c>
      <c r="BB22" s="95">
        <f t="shared" si="2"/>
        <v>0</v>
      </c>
      <c r="BC22" s="214"/>
      <c r="BD22" s="197">
        <f t="shared" si="3"/>
        <v>0</v>
      </c>
      <c r="BE22" s="98">
        <f t="shared" si="4"/>
        <v>0</v>
      </c>
      <c r="BF22" s="99"/>
      <c r="BG22" s="86">
        <f>marco!$BE23</f>
        <v>0</v>
      </c>
      <c r="BH22" s="97"/>
      <c r="BI22" s="197">
        <f t="shared" si="5"/>
        <v>0</v>
      </c>
    </row>
    <row r="23" spans="1:61" ht="21" customHeight="1">
      <c r="A23" s="102">
        <v>15</v>
      </c>
      <c r="B23" s="258"/>
      <c r="C23" s="257"/>
      <c r="D23" s="258"/>
      <c r="E23" s="257"/>
      <c r="F23" s="258"/>
      <c r="G23" s="257"/>
      <c r="H23" s="258"/>
      <c r="I23" s="257"/>
      <c r="J23" s="258"/>
      <c r="K23" s="257"/>
      <c r="L23" s="258"/>
      <c r="M23" s="257"/>
      <c r="N23" s="258"/>
      <c r="O23" s="257"/>
      <c r="P23" s="258"/>
      <c r="Q23" s="257"/>
      <c r="R23" s="258"/>
      <c r="S23" s="257"/>
      <c r="T23" s="258"/>
      <c r="U23" s="257"/>
      <c r="V23" s="258"/>
      <c r="W23" s="257"/>
      <c r="X23" s="258"/>
      <c r="Y23" s="257"/>
      <c r="Z23" s="258"/>
      <c r="AA23" s="257"/>
      <c r="AB23" s="258"/>
      <c r="AC23" s="257"/>
      <c r="AD23" s="258"/>
      <c r="AE23" s="257"/>
      <c r="AF23" s="258"/>
      <c r="AG23" s="257"/>
      <c r="AH23" s="258"/>
      <c r="AI23" s="257"/>
      <c r="AJ23" s="258"/>
      <c r="AK23" s="265"/>
      <c r="AL23" s="258"/>
      <c r="AM23" s="257"/>
      <c r="AN23" s="258"/>
      <c r="AO23" s="257"/>
      <c r="AP23" s="258"/>
      <c r="AQ23" s="265"/>
      <c r="AR23" s="258"/>
      <c r="AS23" s="257"/>
      <c r="AT23" s="258"/>
      <c r="AU23" s="265"/>
      <c r="AV23" s="258"/>
      <c r="AW23" s="265"/>
      <c r="AX23" s="91">
        <v>15</v>
      </c>
      <c r="AY23" s="92">
        <f t="shared" si="0"/>
        <v>0</v>
      </c>
      <c r="AZ23" s="93">
        <f t="shared" si="0"/>
        <v>0</v>
      </c>
      <c r="BA23" s="94">
        <f t="shared" si="1"/>
        <v>0</v>
      </c>
      <c r="BB23" s="95">
        <f t="shared" si="2"/>
        <v>0</v>
      </c>
      <c r="BC23" s="214"/>
      <c r="BD23" s="197">
        <f t="shared" si="3"/>
        <v>0</v>
      </c>
      <c r="BE23" s="98">
        <f t="shared" si="4"/>
        <v>0</v>
      </c>
      <c r="BF23" s="99"/>
      <c r="BG23" s="86">
        <f>marco!$BE24</f>
        <v>0</v>
      </c>
      <c r="BH23" s="97"/>
      <c r="BI23" s="197">
        <f t="shared" si="5"/>
        <v>0</v>
      </c>
    </row>
    <row r="24" spans="1:61" ht="21" customHeight="1">
      <c r="A24" s="71">
        <v>16</v>
      </c>
      <c r="B24" s="258"/>
      <c r="C24" s="257"/>
      <c r="D24" s="258"/>
      <c r="E24" s="257"/>
      <c r="F24" s="258"/>
      <c r="G24" s="257"/>
      <c r="H24" s="258"/>
      <c r="I24" s="257"/>
      <c r="J24" s="258"/>
      <c r="K24" s="257"/>
      <c r="L24" s="258"/>
      <c r="M24" s="257"/>
      <c r="N24" s="258"/>
      <c r="O24" s="257"/>
      <c r="P24" s="258"/>
      <c r="Q24" s="257"/>
      <c r="R24" s="258"/>
      <c r="S24" s="257"/>
      <c r="T24" s="258"/>
      <c r="U24" s="257"/>
      <c r="V24" s="258"/>
      <c r="W24" s="257"/>
      <c r="X24" s="258"/>
      <c r="Y24" s="257"/>
      <c r="Z24" s="258"/>
      <c r="AA24" s="257"/>
      <c r="AB24" s="258"/>
      <c r="AC24" s="257"/>
      <c r="AD24" s="258"/>
      <c r="AE24" s="257"/>
      <c r="AF24" s="258"/>
      <c r="AG24" s="257"/>
      <c r="AH24" s="258"/>
      <c r="AI24" s="257"/>
      <c r="AJ24" s="258"/>
      <c r="AK24" s="265"/>
      <c r="AL24" s="258"/>
      <c r="AM24" s="257"/>
      <c r="AN24" s="258"/>
      <c r="AO24" s="257"/>
      <c r="AP24" s="258"/>
      <c r="AQ24" s="265"/>
      <c r="AR24" s="258"/>
      <c r="AS24" s="257"/>
      <c r="AT24" s="258"/>
      <c r="AU24" s="265"/>
      <c r="AV24" s="258"/>
      <c r="AW24" s="265"/>
      <c r="AX24" s="91">
        <v>16</v>
      </c>
      <c r="AY24" s="92">
        <f t="shared" si="0"/>
        <v>0</v>
      </c>
      <c r="AZ24" s="93">
        <f t="shared" si="0"/>
        <v>0</v>
      </c>
      <c r="BA24" s="94">
        <f t="shared" si="1"/>
        <v>0</v>
      </c>
      <c r="BB24" s="95">
        <f t="shared" si="2"/>
        <v>0</v>
      </c>
      <c r="BC24" s="214"/>
      <c r="BD24" s="197">
        <f t="shared" si="3"/>
        <v>0</v>
      </c>
      <c r="BE24" s="98">
        <f t="shared" si="4"/>
        <v>0</v>
      </c>
      <c r="BF24" s="99"/>
      <c r="BG24" s="86">
        <f>marco!$BE25</f>
        <v>0</v>
      </c>
      <c r="BH24" s="97"/>
      <c r="BI24" s="197">
        <f t="shared" si="5"/>
        <v>0</v>
      </c>
    </row>
    <row r="25" spans="1:61" ht="21" customHeight="1">
      <c r="A25" s="71">
        <v>17</v>
      </c>
      <c r="B25" s="258"/>
      <c r="C25" s="257"/>
      <c r="D25" s="258"/>
      <c r="E25" s="257"/>
      <c r="F25" s="258"/>
      <c r="G25" s="257"/>
      <c r="H25" s="258"/>
      <c r="I25" s="257"/>
      <c r="J25" s="258"/>
      <c r="K25" s="257"/>
      <c r="L25" s="258"/>
      <c r="M25" s="257"/>
      <c r="N25" s="258"/>
      <c r="O25" s="257"/>
      <c r="P25" s="258"/>
      <c r="Q25" s="257"/>
      <c r="R25" s="258"/>
      <c r="S25" s="257"/>
      <c r="T25" s="258"/>
      <c r="U25" s="257"/>
      <c r="V25" s="258"/>
      <c r="W25" s="257"/>
      <c r="X25" s="258"/>
      <c r="Y25" s="257"/>
      <c r="Z25" s="258"/>
      <c r="AA25" s="257"/>
      <c r="AB25" s="258"/>
      <c r="AC25" s="257"/>
      <c r="AD25" s="258"/>
      <c r="AE25" s="257"/>
      <c r="AF25" s="258"/>
      <c r="AG25" s="257"/>
      <c r="AH25" s="258"/>
      <c r="AI25" s="257"/>
      <c r="AJ25" s="258"/>
      <c r="AK25" s="265"/>
      <c r="AL25" s="258"/>
      <c r="AM25" s="257"/>
      <c r="AN25" s="258"/>
      <c r="AO25" s="257"/>
      <c r="AP25" s="258"/>
      <c r="AQ25" s="265"/>
      <c r="AR25" s="258"/>
      <c r="AS25" s="257"/>
      <c r="AT25" s="258"/>
      <c r="AU25" s="265"/>
      <c r="AV25" s="258"/>
      <c r="AW25" s="265"/>
      <c r="AX25" s="91">
        <v>17</v>
      </c>
      <c r="AY25" s="92">
        <f t="shared" si="0"/>
        <v>0</v>
      </c>
      <c r="AZ25" s="93">
        <f t="shared" si="0"/>
        <v>0</v>
      </c>
      <c r="BA25" s="94">
        <f t="shared" si="1"/>
        <v>0</v>
      </c>
      <c r="BB25" s="95">
        <f t="shared" si="2"/>
        <v>0</v>
      </c>
      <c r="BC25" s="214"/>
      <c r="BD25" s="197">
        <f t="shared" si="3"/>
        <v>0</v>
      </c>
      <c r="BE25" s="98">
        <f t="shared" si="4"/>
        <v>0</v>
      </c>
      <c r="BF25" s="99"/>
      <c r="BG25" s="86">
        <f>marco!$BE26</f>
        <v>0</v>
      </c>
      <c r="BH25" s="97"/>
      <c r="BI25" s="197">
        <f t="shared" si="5"/>
        <v>0</v>
      </c>
    </row>
    <row r="26" spans="1:61" ht="21" customHeight="1">
      <c r="A26" s="71">
        <v>18</v>
      </c>
      <c r="B26" s="258"/>
      <c r="C26" s="257"/>
      <c r="D26" s="258"/>
      <c r="E26" s="257"/>
      <c r="F26" s="258"/>
      <c r="G26" s="257"/>
      <c r="H26" s="258"/>
      <c r="I26" s="257"/>
      <c r="J26" s="258"/>
      <c r="K26" s="257"/>
      <c r="L26" s="258"/>
      <c r="M26" s="257"/>
      <c r="N26" s="258"/>
      <c r="O26" s="257"/>
      <c r="P26" s="258"/>
      <c r="Q26" s="257"/>
      <c r="R26" s="258"/>
      <c r="S26" s="257"/>
      <c r="T26" s="258"/>
      <c r="U26" s="257"/>
      <c r="V26" s="258"/>
      <c r="W26" s="257"/>
      <c r="X26" s="258"/>
      <c r="Y26" s="257"/>
      <c r="Z26" s="258"/>
      <c r="AA26" s="257"/>
      <c r="AB26" s="258"/>
      <c r="AC26" s="257"/>
      <c r="AD26" s="258">
        <v>2</v>
      </c>
      <c r="AE26" s="257">
        <v>20</v>
      </c>
      <c r="AF26" s="258">
        <v>4</v>
      </c>
      <c r="AG26" s="257">
        <v>45</v>
      </c>
      <c r="AH26" s="258">
        <v>0.99999999999999989</v>
      </c>
      <c r="AI26" s="257">
        <v>45</v>
      </c>
      <c r="AJ26" s="258">
        <v>0.1</v>
      </c>
      <c r="AK26" s="265">
        <v>5</v>
      </c>
      <c r="AL26" s="258"/>
      <c r="AM26" s="257"/>
      <c r="AN26" s="258"/>
      <c r="AO26" s="257"/>
      <c r="AP26" s="258"/>
      <c r="AQ26" s="265"/>
      <c r="AR26" s="258"/>
      <c r="AS26" s="257"/>
      <c r="AT26" s="258"/>
      <c r="AU26" s="265"/>
      <c r="AV26" s="258"/>
      <c r="AW26" s="265"/>
      <c r="AX26" s="91">
        <v>18</v>
      </c>
      <c r="AY26" s="92">
        <f t="shared" si="0"/>
        <v>7.1</v>
      </c>
      <c r="AZ26" s="93">
        <f t="shared" si="0"/>
        <v>115</v>
      </c>
      <c r="BA26" s="94">
        <f t="shared" si="1"/>
        <v>4</v>
      </c>
      <c r="BB26" s="95">
        <f t="shared" si="2"/>
        <v>4</v>
      </c>
      <c r="BC26" s="214"/>
      <c r="BD26" s="197">
        <f t="shared" si="3"/>
        <v>1</v>
      </c>
      <c r="BE26" s="98">
        <f t="shared" si="4"/>
        <v>0</v>
      </c>
      <c r="BF26" s="99"/>
      <c r="BG26" s="86">
        <f>marco!$BE27</f>
        <v>7.1</v>
      </c>
      <c r="BH26" s="97"/>
      <c r="BI26" s="197">
        <f t="shared" si="5"/>
        <v>0</v>
      </c>
    </row>
    <row r="27" spans="1:61" ht="21" customHeight="1">
      <c r="A27" s="71">
        <v>19</v>
      </c>
      <c r="B27" s="258"/>
      <c r="C27" s="257"/>
      <c r="D27" s="258"/>
      <c r="E27" s="257"/>
      <c r="F27" s="258"/>
      <c r="G27" s="257"/>
      <c r="H27" s="258"/>
      <c r="I27" s="257"/>
      <c r="J27" s="258"/>
      <c r="K27" s="257"/>
      <c r="L27" s="267"/>
      <c r="M27" s="268"/>
      <c r="N27" s="258"/>
      <c r="O27" s="257"/>
      <c r="P27" s="258"/>
      <c r="Q27" s="257"/>
      <c r="R27" s="258"/>
      <c r="S27" s="257"/>
      <c r="T27" s="258"/>
      <c r="U27" s="257"/>
      <c r="V27" s="258"/>
      <c r="W27" s="257"/>
      <c r="X27" s="258"/>
      <c r="Y27" s="257"/>
      <c r="Z27" s="258"/>
      <c r="AA27" s="257"/>
      <c r="AB27" s="258"/>
      <c r="AC27" s="257"/>
      <c r="AD27" s="258"/>
      <c r="AE27" s="257"/>
      <c r="AF27" s="258"/>
      <c r="AG27" s="257"/>
      <c r="AH27" s="258"/>
      <c r="AI27" s="257"/>
      <c r="AJ27" s="258"/>
      <c r="AK27" s="265"/>
      <c r="AL27" s="258"/>
      <c r="AM27" s="257"/>
      <c r="AN27" s="258"/>
      <c r="AO27" s="257"/>
      <c r="AP27" s="258"/>
      <c r="AQ27" s="265"/>
      <c r="AR27" s="258"/>
      <c r="AS27" s="257"/>
      <c r="AT27" s="258"/>
      <c r="AU27" s="265"/>
      <c r="AV27" s="258"/>
      <c r="AW27" s="265"/>
      <c r="AX27" s="91">
        <v>19</v>
      </c>
      <c r="AY27" s="92">
        <f t="shared" si="0"/>
        <v>0</v>
      </c>
      <c r="AZ27" s="93">
        <f t="shared" si="0"/>
        <v>0</v>
      </c>
      <c r="BA27" s="94">
        <f t="shared" si="1"/>
        <v>0</v>
      </c>
      <c r="BB27" s="95">
        <f t="shared" si="2"/>
        <v>0</v>
      </c>
      <c r="BC27" s="214"/>
      <c r="BD27" s="197">
        <f t="shared" si="3"/>
        <v>0</v>
      </c>
      <c r="BE27" s="98">
        <f t="shared" si="4"/>
        <v>7.1</v>
      </c>
      <c r="BF27" s="99"/>
      <c r="BG27" s="86">
        <f>marco!$BE28</f>
        <v>0</v>
      </c>
      <c r="BH27" s="97"/>
      <c r="BI27" s="197">
        <f t="shared" si="5"/>
        <v>0</v>
      </c>
    </row>
    <row r="28" spans="1:61" ht="21" customHeight="1">
      <c r="A28" s="71">
        <v>20</v>
      </c>
      <c r="B28" s="258"/>
      <c r="C28" s="257"/>
      <c r="D28" s="258"/>
      <c r="E28" s="257"/>
      <c r="F28" s="258"/>
      <c r="G28" s="257"/>
      <c r="H28" s="258"/>
      <c r="I28" s="257"/>
      <c r="J28" s="258"/>
      <c r="K28" s="257"/>
      <c r="L28" s="258"/>
      <c r="M28" s="257"/>
      <c r="N28" s="258"/>
      <c r="O28" s="257"/>
      <c r="P28" s="258"/>
      <c r="Q28" s="257"/>
      <c r="R28" s="258"/>
      <c r="S28" s="257"/>
      <c r="T28" s="258"/>
      <c r="U28" s="257"/>
      <c r="V28" s="258"/>
      <c r="W28" s="257"/>
      <c r="X28" s="258"/>
      <c r="Y28" s="257"/>
      <c r="Z28" s="258"/>
      <c r="AA28" s="257"/>
      <c r="AB28" s="258"/>
      <c r="AC28" s="257"/>
      <c r="AD28" s="258"/>
      <c r="AE28" s="257"/>
      <c r="AF28" s="258"/>
      <c r="AG28" s="257"/>
      <c r="AH28" s="258"/>
      <c r="AI28" s="257"/>
      <c r="AJ28" s="258"/>
      <c r="AK28" s="265"/>
      <c r="AL28" s="258"/>
      <c r="AM28" s="257"/>
      <c r="AN28" s="258"/>
      <c r="AO28" s="257"/>
      <c r="AP28" s="258"/>
      <c r="AQ28" s="265"/>
      <c r="AR28" s="258"/>
      <c r="AS28" s="257"/>
      <c r="AT28" s="258"/>
      <c r="AU28" s="265"/>
      <c r="AV28" s="258"/>
      <c r="AW28" s="265"/>
      <c r="AX28" s="91">
        <v>20</v>
      </c>
      <c r="AY28" s="92">
        <f t="shared" si="0"/>
        <v>0</v>
      </c>
      <c r="AZ28" s="93">
        <f t="shared" si="0"/>
        <v>0</v>
      </c>
      <c r="BA28" s="94">
        <f t="shared" si="1"/>
        <v>0</v>
      </c>
      <c r="BB28" s="95">
        <f t="shared" si="2"/>
        <v>0</v>
      </c>
      <c r="BC28" s="214"/>
      <c r="BD28" s="197">
        <f t="shared" si="3"/>
        <v>0</v>
      </c>
      <c r="BE28" s="98">
        <f t="shared" si="4"/>
        <v>0</v>
      </c>
      <c r="BF28" s="99"/>
      <c r="BG28" s="86">
        <f>marco!$BE29</f>
        <v>0</v>
      </c>
      <c r="BH28" s="97"/>
      <c r="BI28" s="197">
        <f t="shared" si="5"/>
        <v>0</v>
      </c>
    </row>
    <row r="29" spans="1:61" ht="21" customHeight="1">
      <c r="A29" s="71">
        <v>21</v>
      </c>
      <c r="B29" s="258"/>
      <c r="C29" s="257"/>
      <c r="D29" s="258"/>
      <c r="E29" s="257"/>
      <c r="F29" s="258"/>
      <c r="G29" s="257"/>
      <c r="H29" s="258"/>
      <c r="I29" s="257"/>
      <c r="J29" s="258"/>
      <c r="K29" s="257"/>
      <c r="L29" s="258"/>
      <c r="M29" s="257"/>
      <c r="N29" s="258"/>
      <c r="O29" s="257"/>
      <c r="P29" s="258"/>
      <c r="Q29" s="257"/>
      <c r="R29" s="258"/>
      <c r="S29" s="257"/>
      <c r="T29" s="258"/>
      <c r="U29" s="257"/>
      <c r="V29" s="258"/>
      <c r="W29" s="257"/>
      <c r="X29" s="258"/>
      <c r="Y29" s="257"/>
      <c r="Z29" s="256"/>
      <c r="AA29" s="257"/>
      <c r="AB29" s="258"/>
      <c r="AC29" s="257"/>
      <c r="AD29" s="258"/>
      <c r="AE29" s="257"/>
      <c r="AF29" s="258"/>
      <c r="AG29" s="257"/>
      <c r="AH29" s="258"/>
      <c r="AI29" s="257"/>
      <c r="AJ29" s="258"/>
      <c r="AK29" s="265"/>
      <c r="AL29" s="258"/>
      <c r="AM29" s="257"/>
      <c r="AN29" s="258"/>
      <c r="AO29" s="257"/>
      <c r="AP29" s="258">
        <v>1.7</v>
      </c>
      <c r="AQ29" s="265">
        <v>5</v>
      </c>
      <c r="AR29" s="258">
        <v>1.7</v>
      </c>
      <c r="AS29" s="257">
        <v>30</v>
      </c>
      <c r="AT29" s="258">
        <v>0.1</v>
      </c>
      <c r="AU29" s="265">
        <v>5</v>
      </c>
      <c r="AV29" s="258">
        <v>0.1</v>
      </c>
      <c r="AW29" s="265">
        <v>5</v>
      </c>
      <c r="AX29" s="91">
        <v>21</v>
      </c>
      <c r="AY29" s="92">
        <f t="shared" si="0"/>
        <v>3.6</v>
      </c>
      <c r="AZ29" s="93">
        <f t="shared" si="0"/>
        <v>45</v>
      </c>
      <c r="BA29" s="94">
        <f t="shared" si="1"/>
        <v>1.7</v>
      </c>
      <c r="BB29" s="95">
        <f t="shared" si="2"/>
        <v>4</v>
      </c>
      <c r="BC29" s="214"/>
      <c r="BD29" s="197">
        <f t="shared" si="3"/>
        <v>1</v>
      </c>
      <c r="BE29" s="98">
        <f t="shared" si="4"/>
        <v>0</v>
      </c>
      <c r="BF29" s="99"/>
      <c r="BG29" s="86">
        <f>marco!$BE30</f>
        <v>5.4999999999999991</v>
      </c>
      <c r="BH29" s="97"/>
      <c r="BI29" s="197">
        <f t="shared" si="5"/>
        <v>0</v>
      </c>
    </row>
    <row r="30" spans="1:61" ht="21" customHeight="1">
      <c r="A30" s="71">
        <v>22</v>
      </c>
      <c r="B30" s="258">
        <v>0.1</v>
      </c>
      <c r="C30" s="257">
        <v>5</v>
      </c>
      <c r="D30" s="258">
        <v>0.3</v>
      </c>
      <c r="E30" s="257">
        <v>55</v>
      </c>
      <c r="F30" s="258">
        <v>0.1</v>
      </c>
      <c r="G30" s="257">
        <v>10</v>
      </c>
      <c r="H30" s="258">
        <v>0.5</v>
      </c>
      <c r="I30" s="257">
        <v>25</v>
      </c>
      <c r="J30" s="258">
        <v>0.1</v>
      </c>
      <c r="K30" s="257">
        <v>10</v>
      </c>
      <c r="L30" s="258">
        <v>0.1</v>
      </c>
      <c r="M30" s="257">
        <v>10</v>
      </c>
      <c r="N30" s="258">
        <v>0.7</v>
      </c>
      <c r="O30" s="257">
        <v>25</v>
      </c>
      <c r="P30" s="258"/>
      <c r="Q30" s="257"/>
      <c r="R30" s="258">
        <v>0.2</v>
      </c>
      <c r="S30" s="257">
        <v>10</v>
      </c>
      <c r="T30" s="258">
        <v>0.2</v>
      </c>
      <c r="U30" s="257">
        <v>5</v>
      </c>
      <c r="V30" s="258">
        <v>0.1</v>
      </c>
      <c r="W30" s="257">
        <v>10</v>
      </c>
      <c r="X30" s="258">
        <v>1</v>
      </c>
      <c r="Y30" s="257">
        <v>30</v>
      </c>
      <c r="Z30" s="258"/>
      <c r="AA30" s="257"/>
      <c r="AB30" s="258">
        <v>0.3</v>
      </c>
      <c r="AC30" s="257">
        <v>5</v>
      </c>
      <c r="AD30" s="258"/>
      <c r="AE30" s="257"/>
      <c r="AF30" s="258"/>
      <c r="AG30" s="257"/>
      <c r="AH30" s="258"/>
      <c r="AI30" s="257"/>
      <c r="AJ30" s="258">
        <v>0.6</v>
      </c>
      <c r="AK30" s="265">
        <v>20</v>
      </c>
      <c r="AL30" s="258">
        <v>1.2000000000000002</v>
      </c>
      <c r="AM30" s="257">
        <v>60</v>
      </c>
      <c r="AN30" s="258">
        <v>0.7</v>
      </c>
      <c r="AO30" s="257">
        <v>60</v>
      </c>
      <c r="AP30" s="258">
        <v>0.3</v>
      </c>
      <c r="AQ30" s="265">
        <v>30</v>
      </c>
      <c r="AR30" s="258"/>
      <c r="AS30" s="257"/>
      <c r="AT30" s="258">
        <v>0.1</v>
      </c>
      <c r="AU30" s="265">
        <v>5</v>
      </c>
      <c r="AV30" s="258">
        <v>0.1</v>
      </c>
      <c r="AW30" s="265">
        <v>5</v>
      </c>
      <c r="AX30" s="91">
        <v>22</v>
      </c>
      <c r="AY30" s="92">
        <f t="shared" si="0"/>
        <v>6.6999999999999993</v>
      </c>
      <c r="AZ30" s="93">
        <f t="shared" si="0"/>
        <v>380</v>
      </c>
      <c r="BA30" s="94">
        <f t="shared" si="1"/>
        <v>1.2000000000000002</v>
      </c>
      <c r="BB30" s="95">
        <f t="shared" si="2"/>
        <v>18</v>
      </c>
      <c r="BC30" s="214"/>
      <c r="BD30" s="197">
        <f t="shared" si="3"/>
        <v>1</v>
      </c>
      <c r="BE30" s="98">
        <f t="shared" si="4"/>
        <v>5.4999999999999991</v>
      </c>
      <c r="BF30" s="99"/>
      <c r="BG30" s="86">
        <f>marco!$BE31</f>
        <v>5.4999999999999982</v>
      </c>
      <c r="BH30" s="97"/>
      <c r="BI30" s="197">
        <f t="shared" si="5"/>
        <v>0</v>
      </c>
    </row>
    <row r="31" spans="1:61" ht="21" customHeight="1">
      <c r="A31" s="71">
        <v>23</v>
      </c>
      <c r="B31" s="258"/>
      <c r="C31" s="257"/>
      <c r="D31" s="258"/>
      <c r="E31" s="257"/>
      <c r="F31" s="258">
        <v>0.2</v>
      </c>
      <c r="G31" s="257">
        <v>10</v>
      </c>
      <c r="H31" s="258">
        <v>0.1</v>
      </c>
      <c r="I31" s="257">
        <v>5</v>
      </c>
      <c r="J31" s="258">
        <v>0.3</v>
      </c>
      <c r="K31" s="257">
        <v>20</v>
      </c>
      <c r="L31" s="258">
        <v>0.1</v>
      </c>
      <c r="M31" s="257">
        <v>10</v>
      </c>
      <c r="N31" s="258"/>
      <c r="O31" s="257"/>
      <c r="P31" s="258"/>
      <c r="Q31" s="257"/>
      <c r="R31" s="258">
        <v>0.2</v>
      </c>
      <c r="S31" s="257">
        <v>5</v>
      </c>
      <c r="T31" s="258"/>
      <c r="U31" s="257"/>
      <c r="V31" s="258"/>
      <c r="W31" s="257"/>
      <c r="X31" s="258">
        <v>2.6999999999999997</v>
      </c>
      <c r="Y31" s="257">
        <v>60</v>
      </c>
      <c r="Z31" s="258">
        <v>0.3</v>
      </c>
      <c r="AA31" s="257">
        <v>35</v>
      </c>
      <c r="AB31" s="258">
        <v>1.2000000000000002</v>
      </c>
      <c r="AC31" s="257">
        <v>60</v>
      </c>
      <c r="AD31" s="258">
        <v>1.2</v>
      </c>
      <c r="AE31" s="257">
        <v>60</v>
      </c>
      <c r="AF31" s="258">
        <v>0.9</v>
      </c>
      <c r="AG31" s="257">
        <v>60</v>
      </c>
      <c r="AH31" s="258">
        <v>0.3</v>
      </c>
      <c r="AI31" s="257">
        <v>35</v>
      </c>
      <c r="AJ31" s="258">
        <v>0.5</v>
      </c>
      <c r="AK31" s="265">
        <v>60</v>
      </c>
      <c r="AL31" s="258">
        <v>0.3</v>
      </c>
      <c r="AM31" s="257">
        <v>50</v>
      </c>
      <c r="AN31" s="258">
        <v>0.1</v>
      </c>
      <c r="AO31" s="257">
        <v>10</v>
      </c>
      <c r="AP31" s="258">
        <v>0.1</v>
      </c>
      <c r="AQ31" s="265">
        <v>20</v>
      </c>
      <c r="AR31" s="269">
        <v>0.4</v>
      </c>
      <c r="AS31" s="257">
        <v>35</v>
      </c>
      <c r="AT31" s="258">
        <v>0.5</v>
      </c>
      <c r="AU31" s="265">
        <v>35</v>
      </c>
      <c r="AV31" s="258">
        <v>0.7</v>
      </c>
      <c r="AW31" s="265">
        <v>30</v>
      </c>
      <c r="AX31" s="91">
        <v>23</v>
      </c>
      <c r="AY31" s="92">
        <f t="shared" si="0"/>
        <v>10.1</v>
      </c>
      <c r="AZ31" s="93">
        <f t="shared" si="0"/>
        <v>600</v>
      </c>
      <c r="BA31" s="94">
        <f t="shared" si="1"/>
        <v>2.6999999999999997</v>
      </c>
      <c r="BB31" s="95">
        <f t="shared" si="2"/>
        <v>18</v>
      </c>
      <c r="BC31" s="214"/>
      <c r="BD31" s="197">
        <f t="shared" si="3"/>
        <v>1</v>
      </c>
      <c r="BE31" s="98">
        <f t="shared" si="4"/>
        <v>5.4999999999999982</v>
      </c>
      <c r="BF31" s="99"/>
      <c r="BG31" s="86">
        <f>marco!$BE32</f>
        <v>21.099999999999998</v>
      </c>
      <c r="BH31" s="97"/>
      <c r="BI31" s="197">
        <f t="shared" si="5"/>
        <v>0</v>
      </c>
    </row>
    <row r="32" spans="1:61" ht="21" customHeight="1">
      <c r="A32" s="71">
        <v>24</v>
      </c>
      <c r="B32" s="258">
        <v>0.4</v>
      </c>
      <c r="C32" s="257">
        <v>25</v>
      </c>
      <c r="D32" s="258">
        <v>1.7999999999999998</v>
      </c>
      <c r="E32" s="257">
        <v>50</v>
      </c>
      <c r="F32" s="258">
        <v>0.99999999999999989</v>
      </c>
      <c r="G32" s="257">
        <v>50</v>
      </c>
      <c r="H32" s="258">
        <v>2.6</v>
      </c>
      <c r="I32" s="257">
        <v>60</v>
      </c>
      <c r="J32" s="258">
        <v>2.4000000000000004</v>
      </c>
      <c r="K32" s="257">
        <v>60</v>
      </c>
      <c r="L32" s="258">
        <v>0.7</v>
      </c>
      <c r="M32" s="257">
        <v>60</v>
      </c>
      <c r="N32" s="258">
        <v>2.8000000000000003</v>
      </c>
      <c r="O32" s="257">
        <v>60</v>
      </c>
      <c r="P32" s="258">
        <v>0.6</v>
      </c>
      <c r="Q32" s="257">
        <v>30</v>
      </c>
      <c r="R32" s="258"/>
      <c r="S32" s="257"/>
      <c r="T32" s="258"/>
      <c r="U32" s="257"/>
      <c r="V32" s="258"/>
      <c r="W32" s="257"/>
      <c r="X32" s="258"/>
      <c r="Y32" s="257"/>
      <c r="Z32" s="258"/>
      <c r="AA32" s="257"/>
      <c r="AB32" s="258"/>
      <c r="AC32" s="257"/>
      <c r="AD32" s="258"/>
      <c r="AE32" s="257"/>
      <c r="AF32" s="258"/>
      <c r="AG32" s="257"/>
      <c r="AH32" s="258"/>
      <c r="AI32" s="257"/>
      <c r="AJ32" s="258"/>
      <c r="AK32" s="265"/>
      <c r="AL32" s="258"/>
      <c r="AM32" s="257"/>
      <c r="AN32" s="258"/>
      <c r="AO32" s="257"/>
      <c r="AP32" s="258"/>
      <c r="AQ32" s="265"/>
      <c r="AR32" s="269"/>
      <c r="AS32" s="257"/>
      <c r="AT32" s="258"/>
      <c r="AU32" s="265"/>
      <c r="AV32" s="258"/>
      <c r="AW32" s="265"/>
      <c r="AX32" s="91">
        <v>24</v>
      </c>
      <c r="AY32" s="92">
        <f t="shared" si="0"/>
        <v>12.299999999999999</v>
      </c>
      <c r="AZ32" s="93">
        <f t="shared" si="0"/>
        <v>395</v>
      </c>
      <c r="BA32" s="94">
        <f t="shared" si="1"/>
        <v>2.8000000000000003</v>
      </c>
      <c r="BB32" s="95">
        <f t="shared" si="2"/>
        <v>8</v>
      </c>
      <c r="BC32" s="214"/>
      <c r="BD32" s="197">
        <f t="shared" si="3"/>
        <v>1</v>
      </c>
      <c r="BE32" s="98">
        <f t="shared" si="4"/>
        <v>21.099999999999998</v>
      </c>
      <c r="BF32" s="99"/>
      <c r="BG32" s="86">
        <f>marco!$BE33</f>
        <v>0.6</v>
      </c>
      <c r="BH32" s="97"/>
      <c r="BI32" s="197">
        <f t="shared" si="5"/>
        <v>0</v>
      </c>
    </row>
    <row r="33" spans="1:61" ht="21" customHeight="1">
      <c r="A33" s="167">
        <v>25</v>
      </c>
      <c r="B33" s="258"/>
      <c r="C33" s="257"/>
      <c r="D33" s="258"/>
      <c r="E33" s="257"/>
      <c r="F33" s="258"/>
      <c r="G33" s="257"/>
      <c r="H33" s="258"/>
      <c r="I33" s="257"/>
      <c r="J33" s="258"/>
      <c r="K33" s="257"/>
      <c r="L33" s="258"/>
      <c r="M33" s="257"/>
      <c r="N33" s="258"/>
      <c r="O33" s="257"/>
      <c r="P33" s="258"/>
      <c r="Q33" s="257"/>
      <c r="R33" s="258"/>
      <c r="S33" s="257"/>
      <c r="T33" s="258"/>
      <c r="U33" s="257"/>
      <c r="V33" s="258"/>
      <c r="W33" s="257"/>
      <c r="X33" s="258"/>
      <c r="Y33" s="257"/>
      <c r="Z33" s="258"/>
      <c r="AA33" s="257"/>
      <c r="AB33" s="258"/>
      <c r="AC33" s="257"/>
      <c r="AD33" s="258"/>
      <c r="AE33" s="257"/>
      <c r="AF33" s="258"/>
      <c r="AG33" s="257"/>
      <c r="AH33" s="258"/>
      <c r="AI33" s="257"/>
      <c r="AJ33" s="258"/>
      <c r="AK33" s="265"/>
      <c r="AL33" s="258"/>
      <c r="AM33" s="257"/>
      <c r="AN33" s="258"/>
      <c r="AO33" s="257"/>
      <c r="AP33" s="258">
        <v>0.1</v>
      </c>
      <c r="AQ33" s="265">
        <v>10</v>
      </c>
      <c r="AR33" s="269"/>
      <c r="AS33" s="257"/>
      <c r="AT33" s="258"/>
      <c r="AU33" s="265"/>
      <c r="AV33" s="258"/>
      <c r="AW33" s="265"/>
      <c r="AX33" s="91">
        <v>25</v>
      </c>
      <c r="AY33" s="92">
        <f t="shared" si="0"/>
        <v>0.1</v>
      </c>
      <c r="AZ33" s="93">
        <f t="shared" si="0"/>
        <v>10</v>
      </c>
      <c r="BA33" s="94">
        <f t="shared" si="1"/>
        <v>0.1</v>
      </c>
      <c r="BB33" s="95">
        <f t="shared" si="2"/>
        <v>1</v>
      </c>
      <c r="BC33" s="214"/>
      <c r="BD33" s="197">
        <f t="shared" si="3"/>
        <v>1</v>
      </c>
      <c r="BE33" s="98">
        <f t="shared" si="4"/>
        <v>0.6</v>
      </c>
      <c r="BF33" s="99"/>
      <c r="BG33" s="86">
        <f>marco!$BE34</f>
        <v>0.1</v>
      </c>
      <c r="BH33" s="97"/>
      <c r="BI33" s="197">
        <f t="shared" si="5"/>
        <v>0</v>
      </c>
    </row>
    <row r="34" spans="1:61" ht="21" customHeight="1">
      <c r="A34" s="71">
        <v>26</v>
      </c>
      <c r="B34" s="258"/>
      <c r="C34" s="257"/>
      <c r="D34" s="258"/>
      <c r="E34" s="257"/>
      <c r="F34" s="258"/>
      <c r="G34" s="257"/>
      <c r="H34" s="258"/>
      <c r="I34" s="257"/>
      <c r="J34" s="258"/>
      <c r="K34" s="257"/>
      <c r="L34" s="258"/>
      <c r="M34" s="257"/>
      <c r="N34" s="258"/>
      <c r="O34" s="257"/>
      <c r="P34" s="258"/>
      <c r="Q34" s="257"/>
      <c r="R34" s="258"/>
      <c r="S34" s="257"/>
      <c r="T34" s="258"/>
      <c r="U34" s="257"/>
      <c r="V34" s="258"/>
      <c r="W34" s="257"/>
      <c r="X34" s="258"/>
      <c r="Y34" s="257"/>
      <c r="Z34" s="258"/>
      <c r="AA34" s="257"/>
      <c r="AB34" s="258"/>
      <c r="AC34" s="257"/>
      <c r="AD34" s="258"/>
      <c r="AE34" s="257"/>
      <c r="AF34" s="258"/>
      <c r="AG34" s="257"/>
      <c r="AH34" s="258"/>
      <c r="AI34" s="257"/>
      <c r="AJ34" s="258"/>
      <c r="AK34" s="265"/>
      <c r="AL34" s="258"/>
      <c r="AM34" s="257"/>
      <c r="AN34" s="258"/>
      <c r="AO34" s="257"/>
      <c r="AP34" s="258"/>
      <c r="AQ34" s="265"/>
      <c r="AR34" s="258">
        <v>0.1</v>
      </c>
      <c r="AS34" s="257">
        <v>10</v>
      </c>
      <c r="AT34" s="258"/>
      <c r="AU34" s="265"/>
      <c r="AV34" s="258"/>
      <c r="AW34" s="265"/>
      <c r="AX34" s="91">
        <v>26</v>
      </c>
      <c r="AY34" s="92">
        <f t="shared" si="0"/>
        <v>0.1</v>
      </c>
      <c r="AZ34" s="93">
        <f t="shared" si="0"/>
        <v>10</v>
      </c>
      <c r="BA34" s="94">
        <f t="shared" si="1"/>
        <v>0.1</v>
      </c>
      <c r="BB34" s="95">
        <f t="shared" si="2"/>
        <v>1</v>
      </c>
      <c r="BC34" s="214"/>
      <c r="BD34" s="197">
        <f t="shared" si="3"/>
        <v>1</v>
      </c>
      <c r="BE34" s="98">
        <f t="shared" si="4"/>
        <v>0.1</v>
      </c>
      <c r="BF34" s="99"/>
      <c r="BG34" s="86">
        <f>marco!$BE35</f>
        <v>0.1</v>
      </c>
      <c r="BH34" s="97"/>
      <c r="BI34" s="197">
        <f t="shared" si="5"/>
        <v>0</v>
      </c>
    </row>
    <row r="35" spans="1:61" ht="21" customHeight="1">
      <c r="A35" s="71">
        <v>27</v>
      </c>
      <c r="B35" s="258"/>
      <c r="C35" s="257"/>
      <c r="D35" s="258"/>
      <c r="E35" s="257"/>
      <c r="F35" s="258"/>
      <c r="G35" s="257"/>
      <c r="H35" s="258"/>
      <c r="I35" s="257"/>
      <c r="J35" s="258"/>
      <c r="K35" s="257"/>
      <c r="L35" s="258"/>
      <c r="M35" s="257"/>
      <c r="N35" s="258"/>
      <c r="O35" s="257"/>
      <c r="P35" s="258"/>
      <c r="Q35" s="257"/>
      <c r="R35" s="258"/>
      <c r="S35" s="257"/>
      <c r="T35" s="258"/>
      <c r="U35" s="257"/>
      <c r="V35" s="258">
        <v>0.2</v>
      </c>
      <c r="W35" s="257">
        <v>5</v>
      </c>
      <c r="X35" s="258">
        <v>0.2</v>
      </c>
      <c r="Y35" s="257">
        <v>10</v>
      </c>
      <c r="Z35" s="258"/>
      <c r="AA35" s="257"/>
      <c r="AB35" s="258">
        <v>0.5</v>
      </c>
      <c r="AC35" s="257">
        <v>30</v>
      </c>
      <c r="AD35" s="258">
        <v>0.2</v>
      </c>
      <c r="AE35" s="257">
        <v>25</v>
      </c>
      <c r="AF35" s="258"/>
      <c r="AG35" s="257"/>
      <c r="AH35" s="258"/>
      <c r="AI35" s="257"/>
      <c r="AJ35" s="258"/>
      <c r="AK35" s="265"/>
      <c r="AL35" s="258"/>
      <c r="AM35" s="257"/>
      <c r="AN35" s="258"/>
      <c r="AO35" s="257"/>
      <c r="AP35" s="258">
        <v>0.2</v>
      </c>
      <c r="AQ35" s="265">
        <v>30</v>
      </c>
      <c r="AR35" s="258">
        <v>0.1</v>
      </c>
      <c r="AS35" s="257">
        <v>20</v>
      </c>
      <c r="AT35" s="258">
        <v>0.2</v>
      </c>
      <c r="AU35" s="265">
        <v>25</v>
      </c>
      <c r="AV35" s="258">
        <v>0.8</v>
      </c>
      <c r="AW35" s="265">
        <v>60</v>
      </c>
      <c r="AX35" s="91">
        <v>27</v>
      </c>
      <c r="AY35" s="92">
        <f t="shared" si="0"/>
        <v>2.4000000000000004</v>
      </c>
      <c r="AZ35" s="93">
        <f t="shared" si="0"/>
        <v>205</v>
      </c>
      <c r="BA35" s="94">
        <f t="shared" si="1"/>
        <v>0.8</v>
      </c>
      <c r="BB35" s="95">
        <f t="shared" si="2"/>
        <v>8</v>
      </c>
      <c r="BC35" s="214"/>
      <c r="BD35" s="197">
        <f t="shared" si="3"/>
        <v>1</v>
      </c>
      <c r="BE35" s="98">
        <f t="shared" si="4"/>
        <v>0.1</v>
      </c>
      <c r="BF35" s="99"/>
      <c r="BG35" s="86">
        <f>marco!$BE36</f>
        <v>4.6000000000000005</v>
      </c>
      <c r="BH35" s="97"/>
      <c r="BI35" s="197">
        <f t="shared" si="5"/>
        <v>0</v>
      </c>
    </row>
    <row r="36" spans="1:61" ht="21" customHeight="1">
      <c r="A36" s="71">
        <v>28</v>
      </c>
      <c r="B36" s="258">
        <v>0.4</v>
      </c>
      <c r="C36" s="257">
        <v>55</v>
      </c>
      <c r="D36" s="258">
        <v>0.4</v>
      </c>
      <c r="E36" s="257">
        <v>15</v>
      </c>
      <c r="F36" s="258">
        <v>0.6</v>
      </c>
      <c r="G36" s="257">
        <v>60</v>
      </c>
      <c r="H36" s="258">
        <v>0.5</v>
      </c>
      <c r="I36" s="257">
        <v>50</v>
      </c>
      <c r="J36" s="258">
        <v>0.2</v>
      </c>
      <c r="K36" s="257">
        <v>25</v>
      </c>
      <c r="L36" s="258">
        <v>0.1</v>
      </c>
      <c r="M36" s="257">
        <v>20</v>
      </c>
      <c r="N36" s="258"/>
      <c r="O36" s="257"/>
      <c r="P36" s="258"/>
      <c r="Q36" s="257"/>
      <c r="R36" s="258"/>
      <c r="S36" s="257"/>
      <c r="T36" s="258"/>
      <c r="U36" s="257"/>
      <c r="V36" s="258">
        <v>0.6</v>
      </c>
      <c r="W36" s="257">
        <v>20</v>
      </c>
      <c r="X36" s="258">
        <v>1.2000000000000002</v>
      </c>
      <c r="Y36" s="257">
        <v>60</v>
      </c>
      <c r="Z36" s="258">
        <v>2.3000000000000003</v>
      </c>
      <c r="AA36" s="257">
        <v>60</v>
      </c>
      <c r="AB36" s="258">
        <v>1.1000000000000001</v>
      </c>
      <c r="AC36" s="257">
        <v>35</v>
      </c>
      <c r="AD36" s="258">
        <v>1.1000000000000001</v>
      </c>
      <c r="AE36" s="257">
        <v>10</v>
      </c>
      <c r="AF36" s="258">
        <v>6.6999999999999993</v>
      </c>
      <c r="AG36" s="257">
        <v>50</v>
      </c>
      <c r="AH36" s="258">
        <v>0.9</v>
      </c>
      <c r="AI36" s="257">
        <v>60</v>
      </c>
      <c r="AJ36" s="258">
        <v>0.2</v>
      </c>
      <c r="AK36" s="265">
        <v>10</v>
      </c>
      <c r="AL36" s="258"/>
      <c r="AM36" s="257"/>
      <c r="AN36" s="258"/>
      <c r="AO36" s="257"/>
      <c r="AP36" s="258"/>
      <c r="AQ36" s="265"/>
      <c r="AR36" s="258"/>
      <c r="AS36" s="257"/>
      <c r="AT36" s="258"/>
      <c r="AU36" s="265"/>
      <c r="AV36" s="258"/>
      <c r="AW36" s="265"/>
      <c r="AX36" s="91">
        <v>28</v>
      </c>
      <c r="AY36" s="92">
        <f t="shared" si="0"/>
        <v>16.299999999999997</v>
      </c>
      <c r="AZ36" s="93">
        <f t="shared" si="0"/>
        <v>530</v>
      </c>
      <c r="BA36" s="94">
        <f t="shared" si="1"/>
        <v>6.6999999999999993</v>
      </c>
      <c r="BB36" s="95">
        <f t="shared" si="2"/>
        <v>14</v>
      </c>
      <c r="BC36" s="214"/>
      <c r="BD36" s="197">
        <f t="shared" si="3"/>
        <v>1</v>
      </c>
      <c r="BE36" s="98">
        <f t="shared" si="4"/>
        <v>4.6000000000000005</v>
      </c>
      <c r="BF36" s="99"/>
      <c r="BG36" s="86">
        <f>marco!$BE37</f>
        <v>14.2</v>
      </c>
      <c r="BH36" s="97"/>
      <c r="BI36" s="197">
        <f t="shared" si="5"/>
        <v>0</v>
      </c>
    </row>
    <row r="37" spans="1:61" ht="21" customHeight="1">
      <c r="A37" s="71">
        <v>29</v>
      </c>
      <c r="B37" s="258"/>
      <c r="C37" s="257"/>
      <c r="D37" s="258"/>
      <c r="E37" s="257"/>
      <c r="F37" s="258"/>
      <c r="G37" s="257"/>
      <c r="H37" s="258"/>
      <c r="I37" s="257"/>
      <c r="J37" s="258"/>
      <c r="K37" s="257"/>
      <c r="L37" s="258"/>
      <c r="M37" s="257"/>
      <c r="N37" s="258">
        <v>0.1</v>
      </c>
      <c r="O37" s="257">
        <v>5</v>
      </c>
      <c r="P37" s="258"/>
      <c r="Q37" s="257"/>
      <c r="R37" s="258"/>
      <c r="S37" s="257"/>
      <c r="T37" s="258"/>
      <c r="U37" s="257"/>
      <c r="V37" s="258"/>
      <c r="W37" s="257"/>
      <c r="X37" s="258"/>
      <c r="Y37" s="257"/>
      <c r="Z37" s="258"/>
      <c r="AA37" s="257"/>
      <c r="AB37" s="258"/>
      <c r="AC37" s="257"/>
      <c r="AD37" s="258"/>
      <c r="AE37" s="257"/>
      <c r="AF37" s="258"/>
      <c r="AG37" s="257"/>
      <c r="AH37" s="258"/>
      <c r="AI37" s="257"/>
      <c r="AJ37" s="258"/>
      <c r="AK37" s="265"/>
      <c r="AL37" s="258"/>
      <c r="AM37" s="257"/>
      <c r="AN37" s="258"/>
      <c r="AO37" s="257"/>
      <c r="AP37" s="258"/>
      <c r="AQ37" s="265"/>
      <c r="AR37" s="258"/>
      <c r="AS37" s="257"/>
      <c r="AT37" s="258"/>
      <c r="AU37" s="270"/>
      <c r="AV37" s="258"/>
      <c r="AW37" s="265"/>
      <c r="AX37" s="111">
        <v>29</v>
      </c>
      <c r="AY37" s="92">
        <f t="shared" si="0"/>
        <v>0.1</v>
      </c>
      <c r="AZ37" s="93">
        <f t="shared" si="0"/>
        <v>5</v>
      </c>
      <c r="BA37" s="94">
        <f t="shared" si="1"/>
        <v>0.1</v>
      </c>
      <c r="BB37" s="95">
        <f t="shared" si="2"/>
        <v>1</v>
      </c>
      <c r="BC37" s="214"/>
      <c r="BD37" s="197">
        <f t="shared" si="3"/>
        <v>1</v>
      </c>
      <c r="BE37" s="98">
        <f t="shared" si="4"/>
        <v>14.2</v>
      </c>
      <c r="BF37" s="99"/>
      <c r="BG37" s="86">
        <f>marco!$BE38</f>
        <v>0</v>
      </c>
      <c r="BH37" s="97"/>
      <c r="BI37" s="197">
        <f t="shared" si="5"/>
        <v>0</v>
      </c>
    </row>
    <row r="38" spans="1:61" ht="21" customHeight="1" thickBot="1">
      <c r="A38" s="71">
        <v>30</v>
      </c>
      <c r="B38" s="269"/>
      <c r="C38" s="257"/>
      <c r="D38" s="258"/>
      <c r="E38" s="257"/>
      <c r="F38" s="258"/>
      <c r="G38" s="257"/>
      <c r="H38" s="258"/>
      <c r="I38" s="257"/>
      <c r="J38" s="258"/>
      <c r="K38" s="257"/>
      <c r="L38" s="258"/>
      <c r="M38" s="257"/>
      <c r="N38" s="258"/>
      <c r="O38" s="257"/>
      <c r="P38" s="258"/>
      <c r="Q38" s="257"/>
      <c r="R38" s="258"/>
      <c r="S38" s="257"/>
      <c r="T38" s="258"/>
      <c r="U38" s="257"/>
      <c r="V38" s="258"/>
      <c r="W38" s="257"/>
      <c r="X38" s="258"/>
      <c r="Y38" s="257"/>
      <c r="Z38" s="258"/>
      <c r="AA38" s="257"/>
      <c r="AB38" s="258"/>
      <c r="AC38" s="257"/>
      <c r="AD38" s="258"/>
      <c r="AE38" s="257"/>
      <c r="AF38" s="258"/>
      <c r="AG38" s="257"/>
      <c r="AH38" s="258"/>
      <c r="AI38" s="257"/>
      <c r="AJ38" s="258"/>
      <c r="AK38" s="265"/>
      <c r="AL38" s="258"/>
      <c r="AM38" s="257"/>
      <c r="AN38" s="258"/>
      <c r="AO38" s="257"/>
      <c r="AP38" s="258"/>
      <c r="AQ38" s="265"/>
      <c r="AR38" s="271"/>
      <c r="AS38" s="272"/>
      <c r="AT38" s="258"/>
      <c r="AU38" s="265"/>
      <c r="AV38" s="258"/>
      <c r="AW38" s="265"/>
      <c r="AX38" s="111">
        <v>30</v>
      </c>
      <c r="AY38" s="92">
        <f t="shared" si="0"/>
        <v>0</v>
      </c>
      <c r="AZ38" s="93">
        <f t="shared" si="0"/>
        <v>0</v>
      </c>
      <c r="BA38" s="94">
        <f t="shared" si="1"/>
        <v>0</v>
      </c>
      <c r="BB38" s="95">
        <f t="shared" si="2"/>
        <v>0</v>
      </c>
      <c r="BC38" s="214"/>
      <c r="BD38" s="197">
        <f t="shared" si="3"/>
        <v>0</v>
      </c>
      <c r="BE38" s="98">
        <f t="shared" si="4"/>
        <v>0</v>
      </c>
      <c r="BF38" s="99"/>
      <c r="BG38" s="86">
        <f>marco!$BE39</f>
        <v>0.1</v>
      </c>
      <c r="BH38" s="97"/>
      <c r="BI38" s="197">
        <f t="shared" si="5"/>
        <v>0</v>
      </c>
    </row>
    <row r="39" spans="1:61" ht="21" customHeight="1" thickBot="1">
      <c r="A39" s="114">
        <v>31</v>
      </c>
      <c r="B39" s="273"/>
      <c r="C39" s="274"/>
      <c r="D39" s="275"/>
      <c r="E39" s="274"/>
      <c r="F39" s="275"/>
      <c r="G39" s="274"/>
      <c r="H39" s="275"/>
      <c r="I39" s="274"/>
      <c r="J39" s="275"/>
      <c r="K39" s="274"/>
      <c r="L39" s="275">
        <v>0.1</v>
      </c>
      <c r="M39" s="274">
        <v>5</v>
      </c>
      <c r="N39" s="275"/>
      <c r="O39" s="274"/>
      <c r="P39" s="276"/>
      <c r="Q39" s="274"/>
      <c r="R39" s="275"/>
      <c r="S39" s="274"/>
      <c r="T39" s="275"/>
      <c r="U39" s="274"/>
      <c r="V39" s="275"/>
      <c r="W39" s="274"/>
      <c r="X39" s="275"/>
      <c r="Y39" s="274"/>
      <c r="Z39" s="275"/>
      <c r="AA39" s="274"/>
      <c r="AB39" s="275"/>
      <c r="AC39" s="274"/>
      <c r="AD39" s="275"/>
      <c r="AE39" s="274"/>
      <c r="AF39" s="275"/>
      <c r="AG39" s="274"/>
      <c r="AH39" s="275"/>
      <c r="AI39" s="274"/>
      <c r="AJ39" s="275"/>
      <c r="AK39" s="277"/>
      <c r="AL39" s="278"/>
      <c r="AM39" s="274"/>
      <c r="AN39" s="275"/>
      <c r="AO39" s="274"/>
      <c r="AP39" s="275"/>
      <c r="AQ39" s="279"/>
      <c r="AR39" s="275"/>
      <c r="AS39" s="274"/>
      <c r="AT39" s="275"/>
      <c r="AU39" s="279"/>
      <c r="AV39" s="280"/>
      <c r="AW39" s="279"/>
      <c r="AX39" s="123">
        <v>31</v>
      </c>
      <c r="AY39" s="92">
        <f t="shared" si="0"/>
        <v>0.1</v>
      </c>
      <c r="AZ39" s="93">
        <f t="shared" si="0"/>
        <v>5</v>
      </c>
      <c r="BA39" s="94">
        <f t="shared" si="1"/>
        <v>0.1</v>
      </c>
      <c r="BB39" s="95">
        <f t="shared" si="2"/>
        <v>1</v>
      </c>
      <c r="BC39" s="214"/>
      <c r="BD39" s="197">
        <f t="shared" si="3"/>
        <v>1</v>
      </c>
      <c r="BE39" s="98">
        <f>P38+R38+T38+V38+X38+Z38+AB38+AD38+AF38+AH38+AJ38+AL38+AN38+AP38+AR38+AT38+AV38+B39+D39+F39+H39+J39+L39+N39</f>
        <v>0.1</v>
      </c>
      <c r="BF39" s="99"/>
      <c r="BG39" s="228">
        <f>marco!$BH40</f>
        <v>0.1</v>
      </c>
      <c r="BH39" s="125">
        <v>39173</v>
      </c>
      <c r="BI39" s="197">
        <f t="shared" si="5"/>
        <v>1</v>
      </c>
    </row>
    <row r="40" spans="1:61" ht="21" customHeight="1" thickBot="1">
      <c r="A40" s="126">
        <v>1</v>
      </c>
      <c r="B40" s="127"/>
      <c r="C40" s="128"/>
      <c r="D40" s="127"/>
      <c r="E40" s="128"/>
      <c r="F40" s="127"/>
      <c r="G40" s="128"/>
      <c r="H40" s="127"/>
      <c r="I40" s="128"/>
      <c r="J40" s="127"/>
      <c r="K40" s="128"/>
      <c r="L40" s="127">
        <v>0.1</v>
      </c>
      <c r="M40" s="128">
        <v>5</v>
      </c>
      <c r="N40" s="127"/>
      <c r="O40" s="130"/>
      <c r="P40" s="131"/>
      <c r="Q40" s="32"/>
      <c r="R40" s="31"/>
      <c r="S40" s="32"/>
      <c r="T40" s="31"/>
      <c r="U40" s="32"/>
      <c r="V40" s="31"/>
      <c r="W40" s="32"/>
      <c r="X40" s="31"/>
      <c r="Y40" s="32"/>
      <c r="Z40" s="31"/>
      <c r="AA40" s="32"/>
      <c r="AB40" s="31"/>
      <c r="AC40" s="32"/>
      <c r="AD40" s="31"/>
      <c r="AE40" s="32"/>
      <c r="AF40" s="31"/>
      <c r="AG40" s="32"/>
      <c r="AH40" s="31"/>
      <c r="AI40" s="32"/>
      <c r="AJ40" s="31"/>
      <c r="AK40" s="32"/>
      <c r="AL40" s="31"/>
      <c r="AM40" s="32"/>
      <c r="AN40" s="31"/>
      <c r="AO40" s="32"/>
      <c r="AP40" s="31"/>
      <c r="AQ40" s="32"/>
      <c r="AR40" s="31"/>
      <c r="AS40" s="32"/>
      <c r="AT40" s="31"/>
      <c r="AU40" s="32"/>
      <c r="AV40" s="31"/>
      <c r="AW40" s="32"/>
      <c r="AX40" s="132"/>
      <c r="AY40" s="231" t="s">
        <v>53</v>
      </c>
      <c r="AZ40" s="232"/>
      <c r="BA40" s="233"/>
      <c r="BB40" s="136"/>
      <c r="BC40" s="214"/>
      <c r="BD40" s="137" t="s">
        <v>54</v>
      </c>
      <c r="BE40" s="138">
        <f>SUM(BE9:BE39)</f>
        <v>124.69999999999997</v>
      </c>
      <c r="BF40" s="232"/>
      <c r="BG40" s="139"/>
      <c r="BH40" s="140">
        <f>P39+R39+T39+V39+X39+Z39+AB39+AD39+AF39+AH39+AJ39+AL39+AN39+AP39+AR39+AT39+AV39+B40+D40+F40+H40+J40+L40+N40</f>
        <v>0.1</v>
      </c>
      <c r="BI40" s="214"/>
    </row>
    <row r="41" spans="1:61" ht="21" customHeight="1" thickBot="1">
      <c r="A41" s="142"/>
      <c r="B41" s="143" t="s">
        <v>19</v>
      </c>
      <c r="C41" s="143"/>
      <c r="D41" s="144" t="s">
        <v>20</v>
      </c>
      <c r="E41" s="144"/>
      <c r="F41" s="143" t="s">
        <v>21</v>
      </c>
      <c r="G41" s="143"/>
      <c r="H41" s="143" t="s">
        <v>22</v>
      </c>
      <c r="I41" s="143"/>
      <c r="J41" s="145" t="s">
        <v>23</v>
      </c>
      <c r="K41" s="145"/>
      <c r="L41" s="143" t="s">
        <v>24</v>
      </c>
      <c r="M41" s="143"/>
      <c r="N41" s="143" t="s">
        <v>25</v>
      </c>
      <c r="O41" s="143"/>
      <c r="P41" s="37" t="s">
        <v>26</v>
      </c>
      <c r="Q41" s="37"/>
      <c r="R41" s="37" t="s">
        <v>27</v>
      </c>
      <c r="S41" s="37"/>
      <c r="T41" s="37" t="s">
        <v>28</v>
      </c>
      <c r="U41" s="37"/>
      <c r="V41" s="37" t="s">
        <v>29</v>
      </c>
      <c r="W41" s="37"/>
      <c r="X41" s="37" t="s">
        <v>30</v>
      </c>
      <c r="Y41" s="37"/>
      <c r="Z41" s="40" t="s">
        <v>31</v>
      </c>
      <c r="AA41" s="40"/>
      <c r="AB41" s="37" t="s">
        <v>32</v>
      </c>
      <c r="AC41" s="37"/>
      <c r="AD41" s="37" t="s">
        <v>33</v>
      </c>
      <c r="AE41" s="37"/>
      <c r="AF41" s="37" t="s">
        <v>34</v>
      </c>
      <c r="AG41" s="37"/>
      <c r="AH41" s="37" t="s">
        <v>35</v>
      </c>
      <c r="AI41" s="37"/>
      <c r="AJ41" s="37" t="s">
        <v>36</v>
      </c>
      <c r="AK41" s="37"/>
      <c r="AL41" s="37" t="s">
        <v>37</v>
      </c>
      <c r="AM41" s="37"/>
      <c r="AN41" s="37" t="s">
        <v>38</v>
      </c>
      <c r="AO41" s="37"/>
      <c r="AP41" s="37" t="s">
        <v>39</v>
      </c>
      <c r="AQ41" s="37"/>
      <c r="AR41" s="37" t="s">
        <v>40</v>
      </c>
      <c r="AS41" s="37"/>
      <c r="AT41" s="37" t="s">
        <v>41</v>
      </c>
      <c r="AU41" s="37"/>
      <c r="AV41" s="37" t="s">
        <v>42</v>
      </c>
      <c r="AW41" s="37"/>
      <c r="AX41" s="146"/>
      <c r="AY41" s="33" t="s">
        <v>15</v>
      </c>
      <c r="AZ41" s="33" t="s">
        <v>16</v>
      </c>
      <c r="BA41" s="34" t="s">
        <v>17</v>
      </c>
      <c r="BB41" s="34" t="s">
        <v>55</v>
      </c>
      <c r="BC41" s="214"/>
      <c r="BD41" s="137" t="s">
        <v>56</v>
      </c>
      <c r="BE41" s="147">
        <f>MAX(BE9:BE39)</f>
        <v>44.400000000000006</v>
      </c>
      <c r="BF41" s="148"/>
      <c r="BG41" s="148"/>
      <c r="BH41" s="148"/>
      <c r="BI41" s="214"/>
    </row>
    <row r="42" spans="1:61" ht="21" customHeight="1" thickBot="1">
      <c r="A42" s="142"/>
      <c r="B42" s="234" t="s">
        <v>47</v>
      </c>
      <c r="C42" s="235" t="s">
        <v>48</v>
      </c>
      <c r="D42" s="204" t="s">
        <v>47</v>
      </c>
      <c r="E42" s="236" t="s">
        <v>48</v>
      </c>
      <c r="F42" s="204" t="s">
        <v>47</v>
      </c>
      <c r="G42" s="237" t="s">
        <v>48</v>
      </c>
      <c r="H42" s="204" t="s">
        <v>47</v>
      </c>
      <c r="I42" s="237" t="s">
        <v>48</v>
      </c>
      <c r="J42" s="204" t="s">
        <v>47</v>
      </c>
      <c r="K42" s="237" t="s">
        <v>48</v>
      </c>
      <c r="L42" s="204" t="s">
        <v>47</v>
      </c>
      <c r="M42" s="237" t="s">
        <v>48</v>
      </c>
      <c r="N42" s="204" t="s">
        <v>47</v>
      </c>
      <c r="O42" s="237" t="s">
        <v>48</v>
      </c>
      <c r="P42" s="204" t="s">
        <v>47</v>
      </c>
      <c r="Q42" s="237" t="s">
        <v>48</v>
      </c>
      <c r="R42" s="204" t="s">
        <v>47</v>
      </c>
      <c r="S42" s="237" t="s">
        <v>48</v>
      </c>
      <c r="T42" s="204" t="s">
        <v>47</v>
      </c>
      <c r="U42" s="237" t="s">
        <v>48</v>
      </c>
      <c r="V42" s="204" t="s">
        <v>47</v>
      </c>
      <c r="W42" s="237" t="s">
        <v>48</v>
      </c>
      <c r="X42" s="204" t="s">
        <v>47</v>
      </c>
      <c r="Y42" s="237" t="s">
        <v>48</v>
      </c>
      <c r="Z42" s="204" t="s">
        <v>47</v>
      </c>
      <c r="AA42" s="237" t="s">
        <v>48</v>
      </c>
      <c r="AB42" s="204" t="s">
        <v>47</v>
      </c>
      <c r="AC42" s="237" t="s">
        <v>48</v>
      </c>
      <c r="AD42" s="204" t="s">
        <v>47</v>
      </c>
      <c r="AE42" s="237" t="s">
        <v>48</v>
      </c>
      <c r="AF42" s="204" t="s">
        <v>47</v>
      </c>
      <c r="AG42" s="237" t="s">
        <v>48</v>
      </c>
      <c r="AH42" s="204" t="s">
        <v>47</v>
      </c>
      <c r="AI42" s="237" t="s">
        <v>48</v>
      </c>
      <c r="AJ42" s="204" t="s">
        <v>47</v>
      </c>
      <c r="AK42" s="205" t="s">
        <v>48</v>
      </c>
      <c r="AL42" s="204" t="s">
        <v>47</v>
      </c>
      <c r="AM42" s="237" t="s">
        <v>48</v>
      </c>
      <c r="AN42" s="204" t="s">
        <v>47</v>
      </c>
      <c r="AO42" s="237" t="s">
        <v>48</v>
      </c>
      <c r="AP42" s="204" t="s">
        <v>47</v>
      </c>
      <c r="AQ42" s="205" t="s">
        <v>48</v>
      </c>
      <c r="AR42" s="204" t="s">
        <v>47</v>
      </c>
      <c r="AS42" s="237" t="s">
        <v>48</v>
      </c>
      <c r="AT42" s="204" t="s">
        <v>47</v>
      </c>
      <c r="AU42" s="205" t="s">
        <v>48</v>
      </c>
      <c r="AV42" s="204" t="s">
        <v>47</v>
      </c>
      <c r="AW42" s="205" t="s">
        <v>48</v>
      </c>
      <c r="AX42" s="146"/>
      <c r="AY42" s="35" t="s">
        <v>57</v>
      </c>
      <c r="AZ42" s="35" t="s">
        <v>43</v>
      </c>
      <c r="BA42" s="35" t="s">
        <v>44</v>
      </c>
      <c r="BB42" s="35" t="s">
        <v>58</v>
      </c>
      <c r="BC42" s="214"/>
      <c r="BD42" s="137" t="s">
        <v>59</v>
      </c>
      <c r="BE42" s="70">
        <f>COUNTIF(BE9:BE39,"&gt;=1")</f>
        <v>12</v>
      </c>
      <c r="BF42" s="238"/>
      <c r="BG42" s="238"/>
      <c r="BH42" s="238"/>
      <c r="BI42" s="214"/>
    </row>
    <row r="43" spans="1:61" ht="21" customHeight="1" thickBot="1">
      <c r="A43" s="238" t="s">
        <v>60</v>
      </c>
      <c r="B43" s="154">
        <f>SUM(B9:B39)</f>
        <v>2.8000000000000003</v>
      </c>
      <c r="C43" s="154"/>
      <c r="D43" s="154">
        <f>SUM(D9:D39)</f>
        <v>2.6999999999999997</v>
      </c>
      <c r="E43" s="154"/>
      <c r="F43" s="154">
        <f>SUM(F9:F39)</f>
        <v>3.3000000000000003</v>
      </c>
      <c r="G43" s="154"/>
      <c r="H43" s="154">
        <f>SUM(H9:H39)</f>
        <v>6.3000000000000007</v>
      </c>
      <c r="I43" s="154"/>
      <c r="J43" s="154">
        <f>SUM(J9:J39)</f>
        <v>3.1000000000000005</v>
      </c>
      <c r="K43" s="154"/>
      <c r="L43" s="154">
        <f>SUM(L9:L39)</f>
        <v>1.3000000000000003</v>
      </c>
      <c r="M43" s="154"/>
      <c r="N43" s="154">
        <f>SUM(N9:N39)</f>
        <v>3.9000000000000004</v>
      </c>
      <c r="O43" s="154"/>
      <c r="P43" s="154">
        <f>SUM(P9:P39)</f>
        <v>0.6</v>
      </c>
      <c r="Q43" s="154"/>
      <c r="R43" s="154">
        <f>SUM(R9:R39)</f>
        <v>0.4</v>
      </c>
      <c r="S43" s="154"/>
      <c r="T43" s="154">
        <f>SUM(T9:T39)</f>
        <v>0.2</v>
      </c>
      <c r="U43" s="154"/>
      <c r="V43" s="154">
        <f>SUM(V9:V39)</f>
        <v>0.9</v>
      </c>
      <c r="W43" s="154"/>
      <c r="X43" s="154">
        <f>SUM(X9:X39)</f>
        <v>8.1</v>
      </c>
      <c r="Y43" s="154"/>
      <c r="Z43" s="154">
        <f>SUM(Z9:Z39)</f>
        <v>2.6</v>
      </c>
      <c r="AA43" s="154"/>
      <c r="AB43" s="154">
        <f>SUM(AB9:AB39)</f>
        <v>3.1</v>
      </c>
      <c r="AC43" s="154"/>
      <c r="AD43" s="154">
        <f>SUM(AD9:AD39)</f>
        <v>4.5</v>
      </c>
      <c r="AE43" s="154"/>
      <c r="AF43" s="154">
        <f>SUM(AF9:AF39)</f>
        <v>37.200000000000003</v>
      </c>
      <c r="AG43" s="154"/>
      <c r="AH43" s="154">
        <f>SUM(AH9:AH39)</f>
        <v>11.8</v>
      </c>
      <c r="AI43" s="154"/>
      <c r="AJ43" s="154">
        <f>SUM(AJ9:AJ39)</f>
        <v>2.2000000000000002</v>
      </c>
      <c r="AK43" s="154"/>
      <c r="AL43" s="154">
        <f>SUM(AL9:AL39)</f>
        <v>2.7</v>
      </c>
      <c r="AM43" s="154"/>
      <c r="AN43" s="154">
        <f>SUM(AN9:AN39)</f>
        <v>4.1999999999999993</v>
      </c>
      <c r="AO43" s="154"/>
      <c r="AP43" s="154">
        <f>SUM(AP9:AP39)</f>
        <v>13.2</v>
      </c>
      <c r="AQ43" s="154"/>
      <c r="AR43" s="154">
        <f>SUM(AR9:AR39)</f>
        <v>3.9</v>
      </c>
      <c r="AS43" s="154"/>
      <c r="AT43" s="154">
        <f>SUM(AT9:AT39)</f>
        <v>2.1000000000000005</v>
      </c>
      <c r="AU43" s="154"/>
      <c r="AV43" s="154">
        <f>SUM(AV9:AV39)</f>
        <v>3.5999999999999996</v>
      </c>
      <c r="AW43" s="154"/>
      <c r="AX43" s="146"/>
      <c r="AY43" s="53" t="s">
        <v>49</v>
      </c>
      <c r="AZ43" s="53" t="s">
        <v>50</v>
      </c>
      <c r="BA43" s="54" t="s">
        <v>51</v>
      </c>
      <c r="BB43" s="54" t="s">
        <v>61</v>
      </c>
      <c r="BC43" s="214"/>
      <c r="BD43" s="137"/>
      <c r="BE43" s="70"/>
      <c r="BF43" s="238"/>
      <c r="BG43" s="238"/>
      <c r="BH43" s="238"/>
      <c r="BI43" s="214"/>
    </row>
    <row r="44" spans="1:61" s="161" customFormat="1" ht="21" customHeight="1" thickBot="1">
      <c r="A44" s="238" t="s">
        <v>62</v>
      </c>
      <c r="B44" s="155"/>
      <c r="C44" s="155">
        <f>SUM(C9:C39)</f>
        <v>150</v>
      </c>
      <c r="D44" s="155"/>
      <c r="E44" s="155">
        <f>SUM(E9:E39)</f>
        <v>125</v>
      </c>
      <c r="F44" s="155"/>
      <c r="G44" s="155">
        <f>SUM(G9:G39)</f>
        <v>170</v>
      </c>
      <c r="H44" s="155"/>
      <c r="I44" s="155">
        <f>SUM(I9:I39)</f>
        <v>180</v>
      </c>
      <c r="J44" s="155"/>
      <c r="K44" s="155">
        <f>SUM(K9:K39)</f>
        <v>120</v>
      </c>
      <c r="L44" s="155"/>
      <c r="M44" s="155">
        <f>SUM(M9:M39)</f>
        <v>120</v>
      </c>
      <c r="N44" s="155"/>
      <c r="O44" s="155">
        <f>SUM(O9:O39)</f>
        <v>105</v>
      </c>
      <c r="P44" s="155"/>
      <c r="Q44" s="155">
        <f>SUM(Q9:Q39)</f>
        <v>30</v>
      </c>
      <c r="R44" s="155"/>
      <c r="S44" s="155">
        <f>SUM(S9:S39)</f>
        <v>15</v>
      </c>
      <c r="T44" s="155"/>
      <c r="U44" s="155">
        <f>SUM(U9:U39)</f>
        <v>5</v>
      </c>
      <c r="V44" s="155"/>
      <c r="W44" s="155">
        <f>SUM(W9:W39)</f>
        <v>35</v>
      </c>
      <c r="X44" s="155"/>
      <c r="Y44" s="155">
        <f>SUM(Y9:Y39)</f>
        <v>170</v>
      </c>
      <c r="Z44" s="155"/>
      <c r="AA44" s="155">
        <f>SUM(AA9:AA39)</f>
        <v>95</v>
      </c>
      <c r="AB44" s="155"/>
      <c r="AC44" s="155">
        <f>SUM(AC9:AC39)</f>
        <v>130</v>
      </c>
      <c r="AD44" s="155"/>
      <c r="AE44" s="155">
        <f>SUM(AE9:AE39)</f>
        <v>115</v>
      </c>
      <c r="AF44" s="155"/>
      <c r="AG44" s="155">
        <f>SUM(AG9:AG39)</f>
        <v>195</v>
      </c>
      <c r="AH44" s="155"/>
      <c r="AI44" s="155">
        <f>SUM(AI9:AI39)</f>
        <v>200</v>
      </c>
      <c r="AJ44" s="155"/>
      <c r="AK44" s="155">
        <f>SUM(AK9:AK39)</f>
        <v>125</v>
      </c>
      <c r="AL44" s="155"/>
      <c r="AM44" s="155">
        <f>SUM(AM9:AM39)</f>
        <v>140</v>
      </c>
      <c r="AN44" s="155"/>
      <c r="AO44" s="155">
        <f>SUM(AO9:AO39)</f>
        <v>130</v>
      </c>
      <c r="AP44" s="155"/>
      <c r="AQ44" s="155">
        <f>SUM(AQ9:AQ39)</f>
        <v>210</v>
      </c>
      <c r="AR44" s="155"/>
      <c r="AS44" s="155">
        <f>SUM(AS9:AS39)</f>
        <v>180</v>
      </c>
      <c r="AT44" s="155"/>
      <c r="AU44" s="155">
        <f>SUM(AU9:AU39)</f>
        <v>125</v>
      </c>
      <c r="AV44" s="155"/>
      <c r="AW44" s="155">
        <f>SUM(AW9:AW39)</f>
        <v>190</v>
      </c>
      <c r="AX44" s="239"/>
      <c r="AY44" s="157">
        <f>AY9+AY10+AY11+AY12+AY13+AY14+AY15+AY16+AY17+AY18+AY19+AY20+AY21+AY22+AY23+AY24+AY25+AY26+AY27+AY28+AY29+AY30+AY31+AY32+AY33+AY34+AY35+AY36+AY37+AY38+AY39</f>
        <v>124.69999999999996</v>
      </c>
      <c r="AZ44" s="158">
        <f>AZ9+AZ10+AZ11+AZ12+AZ13+AZ14+AZ15+AZ16+AZ17+AZ18+AZ19+AZ20+AZ21+AZ22+AZ23+AZ24+AZ25+AZ26+AZ27+AZ28+AZ29+AZ30+AZ31+AZ32+AZ33+AZ34+AZ35+AZ36+AZ37+AZ38+AZ39</f>
        <v>3060</v>
      </c>
      <c r="BA44" s="154">
        <f>MAX(BA9:BA39)</f>
        <v>22.8</v>
      </c>
      <c r="BB44" s="155">
        <f>SUM(BB8:BB39)</f>
        <v>107</v>
      </c>
      <c r="BC44" s="42"/>
      <c r="BD44" s="197"/>
      <c r="BE44" s="240"/>
      <c r="BF44" s="241"/>
      <c r="BG44" s="240"/>
      <c r="BH44" s="242"/>
      <c r="BI44" s="214"/>
    </row>
    <row r="45" spans="1:61" s="161" customFormat="1" ht="21" customHeight="1" thickBot="1">
      <c r="A45" s="238" t="s">
        <v>63</v>
      </c>
      <c r="B45" s="155">
        <f>COUNT(B9:B39)</f>
        <v>5</v>
      </c>
      <c r="C45" s="155"/>
      <c r="D45" s="155">
        <f>COUNT(D9:D39)</f>
        <v>4</v>
      </c>
      <c r="E45" s="155"/>
      <c r="F45" s="155">
        <f>COUNT(F9:F39)</f>
        <v>6</v>
      </c>
      <c r="G45" s="155"/>
      <c r="H45" s="155">
        <f>COUNT(H9:H39)</f>
        <v>7</v>
      </c>
      <c r="I45" s="155"/>
      <c r="J45" s="155">
        <f>COUNT(J9:J39)</f>
        <v>5</v>
      </c>
      <c r="K45" s="155"/>
      <c r="L45" s="155">
        <f>COUNT(L9:L39)</f>
        <v>6</v>
      </c>
      <c r="M45" s="155"/>
      <c r="N45" s="155">
        <f>COUNT(N9:N39)</f>
        <v>6</v>
      </c>
      <c r="O45" s="155"/>
      <c r="P45" s="155">
        <f>COUNT(P9:P39)</f>
        <v>1</v>
      </c>
      <c r="Q45" s="155"/>
      <c r="R45" s="155">
        <f>COUNT(R9:R39)</f>
        <v>2</v>
      </c>
      <c r="S45" s="155"/>
      <c r="T45" s="155">
        <f>COUNT(T9:T39)</f>
        <v>1</v>
      </c>
      <c r="U45" s="155"/>
      <c r="V45" s="155">
        <f>COUNT(V9:V39)</f>
        <v>3</v>
      </c>
      <c r="W45" s="155"/>
      <c r="X45" s="155">
        <f>COUNT(X9:X39)</f>
        <v>5</v>
      </c>
      <c r="Y45" s="155"/>
      <c r="Z45" s="155">
        <f>COUNT(Z9:Z39)</f>
        <v>2</v>
      </c>
      <c r="AA45" s="155"/>
      <c r="AB45" s="155">
        <f>COUNT(AB9:AB39)</f>
        <v>4</v>
      </c>
      <c r="AC45" s="155"/>
      <c r="AD45" s="155">
        <f>COUNT(AD9:AD39)</f>
        <v>4</v>
      </c>
      <c r="AE45" s="155"/>
      <c r="AF45" s="155">
        <f>COUNT(AF9:AF39)</f>
        <v>5</v>
      </c>
      <c r="AG45" s="155"/>
      <c r="AH45" s="155">
        <f>COUNT(AH9:AH39)</f>
        <v>5</v>
      </c>
      <c r="AI45" s="155"/>
      <c r="AJ45" s="155">
        <f>COUNT(AJ9:AJ39)</f>
        <v>5</v>
      </c>
      <c r="AK45" s="155"/>
      <c r="AL45" s="155">
        <f>COUNT(AL9:AL39)</f>
        <v>3</v>
      </c>
      <c r="AM45" s="155"/>
      <c r="AN45" s="155">
        <f>COUNT(AN9:AN39)</f>
        <v>3</v>
      </c>
      <c r="AO45" s="162"/>
      <c r="AP45" s="155">
        <f>COUNT(AP9:AP39)</f>
        <v>7</v>
      </c>
      <c r="AQ45" s="155"/>
      <c r="AR45" s="155">
        <f>COUNT(AR9:AR39)</f>
        <v>6</v>
      </c>
      <c r="AS45" s="155"/>
      <c r="AT45" s="155">
        <f>COUNT(AT9:AT39)</f>
        <v>6</v>
      </c>
      <c r="AU45" s="155"/>
      <c r="AV45" s="155">
        <f>COUNT(AV9:AV39)</f>
        <v>6</v>
      </c>
      <c r="AW45" s="155"/>
      <c r="AX45" s="243"/>
      <c r="AY45" s="164" t="s">
        <v>64</v>
      </c>
      <c r="AZ45" s="165" t="s">
        <v>65</v>
      </c>
      <c r="BA45" s="240"/>
      <c r="BB45" s="34" t="s">
        <v>66</v>
      </c>
      <c r="BC45" s="214"/>
      <c r="BD45" s="197"/>
      <c r="BE45" s="238"/>
      <c r="BF45" s="241"/>
      <c r="BG45" s="240"/>
      <c r="BH45" s="238"/>
      <c r="BI45" s="214"/>
    </row>
    <row r="46" spans="1:61" s="161" customFormat="1" ht="21" customHeight="1" thickBot="1">
      <c r="A46" s="196"/>
      <c r="B46" s="196"/>
      <c r="C46" s="196"/>
      <c r="D46" s="196"/>
      <c r="E46" s="196"/>
      <c r="F46" s="196"/>
      <c r="G46" s="196"/>
      <c r="H46" s="196"/>
      <c r="I46" s="196"/>
      <c r="J46" s="196"/>
      <c r="K46" s="196"/>
      <c r="L46" s="196"/>
      <c r="M46" s="196"/>
      <c r="N46" s="196"/>
      <c r="O46" s="196"/>
      <c r="P46" s="196"/>
      <c r="Q46" s="196"/>
      <c r="R46" s="196"/>
      <c r="S46" s="196"/>
      <c r="T46" s="196"/>
      <c r="U46" s="196"/>
      <c r="V46" s="196"/>
      <c r="W46" s="196"/>
      <c r="X46" s="196"/>
      <c r="Y46" s="196"/>
      <c r="Z46" s="196"/>
      <c r="AA46" s="196"/>
      <c r="AB46" s="196"/>
      <c r="AC46" s="196"/>
      <c r="AD46" s="196"/>
      <c r="AE46" s="196"/>
      <c r="AF46" s="196"/>
      <c r="AG46" s="196"/>
      <c r="AH46" s="196"/>
      <c r="AI46" s="196"/>
      <c r="AJ46" s="196"/>
      <c r="AK46" s="196"/>
      <c r="AL46" s="196"/>
      <c r="AM46" s="196"/>
      <c r="AN46" s="196"/>
      <c r="AO46" s="196"/>
      <c r="AP46" s="196"/>
      <c r="AQ46" s="196"/>
      <c r="AR46" s="196"/>
      <c r="AS46" s="196"/>
      <c r="AT46" s="196"/>
      <c r="AU46" s="196"/>
      <c r="AV46" s="196"/>
      <c r="AW46" s="31"/>
      <c r="AX46" s="244"/>
      <c r="AY46" s="157">
        <f>[1]ano!E44</f>
        <v>164.98601714285712</v>
      </c>
      <c r="AZ46" s="167"/>
      <c r="BA46" s="245"/>
      <c r="BB46" s="35" t="s">
        <v>58</v>
      </c>
      <c r="BC46" s="214"/>
      <c r="BD46" s="197"/>
      <c r="BE46" s="240"/>
      <c r="BF46" s="238"/>
      <c r="BG46" s="245"/>
      <c r="BH46" s="238"/>
      <c r="BI46" s="214"/>
    </row>
    <row r="47" spans="1:61" s="161" customFormat="1" ht="21" customHeight="1" thickBot="1">
      <c r="A47" s="246"/>
      <c r="B47" s="247" t="s">
        <v>67</v>
      </c>
      <c r="C47" s="248"/>
      <c r="D47" s="248"/>
      <c r="E47" s="248"/>
      <c r="F47" s="248"/>
      <c r="G47" s="248"/>
      <c r="H47" s="248"/>
      <c r="I47" s="248"/>
      <c r="J47" s="248"/>
      <c r="K47" s="248"/>
      <c r="L47" s="248"/>
      <c r="M47" s="248"/>
      <c r="N47" s="242"/>
      <c r="O47" s="242"/>
      <c r="P47" s="242"/>
      <c r="Q47" s="242"/>
      <c r="R47" s="242"/>
      <c r="S47" s="242"/>
      <c r="T47" s="242"/>
      <c r="U47" s="242"/>
      <c r="V47" s="242"/>
      <c r="W47" s="242"/>
      <c r="X47" s="242"/>
      <c r="Y47" s="242"/>
      <c r="Z47" s="242"/>
      <c r="AA47" s="242"/>
      <c r="AB47" s="242"/>
      <c r="AC47" s="242"/>
      <c r="AD47" s="242"/>
      <c r="AE47" s="242"/>
      <c r="AF47" s="242"/>
      <c r="AG47" s="242"/>
      <c r="AH47" s="242"/>
      <c r="AI47" s="242"/>
      <c r="AJ47" s="242"/>
      <c r="AK47" s="242"/>
      <c r="AL47" s="242"/>
      <c r="AM47" s="242"/>
      <c r="AN47" s="242"/>
      <c r="AO47" s="242"/>
      <c r="AP47" s="242"/>
      <c r="AQ47" s="242"/>
      <c r="AR47" s="242"/>
      <c r="AS47" s="242"/>
      <c r="AT47" s="242"/>
      <c r="AU47" s="242"/>
      <c r="AV47" s="242"/>
      <c r="AW47" s="242"/>
      <c r="AX47" s="249"/>
      <c r="AY47" s="26" t="s">
        <v>68</v>
      </c>
      <c r="AZ47" s="167"/>
      <c r="BA47" s="245"/>
      <c r="BB47" s="54" t="s">
        <v>61</v>
      </c>
      <c r="BC47" s="214"/>
      <c r="BD47" s="197"/>
      <c r="BE47" s="238"/>
      <c r="BF47" s="238"/>
      <c r="BG47" s="245"/>
      <c r="BH47" s="238"/>
      <c r="BI47" s="214"/>
    </row>
    <row r="48" spans="1:61" s="161" customFormat="1" ht="21" customHeight="1" thickBot="1">
      <c r="A48" s="245"/>
      <c r="B48" s="250" t="s">
        <v>69</v>
      </c>
      <c r="C48" s="245"/>
      <c r="D48" s="245"/>
      <c r="E48" s="245"/>
      <c r="F48" s="245"/>
      <c r="G48" s="245"/>
      <c r="H48" s="245"/>
      <c r="I48" s="245"/>
      <c r="J48" s="245"/>
      <c r="K48" s="245"/>
      <c r="L48" s="245"/>
      <c r="M48" s="245"/>
      <c r="N48" s="196"/>
      <c r="O48" s="196"/>
      <c r="P48" s="196"/>
      <c r="Q48" s="196"/>
      <c r="R48" s="196"/>
      <c r="S48" s="196"/>
      <c r="T48" s="196"/>
      <c r="U48" s="196"/>
      <c r="V48" s="196"/>
      <c r="W48" s="196"/>
      <c r="X48" s="196"/>
      <c r="Y48" s="196"/>
      <c r="Z48" s="196"/>
      <c r="AA48" s="196"/>
      <c r="AB48" s="196"/>
      <c r="AC48" s="196"/>
      <c r="AD48" s="196"/>
      <c r="AE48" s="196"/>
      <c r="AF48" s="196"/>
      <c r="AG48" s="196"/>
      <c r="AH48" s="196"/>
      <c r="AI48" s="196"/>
      <c r="AJ48" s="196"/>
      <c r="AK48" s="196"/>
      <c r="AL48" s="196"/>
      <c r="AM48" s="196"/>
      <c r="AN48" s="196"/>
      <c r="AO48" s="196"/>
      <c r="AP48" s="196"/>
      <c r="AQ48" s="196"/>
      <c r="AR48" s="196"/>
      <c r="AS48" s="196"/>
      <c r="AT48" s="196"/>
      <c r="AU48" s="196"/>
      <c r="AV48" s="196"/>
      <c r="AW48" s="196"/>
      <c r="AX48" s="178"/>
      <c r="AY48" s="157">
        <f>AY44-AY46</f>
        <v>-40.286017142857162</v>
      </c>
      <c r="AZ48" s="179"/>
      <c r="BA48" s="245"/>
      <c r="BB48" s="155">
        <f>SUM(BD9:BD39)</f>
        <v>18</v>
      </c>
      <c r="BC48" s="180"/>
      <c r="BD48" s="197"/>
      <c r="BE48" s="240"/>
      <c r="BF48" s="240"/>
      <c r="BG48" s="245"/>
      <c r="BH48" s="242"/>
      <c r="BI48" s="214"/>
    </row>
    <row r="49" spans="1:61" ht="24" customHeight="1">
      <c r="A49" s="1"/>
      <c r="B49" s="251" t="s">
        <v>71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245"/>
      <c r="AX49" s="1"/>
      <c r="AY49" s="1"/>
      <c r="AZ49" s="1"/>
      <c r="BA49" s="1"/>
      <c r="BB49" s="1"/>
      <c r="BC49" s="17"/>
      <c r="BD49" s="197"/>
      <c r="BE49" s="1"/>
      <c r="BF49" s="1"/>
      <c r="BG49" s="1"/>
      <c r="BH49" s="1"/>
      <c r="BI49" s="17"/>
    </row>
    <row r="50" spans="1:61" ht="23.25">
      <c r="A50" s="252"/>
      <c r="B50" s="252"/>
      <c r="C50" s="252"/>
      <c r="D50" s="252"/>
      <c r="E50" s="252"/>
      <c r="F50" s="252"/>
      <c r="G50" s="252"/>
      <c r="H50" s="252"/>
      <c r="I50" s="252"/>
      <c r="J50" s="252"/>
      <c r="K50" s="252"/>
      <c r="L50" s="252"/>
      <c r="M50" s="252"/>
      <c r="N50" s="252"/>
      <c r="O50" s="252"/>
      <c r="P50" s="252"/>
      <c r="Q50" s="252"/>
      <c r="R50" s="252"/>
      <c r="S50" s="252"/>
      <c r="T50" s="252"/>
      <c r="U50" s="252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61" s="189" customFormat="1" ht="18">
      <c r="A51" s="188"/>
      <c r="B51" s="188"/>
      <c r="C51" s="188"/>
      <c r="D51" s="188"/>
      <c r="E51" s="188"/>
      <c r="F51" s="188"/>
      <c r="G51" s="188"/>
      <c r="H51" s="188"/>
      <c r="I51" s="188"/>
      <c r="J51" s="188"/>
      <c r="K51" s="188"/>
      <c r="L51" s="188"/>
      <c r="M51" s="188"/>
      <c r="N51" s="188"/>
      <c r="O51" s="188"/>
      <c r="P51" s="188"/>
      <c r="Q51" s="188"/>
      <c r="R51" s="188"/>
      <c r="S51" s="188"/>
      <c r="T51" s="188"/>
      <c r="U51" s="188"/>
      <c r="V51" s="188"/>
      <c r="W51" s="188"/>
      <c r="X51" s="188"/>
      <c r="Y51" s="188"/>
      <c r="Z51" s="188"/>
      <c r="AA51" s="188"/>
      <c r="AB51" s="188"/>
      <c r="AC51" s="188"/>
      <c r="AD51" s="188"/>
      <c r="AE51" s="188"/>
      <c r="AF51" s="188"/>
      <c r="AG51" s="188"/>
      <c r="AH51" s="188"/>
      <c r="AI51" s="188"/>
      <c r="AJ51" s="188"/>
      <c r="AK51" s="188"/>
      <c r="AL51" s="188"/>
      <c r="AM51" s="188"/>
      <c r="AN51" s="188"/>
      <c r="AO51" s="188"/>
      <c r="AP51" s="188"/>
      <c r="AQ51" s="188"/>
      <c r="AR51" s="188"/>
      <c r="AS51" s="188"/>
      <c r="AT51" s="188"/>
      <c r="AU51" s="188"/>
      <c r="AV51" s="188"/>
      <c r="AY51" s="281">
        <f>MAX(AY9:AY39)</f>
        <v>42.7</v>
      </c>
      <c r="BD51" s="191"/>
    </row>
    <row r="52" spans="1:61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61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1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1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1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12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1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1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</sheetData>
  <sheetProtection selectLockedCells="1" selectUnlockedCells="1"/>
  <mergeCells count="52">
    <mergeCell ref="AL41:AM41"/>
    <mergeCell ref="AN41:AO41"/>
    <mergeCell ref="AP41:AQ41"/>
    <mergeCell ref="AR41:AS41"/>
    <mergeCell ref="AT41:AU41"/>
    <mergeCell ref="AV41:AW41"/>
    <mergeCell ref="Z41:AA41"/>
    <mergeCell ref="AB41:AC41"/>
    <mergeCell ref="AD41:AE41"/>
    <mergeCell ref="AF41:AG41"/>
    <mergeCell ref="AH41:AI41"/>
    <mergeCell ref="AJ41:AK41"/>
    <mergeCell ref="N41:O41"/>
    <mergeCell ref="P41:Q41"/>
    <mergeCell ref="R41:S41"/>
    <mergeCell ref="T41:U41"/>
    <mergeCell ref="V41:W41"/>
    <mergeCell ref="X41:Y41"/>
    <mergeCell ref="B41:C41"/>
    <mergeCell ref="D41:E41"/>
    <mergeCell ref="F41:G41"/>
    <mergeCell ref="H41:I41"/>
    <mergeCell ref="J41:K41"/>
    <mergeCell ref="L41:M41"/>
    <mergeCell ref="AL7:AM7"/>
    <mergeCell ref="AN7:AO7"/>
    <mergeCell ref="AP7:AQ7"/>
    <mergeCell ref="AR7:AS7"/>
    <mergeCell ref="AT7:AU7"/>
    <mergeCell ref="AV7:AW7"/>
    <mergeCell ref="Z7:AA7"/>
    <mergeCell ref="AB7:AC7"/>
    <mergeCell ref="AD7:AE7"/>
    <mergeCell ref="AF7:AG7"/>
    <mergeCell ref="AH7:AI7"/>
    <mergeCell ref="AJ7:AK7"/>
    <mergeCell ref="N7:O7"/>
    <mergeCell ref="P7:Q7"/>
    <mergeCell ref="R7:S7"/>
    <mergeCell ref="T7:U7"/>
    <mergeCell ref="V7:W7"/>
    <mergeCell ref="X7:Y7"/>
    <mergeCell ref="AY4:BB4"/>
    <mergeCell ref="BE4:BH4"/>
    <mergeCell ref="C5:D5"/>
    <mergeCell ref="AY5:BB5"/>
    <mergeCell ref="B7:C7"/>
    <mergeCell ref="D7:E7"/>
    <mergeCell ref="F7:G7"/>
    <mergeCell ref="H7:I7"/>
    <mergeCell ref="J7:K7"/>
    <mergeCell ref="L7:M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BI58"/>
  <sheetViews>
    <sheetView showGridLines="0" defaultGridColor="0" colorId="8" zoomScale="60" zoomScaleNormal="60" workbookViewId="0">
      <selection activeCell="B5" sqref="B5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193" customWidth="1"/>
    <col min="57" max="58" width="13.140625" customWidth="1"/>
    <col min="59" max="59" width="12.42578125" customWidth="1"/>
    <col min="60" max="60" width="14.42578125" customWidth="1"/>
  </cols>
  <sheetData>
    <row r="1" spans="1:61" s="6" customFormat="1" ht="21" customHeight="1">
      <c r="A1" s="1"/>
      <c r="B1" s="2" t="s">
        <v>76</v>
      </c>
      <c r="C1" s="3"/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1"/>
      <c r="B2" s="7" t="s">
        <v>77</v>
      </c>
      <c r="C2" s="8"/>
      <c r="D2" s="8"/>
      <c r="E2" s="8"/>
      <c r="F2" s="9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</row>
    <row r="3" spans="1:61" s="6" customFormat="1" ht="21" customHeight="1" thickBot="1">
      <c r="A3" s="1"/>
      <c r="B3" s="194" t="s">
        <v>78</v>
      </c>
      <c r="C3" s="8"/>
      <c r="D3" s="8"/>
      <c r="E3" s="8"/>
      <c r="F3" s="9"/>
      <c r="G3" s="9"/>
      <c r="H3" s="1"/>
      <c r="I3" s="1"/>
      <c r="J3" s="1"/>
      <c r="K3" s="1"/>
      <c r="L3" s="1"/>
      <c r="M3" s="3" t="s">
        <v>8</v>
      </c>
      <c r="N3" s="1"/>
      <c r="O3" s="1"/>
      <c r="P3" s="1"/>
      <c r="Q3" s="1"/>
      <c r="R3" s="1"/>
      <c r="S3" s="1"/>
      <c r="T3" s="1"/>
      <c r="U3" s="1"/>
      <c r="V3" s="1"/>
      <c r="W3" s="13"/>
      <c r="X3" s="13"/>
      <c r="Y3" s="13"/>
      <c r="Z3" s="13"/>
      <c r="AA3" s="13"/>
      <c r="AB3" s="13"/>
      <c r="AC3" s="13"/>
      <c r="AD3" s="13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</row>
    <row r="4" spans="1:61" ht="21" customHeight="1" thickBot="1">
      <c r="A4" s="195"/>
      <c r="B4" s="196"/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  <c r="X4" s="196"/>
      <c r="Y4" s="196"/>
      <c r="Z4" s="196"/>
      <c r="AA4" s="196"/>
      <c r="AB4" s="196"/>
      <c r="AC4" s="196"/>
      <c r="AD4" s="196"/>
      <c r="AE4" s="196"/>
      <c r="AF4" s="196"/>
      <c r="AG4" s="196"/>
      <c r="AH4" s="196"/>
      <c r="AI4" s="196"/>
      <c r="AJ4" s="196"/>
      <c r="AK4" s="196"/>
      <c r="AL4" s="196"/>
      <c r="AM4" s="196"/>
      <c r="AN4" s="196"/>
      <c r="AO4" s="196"/>
      <c r="AP4" s="196"/>
      <c r="AQ4" s="196"/>
      <c r="AR4" s="196"/>
      <c r="AS4" s="196"/>
      <c r="AT4" s="196"/>
      <c r="AU4" s="196"/>
      <c r="AV4" s="196"/>
      <c r="AW4" s="196"/>
      <c r="AX4" s="196"/>
      <c r="AY4" s="18" t="s">
        <v>9</v>
      </c>
      <c r="AZ4" s="18"/>
      <c r="BA4" s="18"/>
      <c r="BB4" s="18"/>
      <c r="BC4" s="17"/>
      <c r="BD4" s="19"/>
      <c r="BE4" s="18" t="s">
        <v>9</v>
      </c>
      <c r="BF4" s="18"/>
      <c r="BG4" s="18"/>
      <c r="BH4" s="18"/>
    </row>
    <row r="5" spans="1:61" ht="21" customHeight="1" thickBo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"/>
      <c r="AS5" s="1"/>
      <c r="AT5" s="1"/>
      <c r="AU5" s="1"/>
      <c r="AV5" s="1"/>
      <c r="AW5" s="1"/>
      <c r="AX5" s="17"/>
      <c r="AY5" s="25" t="s">
        <v>11</v>
      </c>
      <c r="AZ5" s="25"/>
      <c r="BA5" s="25"/>
      <c r="BB5" s="25"/>
      <c r="BC5" s="17"/>
      <c r="BD5" s="19"/>
      <c r="BE5" s="26" t="s">
        <v>12</v>
      </c>
      <c r="BF5" s="27" t="s">
        <v>13</v>
      </c>
      <c r="BG5" s="28" t="s">
        <v>14</v>
      </c>
      <c r="BH5" s="29"/>
    </row>
    <row r="6" spans="1:61" ht="21" customHeight="1" thickBot="1">
      <c r="A6" s="30"/>
      <c r="B6" s="31"/>
      <c r="C6" s="32"/>
      <c r="D6" s="31"/>
      <c r="E6" s="32"/>
      <c r="F6" s="31"/>
      <c r="G6" s="32"/>
      <c r="H6" s="31"/>
      <c r="I6" s="32"/>
      <c r="J6" s="31"/>
      <c r="K6" s="32"/>
      <c r="L6" s="31"/>
      <c r="M6" s="32"/>
      <c r="N6" s="31"/>
      <c r="O6" s="32"/>
      <c r="P6" s="31"/>
      <c r="Q6" s="32"/>
      <c r="R6" s="31"/>
      <c r="S6" s="32"/>
      <c r="T6" s="31"/>
      <c r="U6" s="32"/>
      <c r="V6" s="31"/>
      <c r="W6" s="32"/>
      <c r="X6" s="31"/>
      <c r="Y6" s="32"/>
      <c r="Z6" s="31"/>
      <c r="AA6" s="32"/>
      <c r="AB6" s="31"/>
      <c r="AC6" s="32"/>
      <c r="AD6" s="31"/>
      <c r="AE6" s="32"/>
      <c r="AF6" s="31"/>
      <c r="AG6" s="32"/>
      <c r="AH6" s="31"/>
      <c r="AI6" s="32"/>
      <c r="AJ6" s="31"/>
      <c r="AK6" s="32"/>
      <c r="AL6" s="31"/>
      <c r="AM6" s="32"/>
      <c r="AN6" s="31"/>
      <c r="AO6" s="32"/>
      <c r="AP6" s="31"/>
      <c r="AQ6" s="32"/>
      <c r="AR6" s="31"/>
      <c r="AS6" s="32"/>
      <c r="AT6" s="31"/>
      <c r="AU6" s="32"/>
      <c r="AV6" s="31"/>
      <c r="AW6" s="32"/>
      <c r="AX6" s="31"/>
      <c r="AY6" s="33" t="s">
        <v>15</v>
      </c>
      <c r="AZ6" s="33" t="s">
        <v>16</v>
      </c>
      <c r="BA6" s="34" t="s">
        <v>17</v>
      </c>
      <c r="BB6" s="34"/>
      <c r="BC6" s="17"/>
      <c r="BD6" s="19"/>
      <c r="BE6" s="35" t="s">
        <v>15</v>
      </c>
      <c r="BF6" s="35"/>
      <c r="BG6" s="35" t="s">
        <v>17</v>
      </c>
      <c r="BH6" s="35"/>
    </row>
    <row r="7" spans="1:61" ht="21" customHeight="1" thickBot="1">
      <c r="A7" s="36" t="s">
        <v>18</v>
      </c>
      <c r="B7" s="37" t="s">
        <v>19</v>
      </c>
      <c r="C7" s="37"/>
      <c r="D7" s="38" t="s">
        <v>20</v>
      </c>
      <c r="E7" s="38"/>
      <c r="F7" s="37" t="s">
        <v>21</v>
      </c>
      <c r="G7" s="37"/>
      <c r="H7" s="37" t="s">
        <v>22</v>
      </c>
      <c r="I7" s="37"/>
      <c r="J7" s="39" t="s">
        <v>23</v>
      </c>
      <c r="K7" s="39"/>
      <c r="L7" s="37" t="s">
        <v>24</v>
      </c>
      <c r="M7" s="37"/>
      <c r="N7" s="37" t="s">
        <v>25</v>
      </c>
      <c r="O7" s="37"/>
      <c r="P7" s="37" t="s">
        <v>26</v>
      </c>
      <c r="Q7" s="37"/>
      <c r="R7" s="37" t="s">
        <v>27</v>
      </c>
      <c r="S7" s="37"/>
      <c r="T7" s="37" t="s">
        <v>28</v>
      </c>
      <c r="U7" s="37"/>
      <c r="V7" s="37" t="s">
        <v>29</v>
      </c>
      <c r="W7" s="37"/>
      <c r="X7" s="37" t="s">
        <v>30</v>
      </c>
      <c r="Y7" s="37"/>
      <c r="Z7" s="40" t="s">
        <v>31</v>
      </c>
      <c r="AA7" s="40"/>
      <c r="AB7" s="37" t="s">
        <v>32</v>
      </c>
      <c r="AC7" s="37"/>
      <c r="AD7" s="37" t="s">
        <v>33</v>
      </c>
      <c r="AE7" s="37"/>
      <c r="AF7" s="37" t="s">
        <v>34</v>
      </c>
      <c r="AG7" s="37"/>
      <c r="AH7" s="37" t="s">
        <v>35</v>
      </c>
      <c r="AI7" s="37"/>
      <c r="AJ7" s="37" t="s">
        <v>36</v>
      </c>
      <c r="AK7" s="37"/>
      <c r="AL7" s="37" t="s">
        <v>37</v>
      </c>
      <c r="AM7" s="37"/>
      <c r="AN7" s="37" t="s">
        <v>38</v>
      </c>
      <c r="AO7" s="37"/>
      <c r="AP7" s="37" t="s">
        <v>39</v>
      </c>
      <c r="AQ7" s="37"/>
      <c r="AR7" s="37" t="s">
        <v>40</v>
      </c>
      <c r="AS7" s="37"/>
      <c r="AT7" s="37" t="s">
        <v>41</v>
      </c>
      <c r="AU7" s="37"/>
      <c r="AV7" s="37" t="s">
        <v>42</v>
      </c>
      <c r="AW7" s="37"/>
      <c r="AX7" s="41" t="s">
        <v>18</v>
      </c>
      <c r="AY7" s="35" t="s">
        <v>43</v>
      </c>
      <c r="AZ7" s="35" t="s">
        <v>43</v>
      </c>
      <c r="BA7" s="35" t="s">
        <v>44</v>
      </c>
      <c r="BB7" s="35" t="s">
        <v>45</v>
      </c>
      <c r="BC7" s="42"/>
      <c r="BD7" s="197"/>
      <c r="BE7" s="35" t="s">
        <v>43</v>
      </c>
      <c r="BF7" s="35"/>
      <c r="BG7" s="35" t="s">
        <v>44</v>
      </c>
      <c r="BH7" s="35"/>
    </row>
    <row r="8" spans="1:61" ht="21" customHeight="1" thickBot="1">
      <c r="A8" s="43" t="s">
        <v>46</v>
      </c>
      <c r="B8" s="198" t="s">
        <v>47</v>
      </c>
      <c r="C8" s="199" t="s">
        <v>48</v>
      </c>
      <c r="D8" s="200" t="s">
        <v>47</v>
      </c>
      <c r="E8" s="201" t="s">
        <v>48</v>
      </c>
      <c r="F8" s="200" t="s">
        <v>47</v>
      </c>
      <c r="G8" s="202" t="s">
        <v>48</v>
      </c>
      <c r="H8" s="200" t="s">
        <v>47</v>
      </c>
      <c r="I8" s="202" t="s">
        <v>48</v>
      </c>
      <c r="J8" s="200" t="s">
        <v>47</v>
      </c>
      <c r="K8" s="202" t="s">
        <v>48</v>
      </c>
      <c r="L8" s="200" t="s">
        <v>47</v>
      </c>
      <c r="M8" s="202" t="s">
        <v>48</v>
      </c>
      <c r="N8" s="200" t="s">
        <v>47</v>
      </c>
      <c r="O8" s="202" t="s">
        <v>48</v>
      </c>
      <c r="P8" s="200" t="s">
        <v>47</v>
      </c>
      <c r="Q8" s="202" t="s">
        <v>48</v>
      </c>
      <c r="R8" s="200" t="s">
        <v>47</v>
      </c>
      <c r="S8" s="202" t="s">
        <v>48</v>
      </c>
      <c r="T8" s="282" t="s">
        <v>47</v>
      </c>
      <c r="U8" s="202" t="s">
        <v>48</v>
      </c>
      <c r="V8" s="200" t="s">
        <v>47</v>
      </c>
      <c r="W8" s="202" t="s">
        <v>48</v>
      </c>
      <c r="X8" s="200" t="s">
        <v>47</v>
      </c>
      <c r="Y8" s="202" t="s">
        <v>48</v>
      </c>
      <c r="Z8" s="200" t="s">
        <v>47</v>
      </c>
      <c r="AA8" s="202" t="s">
        <v>48</v>
      </c>
      <c r="AB8" s="200" t="s">
        <v>47</v>
      </c>
      <c r="AC8" s="202" t="s">
        <v>48</v>
      </c>
      <c r="AD8" s="200" t="s">
        <v>47</v>
      </c>
      <c r="AE8" s="202" t="s">
        <v>48</v>
      </c>
      <c r="AF8" s="200" t="s">
        <v>47</v>
      </c>
      <c r="AG8" s="202" t="s">
        <v>48</v>
      </c>
      <c r="AH8" s="200" t="s">
        <v>47</v>
      </c>
      <c r="AI8" s="202" t="s">
        <v>48</v>
      </c>
      <c r="AJ8" s="200" t="s">
        <v>47</v>
      </c>
      <c r="AK8" s="203" t="s">
        <v>48</v>
      </c>
      <c r="AL8" s="200" t="s">
        <v>47</v>
      </c>
      <c r="AM8" s="202" t="s">
        <v>48</v>
      </c>
      <c r="AN8" s="200" t="s">
        <v>47</v>
      </c>
      <c r="AO8" s="202" t="s">
        <v>48</v>
      </c>
      <c r="AP8" s="200" t="s">
        <v>47</v>
      </c>
      <c r="AQ8" s="203" t="s">
        <v>48</v>
      </c>
      <c r="AR8" s="200" t="s">
        <v>47</v>
      </c>
      <c r="AS8" s="202" t="s">
        <v>48</v>
      </c>
      <c r="AT8" s="204" t="s">
        <v>47</v>
      </c>
      <c r="AU8" s="205" t="s">
        <v>48</v>
      </c>
      <c r="AV8" s="204" t="s">
        <v>47</v>
      </c>
      <c r="AW8" s="205" t="s">
        <v>48</v>
      </c>
      <c r="AX8" s="52" t="s">
        <v>46</v>
      </c>
      <c r="AY8" s="53" t="s">
        <v>49</v>
      </c>
      <c r="AZ8" s="53" t="s">
        <v>50</v>
      </c>
      <c r="BA8" s="54" t="s">
        <v>51</v>
      </c>
      <c r="BB8" s="54" t="s">
        <v>52</v>
      </c>
      <c r="BC8" s="206"/>
      <c r="BD8" s="197"/>
      <c r="BE8" s="54" t="s">
        <v>49</v>
      </c>
      <c r="BF8" s="35"/>
      <c r="BG8" s="54" t="s">
        <v>51</v>
      </c>
      <c r="BH8" s="54" t="s">
        <v>52</v>
      </c>
    </row>
    <row r="9" spans="1:61" ht="21" customHeight="1" thickBot="1">
      <c r="A9" s="71">
        <v>1</v>
      </c>
      <c r="B9" s="256"/>
      <c r="C9" s="257"/>
      <c r="D9" s="258"/>
      <c r="E9" s="257"/>
      <c r="F9" s="258"/>
      <c r="G9" s="257"/>
      <c r="H9" s="258"/>
      <c r="I9" s="257"/>
      <c r="J9" s="258"/>
      <c r="K9" s="257"/>
      <c r="L9" s="258">
        <v>0.1</v>
      </c>
      <c r="M9" s="257">
        <v>5</v>
      </c>
      <c r="N9" s="258"/>
      <c r="O9" s="257"/>
      <c r="P9" s="258"/>
      <c r="Q9" s="257"/>
      <c r="R9" s="258"/>
      <c r="S9" s="257"/>
      <c r="T9" s="59"/>
      <c r="U9" s="257"/>
      <c r="V9" s="258"/>
      <c r="W9" s="257"/>
      <c r="X9" s="258"/>
      <c r="Y9" s="257"/>
      <c r="Z9" s="258"/>
      <c r="AA9" s="257"/>
      <c r="AB9" s="258"/>
      <c r="AC9" s="257"/>
      <c r="AD9" s="258"/>
      <c r="AE9" s="257"/>
      <c r="AF9" s="259"/>
      <c r="AG9" s="257"/>
      <c r="AH9" s="258"/>
      <c r="AI9" s="257"/>
      <c r="AJ9" s="258"/>
      <c r="AK9" s="260"/>
      <c r="AL9" s="256"/>
      <c r="AM9" s="261"/>
      <c r="AN9" s="256"/>
      <c r="AO9" s="261"/>
      <c r="AP9" s="256"/>
      <c r="AQ9" s="262"/>
      <c r="AR9" s="256"/>
      <c r="AS9" s="263"/>
      <c r="AT9" s="256"/>
      <c r="AU9" s="262"/>
      <c r="AV9" s="256"/>
      <c r="AW9" s="262"/>
      <c r="AX9" s="91">
        <v>1</v>
      </c>
      <c r="AY9" s="92">
        <f t="shared" ref="AY9:AZ38" si="0">B9+D9+F9+H9+J9+L9+N9+P9+R9+T9+V9+X9+Z9+AB9+AD9+AF9+AH9+AJ9+AL9+AN9+AP9+AR9+AT9+AV9</f>
        <v>0.1</v>
      </c>
      <c r="AZ9" s="93">
        <f t="shared" si="0"/>
        <v>5</v>
      </c>
      <c r="BA9" s="94">
        <f t="shared" ref="BA9:BA38" si="1">MAX(B9,D9,F9,H9,J9,L9,N9,P9,R9,T9,V9,X9,Z9,AB9,AD9,AF9,AH9,AJ9,AL9,AN9,AP9,AR9,AT9,AV9)</f>
        <v>0.1</v>
      </c>
      <c r="BB9" s="95">
        <f t="shared" ref="BB9:BB38" si="2">COUNT(B9,D9,F9,H9,J9,L9,N9,P9,R9,T9,V9,X9,Z9,AB9,AD9,AF9,AH9,AJ9,AL9,AN9,AP9,AR9,AT9,AV9)</f>
        <v>1</v>
      </c>
      <c r="BC9" s="214"/>
      <c r="BD9" s="197">
        <f t="shared" ref="BD9:BD38" si="3">IF(BB9&gt;0,1,0)</f>
        <v>1</v>
      </c>
      <c r="BE9" s="264">
        <f>marco!$BH40</f>
        <v>0.1</v>
      </c>
      <c r="BF9" s="85">
        <v>39172</v>
      </c>
      <c r="BG9" s="86">
        <f>abril!$BE10</f>
        <v>0</v>
      </c>
      <c r="BH9" s="87"/>
      <c r="BI9" s="197">
        <f>IF(BH9&gt;0,1,0)</f>
        <v>0</v>
      </c>
    </row>
    <row r="10" spans="1:61" ht="21" customHeight="1" thickBot="1">
      <c r="A10" s="71">
        <v>2</v>
      </c>
      <c r="B10" s="258"/>
      <c r="C10" s="257"/>
      <c r="D10" s="258"/>
      <c r="E10" s="257"/>
      <c r="F10" s="258"/>
      <c r="G10" s="257"/>
      <c r="H10" s="258"/>
      <c r="I10" s="257"/>
      <c r="J10" s="258"/>
      <c r="K10" s="257"/>
      <c r="L10" s="258"/>
      <c r="M10" s="257"/>
      <c r="N10" s="258"/>
      <c r="O10" s="257"/>
      <c r="P10" s="258"/>
      <c r="Q10" s="257"/>
      <c r="R10" s="258"/>
      <c r="S10" s="257"/>
      <c r="T10" s="258"/>
      <c r="U10" s="257"/>
      <c r="V10" s="258"/>
      <c r="W10" s="257"/>
      <c r="X10" s="258"/>
      <c r="Y10" s="257"/>
      <c r="Z10" s="258"/>
      <c r="AA10" s="257"/>
      <c r="AB10" s="258"/>
      <c r="AC10" s="257"/>
      <c r="AD10" s="258"/>
      <c r="AE10" s="257"/>
      <c r="AF10" s="258"/>
      <c r="AG10" s="257"/>
      <c r="AH10" s="258"/>
      <c r="AI10" s="257"/>
      <c r="AJ10" s="258"/>
      <c r="AK10" s="265"/>
      <c r="AL10" s="258"/>
      <c r="AM10" s="257"/>
      <c r="AN10" s="258"/>
      <c r="AO10" s="257"/>
      <c r="AP10" s="258"/>
      <c r="AQ10" s="265"/>
      <c r="AR10" s="258"/>
      <c r="AS10" s="257"/>
      <c r="AT10" s="258"/>
      <c r="AU10" s="265"/>
      <c r="AV10" s="258"/>
      <c r="AW10" s="265"/>
      <c r="AX10" s="91">
        <v>2</v>
      </c>
      <c r="AY10" s="92">
        <f t="shared" si="0"/>
        <v>0</v>
      </c>
      <c r="AZ10" s="93">
        <f t="shared" si="0"/>
        <v>0</v>
      </c>
      <c r="BA10" s="94">
        <f t="shared" si="1"/>
        <v>0</v>
      </c>
      <c r="BB10" s="95">
        <f t="shared" si="2"/>
        <v>0</v>
      </c>
      <c r="BC10" s="214"/>
      <c r="BD10" s="197">
        <f t="shared" si="3"/>
        <v>0</v>
      </c>
      <c r="BE10" s="84">
        <f>P9+R9+T9+V9+X9+Z9+AB9+AD9+AF9+AH9+AJ9+AL9+AN9+AP9+AR9+AT9+AV9+B10+D10+F10+H10+J10+L10+N10</f>
        <v>0</v>
      </c>
      <c r="BF10" s="96"/>
      <c r="BG10" s="86">
        <f>abril!$BE11</f>
        <v>0</v>
      </c>
      <c r="BH10" s="97"/>
      <c r="BI10" s="197">
        <f>IF(BH10&gt;0,1,0)</f>
        <v>0</v>
      </c>
    </row>
    <row r="11" spans="1:61" ht="21" customHeight="1">
      <c r="A11" s="71">
        <v>3</v>
      </c>
      <c r="B11" s="258"/>
      <c r="C11" s="257"/>
      <c r="D11" s="258"/>
      <c r="E11" s="257"/>
      <c r="F11" s="258"/>
      <c r="G11" s="257"/>
      <c r="H11" s="258"/>
      <c r="I11" s="257"/>
      <c r="J11" s="258"/>
      <c r="K11" s="257"/>
      <c r="L11" s="258"/>
      <c r="M11" s="257"/>
      <c r="N11" s="258"/>
      <c r="O11" s="257"/>
      <c r="P11" s="258"/>
      <c r="Q11" s="257"/>
      <c r="R11" s="258"/>
      <c r="S11" s="257"/>
      <c r="T11" s="258"/>
      <c r="U11" s="257"/>
      <c r="V11" s="258"/>
      <c r="W11" s="257"/>
      <c r="X11" s="258"/>
      <c r="Y11" s="257"/>
      <c r="Z11" s="258"/>
      <c r="AA11" s="257"/>
      <c r="AB11" s="258"/>
      <c r="AC11" s="257"/>
      <c r="AD11" s="258"/>
      <c r="AE11" s="257"/>
      <c r="AF11" s="258"/>
      <c r="AG11" s="257"/>
      <c r="AH11" s="258"/>
      <c r="AI11" s="257"/>
      <c r="AJ11" s="258"/>
      <c r="AK11" s="265"/>
      <c r="AL11" s="258"/>
      <c r="AM11" s="257"/>
      <c r="AN11" s="258"/>
      <c r="AO11" s="257"/>
      <c r="AP11" s="258"/>
      <c r="AQ11" s="265"/>
      <c r="AR11" s="258"/>
      <c r="AS11" s="257"/>
      <c r="AT11" s="258"/>
      <c r="AU11" s="265"/>
      <c r="AV11" s="258"/>
      <c r="AW11" s="265"/>
      <c r="AX11" s="91">
        <v>3</v>
      </c>
      <c r="AY11" s="92">
        <f t="shared" si="0"/>
        <v>0</v>
      </c>
      <c r="AZ11" s="93">
        <f t="shared" si="0"/>
        <v>0</v>
      </c>
      <c r="BA11" s="94">
        <f t="shared" si="1"/>
        <v>0</v>
      </c>
      <c r="BB11" s="95">
        <f t="shared" si="2"/>
        <v>0</v>
      </c>
      <c r="BC11" s="214"/>
      <c r="BD11" s="197">
        <f t="shared" si="3"/>
        <v>0</v>
      </c>
      <c r="BE11" s="98">
        <f t="shared" ref="BE11:BE38" si="4">P10+R10+T10+V10+X10+Z10+AB10+AD10+AF10+AH10+AJ10+AL10+AN10+AP10+AR10+AT10+AV10+B11+D11+F11+H11+J11+L11+N11</f>
        <v>0</v>
      </c>
      <c r="BF11" s="99"/>
      <c r="BG11" s="86">
        <f>abril!$BE12</f>
        <v>0</v>
      </c>
      <c r="BH11" s="97"/>
      <c r="BI11" s="197">
        <f t="shared" ref="BI11:BI38" si="5">IF(BH11&gt;0,1,0)</f>
        <v>0</v>
      </c>
    </row>
    <row r="12" spans="1:61" ht="21" customHeight="1">
      <c r="A12" s="71">
        <v>4</v>
      </c>
      <c r="B12" s="258"/>
      <c r="C12" s="257"/>
      <c r="D12" s="258"/>
      <c r="E12" s="257"/>
      <c r="F12" s="258"/>
      <c r="G12" s="257"/>
      <c r="H12" s="258"/>
      <c r="I12" s="257"/>
      <c r="J12" s="258"/>
      <c r="K12" s="257"/>
      <c r="L12" s="258"/>
      <c r="M12" s="257"/>
      <c r="N12" s="258"/>
      <c r="O12" s="257"/>
      <c r="P12" s="258"/>
      <c r="Q12" s="257"/>
      <c r="R12" s="258"/>
      <c r="S12" s="257"/>
      <c r="T12" s="258"/>
      <c r="U12" s="257"/>
      <c r="V12" s="258"/>
      <c r="W12" s="257"/>
      <c r="X12" s="258"/>
      <c r="Y12" s="257"/>
      <c r="Z12" s="258"/>
      <c r="AA12" s="257"/>
      <c r="AB12" s="258"/>
      <c r="AC12" s="257"/>
      <c r="AD12" s="258"/>
      <c r="AE12" s="257"/>
      <c r="AF12" s="258"/>
      <c r="AG12" s="257"/>
      <c r="AH12" s="258"/>
      <c r="AI12" s="257"/>
      <c r="AJ12" s="258"/>
      <c r="AK12" s="265"/>
      <c r="AL12" s="258"/>
      <c r="AM12" s="257"/>
      <c r="AN12" s="258"/>
      <c r="AO12" s="257"/>
      <c r="AP12" s="258"/>
      <c r="AQ12" s="265"/>
      <c r="AR12" s="258"/>
      <c r="AS12" s="257"/>
      <c r="AT12" s="258"/>
      <c r="AU12" s="265"/>
      <c r="AV12" s="258"/>
      <c r="AW12" s="265"/>
      <c r="AX12" s="91">
        <v>4</v>
      </c>
      <c r="AY12" s="92">
        <f t="shared" si="0"/>
        <v>0</v>
      </c>
      <c r="AZ12" s="93">
        <f t="shared" si="0"/>
        <v>0</v>
      </c>
      <c r="BA12" s="94">
        <f t="shared" si="1"/>
        <v>0</v>
      </c>
      <c r="BB12" s="95">
        <f t="shared" si="2"/>
        <v>0</v>
      </c>
      <c r="BC12" s="214"/>
      <c r="BD12" s="197">
        <f t="shared" si="3"/>
        <v>0</v>
      </c>
      <c r="BE12" s="98">
        <f t="shared" si="4"/>
        <v>0</v>
      </c>
      <c r="BF12" s="99"/>
      <c r="BG12" s="86">
        <f>abril!$BE13</f>
        <v>0</v>
      </c>
      <c r="BH12" s="97"/>
      <c r="BI12" s="197">
        <f t="shared" si="5"/>
        <v>0</v>
      </c>
    </row>
    <row r="13" spans="1:61" ht="21" customHeight="1">
      <c r="A13" s="71">
        <v>5</v>
      </c>
      <c r="B13" s="258"/>
      <c r="C13" s="257"/>
      <c r="D13" s="258"/>
      <c r="E13" s="257"/>
      <c r="F13" s="258"/>
      <c r="G13" s="257"/>
      <c r="H13" s="258"/>
      <c r="I13" s="257"/>
      <c r="J13" s="258"/>
      <c r="K13" s="257"/>
      <c r="L13" s="258"/>
      <c r="M13" s="257"/>
      <c r="N13" s="258"/>
      <c r="O13" s="257"/>
      <c r="P13" s="258"/>
      <c r="Q13" s="257"/>
      <c r="R13" s="258"/>
      <c r="S13" s="257"/>
      <c r="T13" s="258"/>
      <c r="U13" s="257"/>
      <c r="V13" s="258"/>
      <c r="W13" s="257"/>
      <c r="X13" s="258"/>
      <c r="Y13" s="257"/>
      <c r="Z13" s="258"/>
      <c r="AA13" s="257"/>
      <c r="AB13" s="258"/>
      <c r="AC13" s="257"/>
      <c r="AD13" s="258"/>
      <c r="AE13" s="257"/>
      <c r="AF13" s="258"/>
      <c r="AG13" s="257"/>
      <c r="AH13" s="258"/>
      <c r="AI13" s="257"/>
      <c r="AJ13" s="258"/>
      <c r="AK13" s="265"/>
      <c r="AL13" s="258"/>
      <c r="AM13" s="257"/>
      <c r="AN13" s="258"/>
      <c r="AO13" s="257"/>
      <c r="AP13" s="258"/>
      <c r="AQ13" s="265"/>
      <c r="AR13" s="258"/>
      <c r="AS13" s="257"/>
      <c r="AT13" s="258"/>
      <c r="AU13" s="265"/>
      <c r="AV13" s="258"/>
      <c r="AW13" s="265"/>
      <c r="AX13" s="91">
        <v>5</v>
      </c>
      <c r="AY13" s="92">
        <f t="shared" si="0"/>
        <v>0</v>
      </c>
      <c r="AZ13" s="93">
        <f t="shared" si="0"/>
        <v>0</v>
      </c>
      <c r="BA13" s="94">
        <f t="shared" si="1"/>
        <v>0</v>
      </c>
      <c r="BB13" s="95">
        <f t="shared" si="2"/>
        <v>0</v>
      </c>
      <c r="BC13" s="214"/>
      <c r="BD13" s="197">
        <f t="shared" si="3"/>
        <v>0</v>
      </c>
      <c r="BE13" s="98">
        <f t="shared" si="4"/>
        <v>0</v>
      </c>
      <c r="BF13" s="99"/>
      <c r="BG13" s="86">
        <f>abril!$BE14</f>
        <v>0</v>
      </c>
      <c r="BH13" s="97"/>
      <c r="BI13" s="197">
        <f t="shared" si="5"/>
        <v>0</v>
      </c>
    </row>
    <row r="14" spans="1:61" ht="21" customHeight="1">
      <c r="A14" s="71">
        <v>6</v>
      </c>
      <c r="B14" s="258"/>
      <c r="C14" s="257"/>
      <c r="D14" s="258"/>
      <c r="E14" s="257"/>
      <c r="F14" s="258"/>
      <c r="G14" s="257"/>
      <c r="H14" s="258"/>
      <c r="I14" s="257"/>
      <c r="J14" s="258"/>
      <c r="K14" s="257"/>
      <c r="L14" s="258"/>
      <c r="M14" s="257"/>
      <c r="N14" s="258"/>
      <c r="O14" s="257"/>
      <c r="P14" s="258"/>
      <c r="Q14" s="257"/>
      <c r="R14" s="258"/>
      <c r="S14" s="257"/>
      <c r="T14" s="258"/>
      <c r="U14" s="257"/>
      <c r="V14" s="258"/>
      <c r="W14" s="257"/>
      <c r="X14" s="258"/>
      <c r="Y14" s="257"/>
      <c r="Z14" s="258"/>
      <c r="AA14" s="257"/>
      <c r="AB14" s="258"/>
      <c r="AC14" s="257"/>
      <c r="AD14" s="258"/>
      <c r="AE14" s="257"/>
      <c r="AF14" s="258"/>
      <c r="AG14" s="257"/>
      <c r="AH14" s="258"/>
      <c r="AI14" s="257"/>
      <c r="AJ14" s="258"/>
      <c r="AK14" s="265"/>
      <c r="AL14" s="258"/>
      <c r="AM14" s="257"/>
      <c r="AN14" s="258"/>
      <c r="AO14" s="257"/>
      <c r="AP14" s="258"/>
      <c r="AQ14" s="265"/>
      <c r="AR14" s="258">
        <v>0.2</v>
      </c>
      <c r="AS14" s="257">
        <v>5</v>
      </c>
      <c r="AT14" s="258">
        <v>0.1</v>
      </c>
      <c r="AU14" s="265">
        <v>15</v>
      </c>
      <c r="AV14" s="258"/>
      <c r="AW14" s="265"/>
      <c r="AX14" s="91">
        <v>6</v>
      </c>
      <c r="AY14" s="92">
        <f t="shared" si="0"/>
        <v>0.30000000000000004</v>
      </c>
      <c r="AZ14" s="93">
        <f t="shared" si="0"/>
        <v>20</v>
      </c>
      <c r="BA14" s="94">
        <f t="shared" si="1"/>
        <v>0.2</v>
      </c>
      <c r="BB14" s="95">
        <f t="shared" si="2"/>
        <v>2</v>
      </c>
      <c r="BC14" s="214"/>
      <c r="BD14" s="197">
        <f t="shared" si="3"/>
        <v>1</v>
      </c>
      <c r="BE14" s="98">
        <f t="shared" si="4"/>
        <v>0</v>
      </c>
      <c r="BF14" s="99"/>
      <c r="BG14" s="86">
        <f>abril!$BE15</f>
        <v>0.60000000000000009</v>
      </c>
      <c r="BH14" s="97"/>
      <c r="BI14" s="197">
        <f t="shared" si="5"/>
        <v>0</v>
      </c>
    </row>
    <row r="15" spans="1:61" ht="21" customHeight="1">
      <c r="A15" s="71">
        <v>7</v>
      </c>
      <c r="B15" s="258"/>
      <c r="C15" s="257"/>
      <c r="D15" s="258"/>
      <c r="E15" s="257"/>
      <c r="F15" s="258"/>
      <c r="G15" s="257"/>
      <c r="H15" s="258"/>
      <c r="I15" s="257"/>
      <c r="J15" s="258"/>
      <c r="K15" s="257"/>
      <c r="L15" s="258">
        <v>0.3</v>
      </c>
      <c r="M15" s="257">
        <v>20</v>
      </c>
      <c r="N15" s="258"/>
      <c r="O15" s="257"/>
      <c r="P15" s="258"/>
      <c r="Q15" s="257"/>
      <c r="R15" s="258"/>
      <c r="S15" s="257"/>
      <c r="T15" s="258"/>
      <c r="U15" s="257"/>
      <c r="V15" s="258"/>
      <c r="W15" s="257"/>
      <c r="X15" s="258"/>
      <c r="Y15" s="257"/>
      <c r="Z15" s="258"/>
      <c r="AA15" s="257"/>
      <c r="AB15" s="258"/>
      <c r="AC15" s="257"/>
      <c r="AD15" s="258"/>
      <c r="AE15" s="257"/>
      <c r="AF15" s="258"/>
      <c r="AG15" s="257"/>
      <c r="AH15" s="258"/>
      <c r="AI15" s="257"/>
      <c r="AJ15" s="258"/>
      <c r="AK15" s="265"/>
      <c r="AL15" s="258"/>
      <c r="AM15" s="257"/>
      <c r="AN15" s="258"/>
      <c r="AO15" s="257"/>
      <c r="AP15" s="258"/>
      <c r="AQ15" s="265"/>
      <c r="AR15" s="258"/>
      <c r="AS15" s="257"/>
      <c r="AT15" s="258"/>
      <c r="AU15" s="265"/>
      <c r="AV15" s="258"/>
      <c r="AW15" s="265"/>
      <c r="AX15" s="91">
        <v>7</v>
      </c>
      <c r="AY15" s="92">
        <f t="shared" si="0"/>
        <v>0.3</v>
      </c>
      <c r="AZ15" s="93">
        <f t="shared" si="0"/>
        <v>20</v>
      </c>
      <c r="BA15" s="94">
        <f t="shared" si="1"/>
        <v>0.3</v>
      </c>
      <c r="BB15" s="95">
        <f t="shared" si="2"/>
        <v>1</v>
      </c>
      <c r="BC15" s="214"/>
      <c r="BD15" s="197">
        <f t="shared" si="3"/>
        <v>1</v>
      </c>
      <c r="BE15" s="98">
        <f t="shared" si="4"/>
        <v>0.60000000000000009</v>
      </c>
      <c r="BF15" s="99"/>
      <c r="BG15" s="86">
        <f>abril!$BE16</f>
        <v>0</v>
      </c>
      <c r="BH15" s="97"/>
      <c r="BI15" s="197">
        <f t="shared" si="5"/>
        <v>0</v>
      </c>
    </row>
    <row r="16" spans="1:61" ht="21" customHeight="1">
      <c r="A16" s="71">
        <v>8</v>
      </c>
      <c r="B16" s="258"/>
      <c r="C16" s="257"/>
      <c r="D16" s="258"/>
      <c r="E16" s="257"/>
      <c r="F16" s="258"/>
      <c r="G16" s="257"/>
      <c r="H16" s="258"/>
      <c r="I16" s="257"/>
      <c r="J16" s="258"/>
      <c r="K16" s="257"/>
      <c r="L16" s="258"/>
      <c r="M16" s="257"/>
      <c r="N16" s="258"/>
      <c r="O16" s="257"/>
      <c r="P16" s="258"/>
      <c r="Q16" s="257"/>
      <c r="R16" s="258"/>
      <c r="S16" s="257"/>
      <c r="T16" s="258"/>
      <c r="U16" s="257"/>
      <c r="V16" s="258"/>
      <c r="W16" s="257"/>
      <c r="X16" s="258"/>
      <c r="Y16" s="257"/>
      <c r="Z16" s="258"/>
      <c r="AA16" s="257"/>
      <c r="AB16" s="258"/>
      <c r="AC16" s="257"/>
      <c r="AD16" s="258"/>
      <c r="AE16" s="257"/>
      <c r="AF16" s="258"/>
      <c r="AG16" s="257"/>
      <c r="AH16" s="258"/>
      <c r="AI16" s="257"/>
      <c r="AJ16" s="258">
        <v>0.4</v>
      </c>
      <c r="AK16" s="265">
        <v>5</v>
      </c>
      <c r="AL16" s="258">
        <v>0.2</v>
      </c>
      <c r="AM16" s="257">
        <v>10</v>
      </c>
      <c r="AN16" s="258"/>
      <c r="AO16" s="257"/>
      <c r="AP16" s="258">
        <v>0.2</v>
      </c>
      <c r="AQ16" s="265">
        <v>15</v>
      </c>
      <c r="AR16" s="258">
        <v>0.3</v>
      </c>
      <c r="AS16" s="257">
        <v>30</v>
      </c>
      <c r="AT16" s="258"/>
      <c r="AU16" s="265"/>
      <c r="AV16" s="258">
        <v>0.5</v>
      </c>
      <c r="AW16" s="265">
        <v>20</v>
      </c>
      <c r="AX16" s="91">
        <v>8</v>
      </c>
      <c r="AY16" s="92">
        <f t="shared" si="0"/>
        <v>1.6</v>
      </c>
      <c r="AZ16" s="93">
        <f t="shared" si="0"/>
        <v>80</v>
      </c>
      <c r="BA16" s="94">
        <f t="shared" si="1"/>
        <v>0.5</v>
      </c>
      <c r="BB16" s="95">
        <f t="shared" si="2"/>
        <v>5</v>
      </c>
      <c r="BC16" s="216"/>
      <c r="BD16" s="197">
        <f t="shared" si="3"/>
        <v>1</v>
      </c>
      <c r="BE16" s="98">
        <f t="shared" si="4"/>
        <v>0</v>
      </c>
      <c r="BF16" s="99"/>
      <c r="BG16" s="86">
        <f>abril!$BE17</f>
        <v>2.6</v>
      </c>
      <c r="BH16" s="97"/>
      <c r="BI16" s="197">
        <f t="shared" si="5"/>
        <v>0</v>
      </c>
    </row>
    <row r="17" spans="1:61" ht="21" customHeight="1">
      <c r="A17" s="71">
        <v>9</v>
      </c>
      <c r="B17" s="258">
        <v>0.2</v>
      </c>
      <c r="C17" s="257">
        <v>10</v>
      </c>
      <c r="D17" s="258"/>
      <c r="E17" s="257"/>
      <c r="F17" s="258">
        <v>0.7</v>
      </c>
      <c r="G17" s="257">
        <v>50</v>
      </c>
      <c r="H17" s="258"/>
      <c r="I17" s="257"/>
      <c r="J17" s="258"/>
      <c r="K17" s="257"/>
      <c r="L17" s="258"/>
      <c r="M17" s="257"/>
      <c r="N17" s="258">
        <v>0.1</v>
      </c>
      <c r="O17" s="257">
        <v>60</v>
      </c>
      <c r="P17" s="258"/>
      <c r="Q17" s="257"/>
      <c r="R17" s="258"/>
      <c r="S17" s="257"/>
      <c r="T17" s="258"/>
      <c r="U17" s="257"/>
      <c r="V17" s="258"/>
      <c r="W17" s="257"/>
      <c r="X17" s="258"/>
      <c r="Y17" s="257"/>
      <c r="Z17" s="258"/>
      <c r="AA17" s="257"/>
      <c r="AB17" s="258"/>
      <c r="AC17" s="257"/>
      <c r="AD17" s="258"/>
      <c r="AE17" s="257"/>
      <c r="AF17" s="258"/>
      <c r="AG17" s="257"/>
      <c r="AH17" s="258"/>
      <c r="AI17" s="257"/>
      <c r="AJ17" s="258"/>
      <c r="AK17" s="265"/>
      <c r="AL17" s="258"/>
      <c r="AM17" s="257"/>
      <c r="AN17" s="258"/>
      <c r="AO17" s="257"/>
      <c r="AP17" s="258"/>
      <c r="AQ17" s="265"/>
      <c r="AR17" s="258"/>
      <c r="AS17" s="257"/>
      <c r="AT17" s="258"/>
      <c r="AU17" s="265"/>
      <c r="AV17" s="258"/>
      <c r="AW17" s="265"/>
      <c r="AX17" s="91">
        <v>9</v>
      </c>
      <c r="AY17" s="92">
        <f t="shared" si="0"/>
        <v>0.99999999999999989</v>
      </c>
      <c r="AZ17" s="93">
        <f t="shared" si="0"/>
        <v>120</v>
      </c>
      <c r="BA17" s="94">
        <f t="shared" si="1"/>
        <v>0.7</v>
      </c>
      <c r="BB17" s="95">
        <f t="shared" si="2"/>
        <v>3</v>
      </c>
      <c r="BC17" s="216"/>
      <c r="BD17" s="197">
        <f t="shared" si="3"/>
        <v>1</v>
      </c>
      <c r="BE17" s="98">
        <f t="shared" si="4"/>
        <v>2.6</v>
      </c>
      <c r="BF17" s="99"/>
      <c r="BG17" s="86">
        <f>abril!$BE18</f>
        <v>0</v>
      </c>
      <c r="BH17" s="97"/>
      <c r="BI17" s="197">
        <f t="shared" si="5"/>
        <v>0</v>
      </c>
    </row>
    <row r="18" spans="1:61" ht="21" customHeight="1">
      <c r="A18" s="71">
        <v>10</v>
      </c>
      <c r="B18" s="258"/>
      <c r="C18" s="257"/>
      <c r="D18" s="258"/>
      <c r="E18" s="257"/>
      <c r="F18" s="258"/>
      <c r="G18" s="257"/>
      <c r="H18" s="258"/>
      <c r="I18" s="257"/>
      <c r="J18" s="258"/>
      <c r="K18" s="257"/>
      <c r="L18" s="258"/>
      <c r="M18" s="257"/>
      <c r="N18" s="258"/>
      <c r="O18" s="257"/>
      <c r="P18" s="258"/>
      <c r="Q18" s="257"/>
      <c r="R18" s="258"/>
      <c r="S18" s="257"/>
      <c r="T18" s="258"/>
      <c r="U18" s="257"/>
      <c r="V18" s="258"/>
      <c r="W18" s="257"/>
      <c r="X18" s="258"/>
      <c r="Y18" s="257"/>
      <c r="Z18" s="258"/>
      <c r="AA18" s="257"/>
      <c r="AB18" s="258"/>
      <c r="AC18" s="257"/>
      <c r="AD18" s="258"/>
      <c r="AE18" s="257"/>
      <c r="AF18" s="258"/>
      <c r="AG18" s="257"/>
      <c r="AH18" s="258"/>
      <c r="AI18" s="257"/>
      <c r="AJ18" s="258"/>
      <c r="AK18" s="265"/>
      <c r="AL18" s="258"/>
      <c r="AM18" s="257"/>
      <c r="AN18" s="258"/>
      <c r="AO18" s="257"/>
      <c r="AP18" s="258"/>
      <c r="AQ18" s="265"/>
      <c r="AR18" s="258"/>
      <c r="AS18" s="257"/>
      <c r="AT18" s="258"/>
      <c r="AU18" s="265"/>
      <c r="AV18" s="258"/>
      <c r="AW18" s="265"/>
      <c r="AX18" s="91">
        <v>10</v>
      </c>
      <c r="AY18" s="92">
        <f t="shared" si="0"/>
        <v>0</v>
      </c>
      <c r="AZ18" s="93">
        <f t="shared" si="0"/>
        <v>0</v>
      </c>
      <c r="BA18" s="94">
        <f t="shared" si="1"/>
        <v>0</v>
      </c>
      <c r="BB18" s="95">
        <f t="shared" si="2"/>
        <v>0</v>
      </c>
      <c r="BC18" s="214"/>
      <c r="BD18" s="197">
        <f t="shared" si="3"/>
        <v>0</v>
      </c>
      <c r="BE18" s="98">
        <f t="shared" si="4"/>
        <v>0</v>
      </c>
      <c r="BF18" s="99"/>
      <c r="BG18" s="86">
        <f>abril!$BE19</f>
        <v>0</v>
      </c>
      <c r="BH18" s="97"/>
      <c r="BI18" s="197">
        <f t="shared" si="5"/>
        <v>0</v>
      </c>
    </row>
    <row r="19" spans="1:61" ht="21" customHeight="1">
      <c r="A19" s="71">
        <v>11</v>
      </c>
      <c r="B19" s="258"/>
      <c r="C19" s="257"/>
      <c r="D19" s="258"/>
      <c r="E19" s="257"/>
      <c r="F19" s="258"/>
      <c r="G19" s="257"/>
      <c r="H19" s="258"/>
      <c r="I19" s="257"/>
      <c r="J19" s="258"/>
      <c r="K19" s="257"/>
      <c r="L19" s="258"/>
      <c r="M19" s="257"/>
      <c r="N19" s="258"/>
      <c r="O19" s="257"/>
      <c r="P19" s="258"/>
      <c r="Q19" s="257"/>
      <c r="R19" s="258"/>
      <c r="S19" s="257"/>
      <c r="T19" s="258"/>
      <c r="U19" s="257"/>
      <c r="V19" s="258"/>
      <c r="W19" s="257"/>
      <c r="X19" s="258"/>
      <c r="Y19" s="257"/>
      <c r="Z19" s="258"/>
      <c r="AA19" s="257"/>
      <c r="AB19" s="258"/>
      <c r="AC19" s="257"/>
      <c r="AD19" s="258"/>
      <c r="AE19" s="257"/>
      <c r="AF19" s="258"/>
      <c r="AG19" s="257"/>
      <c r="AH19" s="258"/>
      <c r="AI19" s="257"/>
      <c r="AJ19" s="258"/>
      <c r="AK19" s="265"/>
      <c r="AL19" s="258"/>
      <c r="AM19" s="257"/>
      <c r="AN19" s="258">
        <v>0.1</v>
      </c>
      <c r="AO19" s="257">
        <v>5</v>
      </c>
      <c r="AP19" s="258">
        <v>0.1</v>
      </c>
      <c r="AQ19" s="265">
        <v>5</v>
      </c>
      <c r="AR19" s="258"/>
      <c r="AS19" s="257"/>
      <c r="AT19" s="258"/>
      <c r="AU19" s="265"/>
      <c r="AV19" s="258"/>
      <c r="AW19" s="265"/>
      <c r="AX19" s="91">
        <v>11</v>
      </c>
      <c r="AY19" s="92">
        <f t="shared" si="0"/>
        <v>0.2</v>
      </c>
      <c r="AZ19" s="93">
        <f t="shared" si="0"/>
        <v>10</v>
      </c>
      <c r="BA19" s="94">
        <f t="shared" si="1"/>
        <v>0.1</v>
      </c>
      <c r="BB19" s="95">
        <f t="shared" si="2"/>
        <v>2</v>
      </c>
      <c r="BC19" s="214"/>
      <c r="BD19" s="197">
        <f t="shared" si="3"/>
        <v>1</v>
      </c>
      <c r="BE19" s="98">
        <f t="shared" si="4"/>
        <v>0</v>
      </c>
      <c r="BF19" s="99"/>
      <c r="BG19" s="86">
        <f>abril!$BE20</f>
        <v>0.30000000000000004</v>
      </c>
      <c r="BH19" s="97"/>
      <c r="BI19" s="197">
        <f t="shared" si="5"/>
        <v>0</v>
      </c>
    </row>
    <row r="20" spans="1:61" ht="21" customHeight="1">
      <c r="A20" s="102">
        <v>12</v>
      </c>
      <c r="B20" s="258"/>
      <c r="C20" s="257"/>
      <c r="D20" s="258">
        <v>0.1</v>
      </c>
      <c r="E20" s="257">
        <v>5</v>
      </c>
      <c r="F20" s="258"/>
      <c r="G20" s="257"/>
      <c r="H20" s="258"/>
      <c r="I20" s="257"/>
      <c r="J20" s="258"/>
      <c r="K20" s="257"/>
      <c r="L20" s="258"/>
      <c r="M20" s="257"/>
      <c r="N20" s="258"/>
      <c r="O20" s="257"/>
      <c r="P20" s="258"/>
      <c r="Q20" s="257"/>
      <c r="R20" s="258"/>
      <c r="S20" s="257"/>
      <c r="T20" s="258"/>
      <c r="U20" s="257"/>
      <c r="V20" s="258"/>
      <c r="W20" s="257"/>
      <c r="X20" s="258"/>
      <c r="Y20" s="257"/>
      <c r="Z20" s="258"/>
      <c r="AA20" s="257"/>
      <c r="AB20" s="258"/>
      <c r="AC20" s="257"/>
      <c r="AD20" s="258"/>
      <c r="AE20" s="257"/>
      <c r="AF20" s="258"/>
      <c r="AG20" s="257"/>
      <c r="AH20" s="258"/>
      <c r="AI20" s="257"/>
      <c r="AJ20" s="258"/>
      <c r="AK20" s="265"/>
      <c r="AL20" s="258"/>
      <c r="AM20" s="257"/>
      <c r="AN20" s="258"/>
      <c r="AO20" s="257"/>
      <c r="AP20" s="258"/>
      <c r="AQ20" s="265"/>
      <c r="AR20" s="258"/>
      <c r="AS20" s="257"/>
      <c r="AT20" s="258"/>
      <c r="AU20" s="265"/>
      <c r="AV20" s="258"/>
      <c r="AW20" s="265"/>
      <c r="AX20" s="91">
        <v>12</v>
      </c>
      <c r="AY20" s="92">
        <f t="shared" si="0"/>
        <v>0.1</v>
      </c>
      <c r="AZ20" s="93">
        <f t="shared" si="0"/>
        <v>5</v>
      </c>
      <c r="BA20" s="94">
        <f t="shared" si="1"/>
        <v>0.1</v>
      </c>
      <c r="BB20" s="95">
        <f t="shared" si="2"/>
        <v>1</v>
      </c>
      <c r="BC20" s="214"/>
      <c r="BD20" s="197">
        <f t="shared" si="3"/>
        <v>1</v>
      </c>
      <c r="BE20" s="98">
        <f t="shared" si="4"/>
        <v>0.30000000000000004</v>
      </c>
      <c r="BF20" s="99"/>
      <c r="BG20" s="86">
        <f>abril!$BE21</f>
        <v>0</v>
      </c>
      <c r="BH20" s="97"/>
      <c r="BI20" s="197">
        <f t="shared" si="5"/>
        <v>0</v>
      </c>
    </row>
    <row r="21" spans="1:61" ht="21" customHeight="1">
      <c r="A21" s="71">
        <v>13</v>
      </c>
      <c r="B21" s="258"/>
      <c r="C21" s="257"/>
      <c r="D21" s="258"/>
      <c r="E21" s="257"/>
      <c r="F21" s="258"/>
      <c r="G21" s="257"/>
      <c r="H21" s="258"/>
      <c r="I21" s="257"/>
      <c r="J21" s="258"/>
      <c r="K21" s="257"/>
      <c r="L21" s="258"/>
      <c r="M21" s="257"/>
      <c r="N21" s="258"/>
      <c r="O21" s="257"/>
      <c r="P21" s="258"/>
      <c r="Q21" s="257"/>
      <c r="R21" s="258"/>
      <c r="S21" s="257"/>
      <c r="T21" s="258"/>
      <c r="U21" s="257"/>
      <c r="V21" s="258"/>
      <c r="W21" s="257"/>
      <c r="X21" s="258"/>
      <c r="Y21" s="257"/>
      <c r="Z21" s="258"/>
      <c r="AA21" s="257"/>
      <c r="AB21" s="258"/>
      <c r="AC21" s="257"/>
      <c r="AD21" s="258"/>
      <c r="AE21" s="257"/>
      <c r="AF21" s="258"/>
      <c r="AG21" s="257"/>
      <c r="AH21" s="258"/>
      <c r="AI21" s="257"/>
      <c r="AJ21" s="258"/>
      <c r="AK21" s="265"/>
      <c r="AL21" s="258"/>
      <c r="AM21" s="257"/>
      <c r="AN21" s="258"/>
      <c r="AO21" s="257"/>
      <c r="AP21" s="258"/>
      <c r="AQ21" s="265"/>
      <c r="AR21" s="258"/>
      <c r="AS21" s="257"/>
      <c r="AT21" s="258"/>
      <c r="AU21" s="265"/>
      <c r="AV21" s="258"/>
      <c r="AW21" s="265"/>
      <c r="AX21" s="91">
        <v>13</v>
      </c>
      <c r="AY21" s="92">
        <f t="shared" si="0"/>
        <v>0</v>
      </c>
      <c r="AZ21" s="93">
        <f t="shared" si="0"/>
        <v>0</v>
      </c>
      <c r="BA21" s="94">
        <f t="shared" si="1"/>
        <v>0</v>
      </c>
      <c r="BB21" s="95">
        <f t="shared" si="2"/>
        <v>0</v>
      </c>
      <c r="BC21" s="214"/>
      <c r="BD21" s="197">
        <f t="shared" si="3"/>
        <v>0</v>
      </c>
      <c r="BE21" s="98">
        <f t="shared" si="4"/>
        <v>0</v>
      </c>
      <c r="BF21" s="99"/>
      <c r="BG21" s="86">
        <f>abril!$BE22</f>
        <v>0.2</v>
      </c>
      <c r="BH21" s="97"/>
      <c r="BI21" s="197">
        <f t="shared" si="5"/>
        <v>0</v>
      </c>
    </row>
    <row r="22" spans="1:61" ht="21" customHeight="1">
      <c r="A22" s="71">
        <v>14</v>
      </c>
      <c r="B22" s="258">
        <v>0.1</v>
      </c>
      <c r="C22" s="257">
        <v>5</v>
      </c>
      <c r="D22" s="258"/>
      <c r="E22" s="257"/>
      <c r="F22" s="258"/>
      <c r="G22" s="257"/>
      <c r="H22" s="258"/>
      <c r="I22" s="257"/>
      <c r="J22" s="258">
        <v>0.1</v>
      </c>
      <c r="K22" s="257">
        <v>15</v>
      </c>
      <c r="L22" s="258"/>
      <c r="M22" s="257"/>
      <c r="N22" s="258"/>
      <c r="O22" s="257"/>
      <c r="P22" s="258"/>
      <c r="Q22" s="257"/>
      <c r="R22" s="258"/>
      <c r="S22" s="257"/>
      <c r="T22" s="258"/>
      <c r="U22" s="257"/>
      <c r="V22" s="258"/>
      <c r="W22" s="257"/>
      <c r="X22" s="258"/>
      <c r="Y22" s="257"/>
      <c r="Z22" s="258"/>
      <c r="AA22" s="257"/>
      <c r="AB22" s="258"/>
      <c r="AC22" s="257"/>
      <c r="AD22" s="258"/>
      <c r="AE22" s="257"/>
      <c r="AF22" s="258"/>
      <c r="AG22" s="257"/>
      <c r="AH22" s="258"/>
      <c r="AI22" s="257"/>
      <c r="AJ22" s="258"/>
      <c r="AK22" s="265"/>
      <c r="AL22" s="258"/>
      <c r="AM22" s="257"/>
      <c r="AN22" s="258"/>
      <c r="AO22" s="257"/>
      <c r="AP22" s="258"/>
      <c r="AQ22" s="265"/>
      <c r="AR22" s="258"/>
      <c r="AS22" s="257"/>
      <c r="AT22" s="258"/>
      <c r="AU22" s="265"/>
      <c r="AV22" s="258"/>
      <c r="AW22" s="265"/>
      <c r="AX22" s="91">
        <v>14</v>
      </c>
      <c r="AY22" s="92">
        <f t="shared" si="0"/>
        <v>0.2</v>
      </c>
      <c r="AZ22" s="93">
        <f t="shared" si="0"/>
        <v>20</v>
      </c>
      <c r="BA22" s="94">
        <f t="shared" si="1"/>
        <v>0.1</v>
      </c>
      <c r="BB22" s="95">
        <f t="shared" si="2"/>
        <v>2</v>
      </c>
      <c r="BC22" s="214"/>
      <c r="BD22" s="197">
        <f t="shared" si="3"/>
        <v>1</v>
      </c>
      <c r="BE22" s="98">
        <f t="shared" si="4"/>
        <v>0.2</v>
      </c>
      <c r="BF22" s="99"/>
      <c r="BG22" s="86">
        <f>abril!$BE23</f>
        <v>0</v>
      </c>
      <c r="BH22" s="97"/>
      <c r="BI22" s="197">
        <f t="shared" si="5"/>
        <v>0</v>
      </c>
    </row>
    <row r="23" spans="1:61" ht="21" customHeight="1">
      <c r="A23" s="71">
        <v>15</v>
      </c>
      <c r="B23" s="258"/>
      <c r="C23" s="257"/>
      <c r="D23" s="258"/>
      <c r="E23" s="257"/>
      <c r="F23" s="258"/>
      <c r="G23" s="257"/>
      <c r="H23" s="258"/>
      <c r="I23" s="257"/>
      <c r="J23" s="258"/>
      <c r="K23" s="257"/>
      <c r="L23" s="258"/>
      <c r="M23" s="257"/>
      <c r="N23" s="258"/>
      <c r="O23" s="257"/>
      <c r="P23" s="258">
        <v>0.3</v>
      </c>
      <c r="Q23" s="257">
        <v>35</v>
      </c>
      <c r="R23" s="258">
        <v>0.4</v>
      </c>
      <c r="S23" s="257">
        <v>40</v>
      </c>
      <c r="T23" s="258"/>
      <c r="U23" s="257"/>
      <c r="V23" s="258"/>
      <c r="W23" s="257"/>
      <c r="X23" s="258"/>
      <c r="Y23" s="257"/>
      <c r="Z23" s="258"/>
      <c r="AA23" s="257"/>
      <c r="AB23" s="258"/>
      <c r="AC23" s="257"/>
      <c r="AD23" s="258"/>
      <c r="AE23" s="257"/>
      <c r="AF23" s="258">
        <v>9.1999999999999993</v>
      </c>
      <c r="AG23" s="257">
        <v>35</v>
      </c>
      <c r="AH23" s="258">
        <v>5.4</v>
      </c>
      <c r="AI23" s="257">
        <v>15</v>
      </c>
      <c r="AJ23" s="258"/>
      <c r="AK23" s="265"/>
      <c r="AL23" s="258"/>
      <c r="AM23" s="257"/>
      <c r="AN23" s="258">
        <v>0.1</v>
      </c>
      <c r="AO23" s="257">
        <v>15</v>
      </c>
      <c r="AP23" s="258"/>
      <c r="AQ23" s="265"/>
      <c r="AR23" s="258"/>
      <c r="AS23" s="257"/>
      <c r="AT23" s="258"/>
      <c r="AU23" s="265"/>
      <c r="AV23" s="258"/>
      <c r="AW23" s="265"/>
      <c r="AX23" s="91">
        <v>15</v>
      </c>
      <c r="AY23" s="92">
        <f t="shared" si="0"/>
        <v>15.399999999999999</v>
      </c>
      <c r="AZ23" s="93">
        <f t="shared" si="0"/>
        <v>140</v>
      </c>
      <c r="BA23" s="94">
        <f t="shared" si="1"/>
        <v>9.1999999999999993</v>
      </c>
      <c r="BB23" s="95">
        <f t="shared" si="2"/>
        <v>5</v>
      </c>
      <c r="BC23" s="214"/>
      <c r="BD23" s="197">
        <f t="shared" si="3"/>
        <v>1</v>
      </c>
      <c r="BE23" s="98">
        <f t="shared" si="4"/>
        <v>0</v>
      </c>
      <c r="BF23" s="99"/>
      <c r="BG23" s="86">
        <f>abril!$BE24</f>
        <v>15.399999999999999</v>
      </c>
      <c r="BH23" s="97"/>
      <c r="BI23" s="197">
        <f t="shared" si="5"/>
        <v>0</v>
      </c>
    </row>
    <row r="24" spans="1:61" ht="21" customHeight="1">
      <c r="A24" s="71">
        <v>16</v>
      </c>
      <c r="B24" s="258"/>
      <c r="C24" s="257"/>
      <c r="D24" s="258"/>
      <c r="E24" s="257"/>
      <c r="F24" s="258"/>
      <c r="G24" s="257"/>
      <c r="H24" s="258"/>
      <c r="I24" s="257"/>
      <c r="J24" s="258"/>
      <c r="K24" s="257"/>
      <c r="L24" s="258"/>
      <c r="M24" s="257"/>
      <c r="N24" s="258"/>
      <c r="O24" s="257"/>
      <c r="P24" s="258"/>
      <c r="Q24" s="257"/>
      <c r="R24" s="258"/>
      <c r="S24" s="257"/>
      <c r="T24" s="258"/>
      <c r="U24" s="257"/>
      <c r="V24" s="258"/>
      <c r="W24" s="257"/>
      <c r="X24" s="258"/>
      <c r="Y24" s="257"/>
      <c r="Z24" s="258"/>
      <c r="AA24" s="257"/>
      <c r="AB24" s="258"/>
      <c r="AC24" s="257"/>
      <c r="AD24" s="258"/>
      <c r="AE24" s="257"/>
      <c r="AF24" s="258"/>
      <c r="AG24" s="257"/>
      <c r="AH24" s="258"/>
      <c r="AI24" s="257"/>
      <c r="AJ24" s="258"/>
      <c r="AK24" s="265"/>
      <c r="AL24" s="258"/>
      <c r="AM24" s="257"/>
      <c r="AN24" s="258">
        <v>0.2</v>
      </c>
      <c r="AO24" s="257">
        <v>5</v>
      </c>
      <c r="AP24" s="258"/>
      <c r="AQ24" s="265"/>
      <c r="AR24" s="258"/>
      <c r="AS24" s="257"/>
      <c r="AT24" s="258"/>
      <c r="AU24" s="265"/>
      <c r="AV24" s="258"/>
      <c r="AW24" s="265"/>
      <c r="AX24" s="91">
        <v>16</v>
      </c>
      <c r="AY24" s="92">
        <f t="shared" si="0"/>
        <v>0.2</v>
      </c>
      <c r="AZ24" s="93">
        <f t="shared" si="0"/>
        <v>5</v>
      </c>
      <c r="BA24" s="94">
        <f t="shared" si="1"/>
        <v>0.2</v>
      </c>
      <c r="BB24" s="95">
        <f t="shared" si="2"/>
        <v>1</v>
      </c>
      <c r="BC24" s="214"/>
      <c r="BD24" s="197">
        <f t="shared" si="3"/>
        <v>1</v>
      </c>
      <c r="BE24" s="98">
        <f t="shared" si="4"/>
        <v>15.399999999999999</v>
      </c>
      <c r="BF24" s="99"/>
      <c r="BG24" s="86">
        <f>abril!$BE25</f>
        <v>54</v>
      </c>
      <c r="BH24" s="97"/>
      <c r="BI24" s="197">
        <f t="shared" si="5"/>
        <v>0</v>
      </c>
    </row>
    <row r="25" spans="1:61" ht="21" customHeight="1">
      <c r="A25" s="71">
        <v>17</v>
      </c>
      <c r="B25" s="258"/>
      <c r="C25" s="257"/>
      <c r="D25" s="258"/>
      <c r="E25" s="257"/>
      <c r="F25" s="258">
        <v>3.3</v>
      </c>
      <c r="G25" s="257">
        <v>45</v>
      </c>
      <c r="H25" s="258">
        <v>50</v>
      </c>
      <c r="I25" s="257">
        <v>60</v>
      </c>
      <c r="J25" s="258">
        <v>0.5</v>
      </c>
      <c r="K25" s="257">
        <v>15</v>
      </c>
      <c r="L25" s="258"/>
      <c r="M25" s="257"/>
      <c r="N25" s="258"/>
      <c r="O25" s="257"/>
      <c r="P25" s="258"/>
      <c r="Q25" s="257"/>
      <c r="R25" s="258"/>
      <c r="S25" s="257"/>
      <c r="T25" s="258"/>
      <c r="U25" s="257"/>
      <c r="V25" s="258"/>
      <c r="W25" s="257"/>
      <c r="X25" s="258"/>
      <c r="Y25" s="257"/>
      <c r="Z25" s="258"/>
      <c r="AA25" s="257"/>
      <c r="AB25" s="258"/>
      <c r="AC25" s="257"/>
      <c r="AD25" s="258"/>
      <c r="AE25" s="257"/>
      <c r="AF25" s="258"/>
      <c r="AG25" s="257"/>
      <c r="AH25" s="258"/>
      <c r="AI25" s="257"/>
      <c r="AJ25" s="258"/>
      <c r="AK25" s="265"/>
      <c r="AL25" s="258"/>
      <c r="AM25" s="257"/>
      <c r="AN25" s="258">
        <v>2.4</v>
      </c>
      <c r="AO25" s="257">
        <v>45</v>
      </c>
      <c r="AP25" s="258">
        <v>0.1</v>
      </c>
      <c r="AQ25" s="265">
        <v>60</v>
      </c>
      <c r="AR25" s="258">
        <v>1.7</v>
      </c>
      <c r="AS25" s="257">
        <v>20</v>
      </c>
      <c r="AT25" s="258">
        <v>1.4</v>
      </c>
      <c r="AU25" s="265">
        <v>50</v>
      </c>
      <c r="AV25" s="258"/>
      <c r="AW25" s="265"/>
      <c r="AX25" s="91">
        <v>17</v>
      </c>
      <c r="AY25" s="92">
        <f t="shared" si="0"/>
        <v>59.4</v>
      </c>
      <c r="AZ25" s="93">
        <f t="shared" si="0"/>
        <v>295</v>
      </c>
      <c r="BA25" s="94">
        <f t="shared" si="1"/>
        <v>50</v>
      </c>
      <c r="BB25" s="95">
        <f t="shared" si="2"/>
        <v>7</v>
      </c>
      <c r="BC25" s="214"/>
      <c r="BD25" s="197">
        <f t="shared" si="3"/>
        <v>1</v>
      </c>
      <c r="BE25" s="98">
        <f t="shared" si="4"/>
        <v>54</v>
      </c>
      <c r="BF25" s="99"/>
      <c r="BG25" s="86">
        <f>abril!$BE26</f>
        <v>7.4</v>
      </c>
      <c r="BH25" s="97"/>
      <c r="BI25" s="197">
        <f t="shared" si="5"/>
        <v>0</v>
      </c>
    </row>
    <row r="26" spans="1:61" ht="21" customHeight="1">
      <c r="A26" s="71">
        <v>18</v>
      </c>
      <c r="B26" s="258">
        <v>0.4</v>
      </c>
      <c r="C26" s="257">
        <v>20</v>
      </c>
      <c r="D26" s="258"/>
      <c r="E26" s="257"/>
      <c r="F26" s="258"/>
      <c r="G26" s="257"/>
      <c r="H26" s="258">
        <v>0.4</v>
      </c>
      <c r="I26" s="257">
        <v>15</v>
      </c>
      <c r="J26" s="258">
        <v>0.7</v>
      </c>
      <c r="K26" s="257">
        <v>50</v>
      </c>
      <c r="L26" s="258">
        <v>0.3</v>
      </c>
      <c r="M26" s="257">
        <v>20</v>
      </c>
      <c r="N26" s="258"/>
      <c r="O26" s="257"/>
      <c r="P26" s="258"/>
      <c r="Q26" s="257"/>
      <c r="R26" s="258"/>
      <c r="S26" s="257"/>
      <c r="T26" s="258"/>
      <c r="U26" s="257"/>
      <c r="V26" s="258"/>
      <c r="W26" s="257"/>
      <c r="X26" s="258"/>
      <c r="Y26" s="257"/>
      <c r="Z26" s="258"/>
      <c r="AA26" s="257"/>
      <c r="AB26" s="258"/>
      <c r="AC26" s="257"/>
      <c r="AD26" s="258"/>
      <c r="AE26" s="257"/>
      <c r="AF26" s="258"/>
      <c r="AG26" s="257"/>
      <c r="AH26" s="258"/>
      <c r="AI26" s="257"/>
      <c r="AJ26" s="258"/>
      <c r="AK26" s="265"/>
      <c r="AL26" s="258"/>
      <c r="AM26" s="257"/>
      <c r="AN26" s="258"/>
      <c r="AO26" s="257"/>
      <c r="AP26" s="258"/>
      <c r="AQ26" s="265"/>
      <c r="AR26" s="258"/>
      <c r="AS26" s="257"/>
      <c r="AT26" s="258"/>
      <c r="AU26" s="265"/>
      <c r="AV26" s="258"/>
      <c r="AW26" s="265"/>
      <c r="AX26" s="91">
        <v>18</v>
      </c>
      <c r="AY26" s="92">
        <f t="shared" si="0"/>
        <v>1.8</v>
      </c>
      <c r="AZ26" s="93">
        <f t="shared" si="0"/>
        <v>105</v>
      </c>
      <c r="BA26" s="94">
        <f t="shared" si="1"/>
        <v>0.7</v>
      </c>
      <c r="BB26" s="95">
        <f t="shared" si="2"/>
        <v>4</v>
      </c>
      <c r="BC26" s="214"/>
      <c r="BD26" s="197">
        <f t="shared" si="3"/>
        <v>1</v>
      </c>
      <c r="BE26" s="98">
        <f t="shared" si="4"/>
        <v>7.4</v>
      </c>
      <c r="BF26" s="99"/>
      <c r="BG26" s="86">
        <f>abril!$BE27</f>
        <v>0</v>
      </c>
      <c r="BH26" s="97"/>
      <c r="BI26" s="197">
        <f t="shared" si="5"/>
        <v>0</v>
      </c>
    </row>
    <row r="27" spans="1:61" ht="21" customHeight="1">
      <c r="A27" s="71">
        <v>19</v>
      </c>
      <c r="B27" s="258"/>
      <c r="C27" s="257"/>
      <c r="D27" s="258"/>
      <c r="E27" s="257"/>
      <c r="F27" s="258"/>
      <c r="G27" s="257"/>
      <c r="H27" s="258"/>
      <c r="I27" s="257"/>
      <c r="J27" s="258"/>
      <c r="K27" s="257"/>
      <c r="L27" s="258"/>
      <c r="M27" s="257"/>
      <c r="N27" s="258"/>
      <c r="O27" s="257"/>
      <c r="P27" s="258"/>
      <c r="Q27" s="257"/>
      <c r="R27" s="258"/>
      <c r="S27" s="257"/>
      <c r="T27" s="258"/>
      <c r="U27" s="257"/>
      <c r="V27" s="258"/>
      <c r="W27" s="257"/>
      <c r="X27" s="258"/>
      <c r="Y27" s="257"/>
      <c r="Z27" s="258"/>
      <c r="AA27" s="257"/>
      <c r="AB27" s="258"/>
      <c r="AC27" s="257"/>
      <c r="AD27" s="258"/>
      <c r="AE27" s="257"/>
      <c r="AF27" s="258"/>
      <c r="AG27" s="257"/>
      <c r="AH27" s="258"/>
      <c r="AI27" s="257"/>
      <c r="AJ27" s="258"/>
      <c r="AK27" s="265"/>
      <c r="AL27" s="258"/>
      <c r="AM27" s="257"/>
      <c r="AN27" s="258"/>
      <c r="AO27" s="257"/>
      <c r="AP27" s="258"/>
      <c r="AQ27" s="265"/>
      <c r="AR27" s="258"/>
      <c r="AS27" s="257"/>
      <c r="AT27" s="258"/>
      <c r="AU27" s="265"/>
      <c r="AV27" s="258"/>
      <c r="AW27" s="265"/>
      <c r="AX27" s="91">
        <v>19</v>
      </c>
      <c r="AY27" s="92">
        <f t="shared" si="0"/>
        <v>0</v>
      </c>
      <c r="AZ27" s="93">
        <f t="shared" si="0"/>
        <v>0</v>
      </c>
      <c r="BA27" s="94">
        <f t="shared" si="1"/>
        <v>0</v>
      </c>
      <c r="BB27" s="95">
        <f t="shared" si="2"/>
        <v>0</v>
      </c>
      <c r="BC27" s="214"/>
      <c r="BD27" s="197">
        <f t="shared" si="3"/>
        <v>0</v>
      </c>
      <c r="BE27" s="98">
        <f t="shared" si="4"/>
        <v>0</v>
      </c>
      <c r="BF27" s="99"/>
      <c r="BG27" s="86">
        <f>abril!$BE28</f>
        <v>0</v>
      </c>
      <c r="BH27" s="97"/>
      <c r="BI27" s="197">
        <f t="shared" si="5"/>
        <v>0</v>
      </c>
    </row>
    <row r="28" spans="1:61" ht="21" customHeight="1">
      <c r="A28" s="71">
        <v>20</v>
      </c>
      <c r="B28" s="258"/>
      <c r="C28" s="257"/>
      <c r="D28" s="258"/>
      <c r="E28" s="257"/>
      <c r="F28" s="258"/>
      <c r="G28" s="257"/>
      <c r="H28" s="258"/>
      <c r="I28" s="257"/>
      <c r="J28" s="258"/>
      <c r="K28" s="257"/>
      <c r="L28" s="258"/>
      <c r="M28" s="257"/>
      <c r="N28" s="258"/>
      <c r="O28" s="257"/>
      <c r="P28" s="258"/>
      <c r="Q28" s="257"/>
      <c r="R28" s="258"/>
      <c r="S28" s="257"/>
      <c r="T28" s="258"/>
      <c r="U28" s="257"/>
      <c r="V28" s="258"/>
      <c r="W28" s="257"/>
      <c r="X28" s="258"/>
      <c r="Y28" s="257"/>
      <c r="Z28" s="258"/>
      <c r="AA28" s="257"/>
      <c r="AB28" s="258"/>
      <c r="AC28" s="257"/>
      <c r="AD28" s="258"/>
      <c r="AE28" s="257"/>
      <c r="AF28" s="258"/>
      <c r="AG28" s="257"/>
      <c r="AH28" s="258"/>
      <c r="AI28" s="257"/>
      <c r="AJ28" s="258"/>
      <c r="AK28" s="265"/>
      <c r="AL28" s="258"/>
      <c r="AM28" s="257"/>
      <c r="AN28" s="258"/>
      <c r="AO28" s="257"/>
      <c r="AP28" s="258"/>
      <c r="AQ28" s="265"/>
      <c r="AR28" s="258"/>
      <c r="AS28" s="257"/>
      <c r="AT28" s="258"/>
      <c r="AU28" s="265"/>
      <c r="AV28" s="258"/>
      <c r="AW28" s="265"/>
      <c r="AX28" s="91">
        <v>20</v>
      </c>
      <c r="AY28" s="92">
        <f t="shared" si="0"/>
        <v>0</v>
      </c>
      <c r="AZ28" s="93">
        <f t="shared" si="0"/>
        <v>0</v>
      </c>
      <c r="BA28" s="94">
        <f t="shared" si="1"/>
        <v>0</v>
      </c>
      <c r="BB28" s="95">
        <f t="shared" si="2"/>
        <v>0</v>
      </c>
      <c r="BC28" s="214"/>
      <c r="BD28" s="197">
        <f t="shared" si="3"/>
        <v>0</v>
      </c>
      <c r="BE28" s="98">
        <f t="shared" si="4"/>
        <v>0</v>
      </c>
      <c r="BF28" s="99"/>
      <c r="BG28" s="86">
        <f>abril!$BE29</f>
        <v>0</v>
      </c>
      <c r="BH28" s="97"/>
      <c r="BI28" s="197">
        <f t="shared" si="5"/>
        <v>0</v>
      </c>
    </row>
    <row r="29" spans="1:61" ht="21" customHeight="1">
      <c r="A29" s="71">
        <v>21</v>
      </c>
      <c r="B29" s="258"/>
      <c r="C29" s="257"/>
      <c r="D29" s="258"/>
      <c r="E29" s="257"/>
      <c r="F29" s="258"/>
      <c r="G29" s="257"/>
      <c r="H29" s="258"/>
      <c r="I29" s="257"/>
      <c r="J29" s="258"/>
      <c r="K29" s="257"/>
      <c r="L29" s="258"/>
      <c r="M29" s="257"/>
      <c r="N29" s="258"/>
      <c r="O29" s="257"/>
      <c r="P29" s="258"/>
      <c r="Q29" s="257"/>
      <c r="R29" s="258"/>
      <c r="S29" s="257"/>
      <c r="T29" s="258"/>
      <c r="U29" s="257"/>
      <c r="V29" s="258"/>
      <c r="W29" s="257"/>
      <c r="X29" s="258"/>
      <c r="Y29" s="257"/>
      <c r="Z29" s="256"/>
      <c r="AA29" s="257"/>
      <c r="AB29" s="258"/>
      <c r="AC29" s="257"/>
      <c r="AD29" s="258"/>
      <c r="AE29" s="257"/>
      <c r="AF29" s="258"/>
      <c r="AG29" s="257"/>
      <c r="AH29" s="258"/>
      <c r="AI29" s="257"/>
      <c r="AJ29" s="258"/>
      <c r="AK29" s="265"/>
      <c r="AL29" s="258"/>
      <c r="AM29" s="257"/>
      <c r="AN29" s="258"/>
      <c r="AO29" s="257"/>
      <c r="AP29" s="258"/>
      <c r="AQ29" s="265"/>
      <c r="AR29" s="258"/>
      <c r="AS29" s="257"/>
      <c r="AT29" s="258"/>
      <c r="AU29" s="265"/>
      <c r="AV29" s="258"/>
      <c r="AW29" s="265"/>
      <c r="AX29" s="91">
        <v>21</v>
      </c>
      <c r="AY29" s="92">
        <f t="shared" si="0"/>
        <v>0</v>
      </c>
      <c r="AZ29" s="93">
        <f t="shared" si="0"/>
        <v>0</v>
      </c>
      <c r="BA29" s="94">
        <f t="shared" si="1"/>
        <v>0</v>
      </c>
      <c r="BB29" s="95">
        <f t="shared" si="2"/>
        <v>0</v>
      </c>
      <c r="BC29" s="214"/>
      <c r="BD29" s="197">
        <f t="shared" si="3"/>
        <v>0</v>
      </c>
      <c r="BE29" s="98">
        <f t="shared" si="4"/>
        <v>0</v>
      </c>
      <c r="BF29" s="99"/>
      <c r="BG29" s="86">
        <f>abril!$BE30</f>
        <v>0.2</v>
      </c>
      <c r="BH29" s="97"/>
      <c r="BI29" s="197">
        <f t="shared" si="5"/>
        <v>0</v>
      </c>
    </row>
    <row r="30" spans="1:61" ht="21" customHeight="1">
      <c r="A30" s="71">
        <v>22</v>
      </c>
      <c r="B30" s="258"/>
      <c r="C30" s="257"/>
      <c r="D30" s="258"/>
      <c r="E30" s="257"/>
      <c r="F30" s="258"/>
      <c r="G30" s="257"/>
      <c r="H30" s="258"/>
      <c r="I30" s="257"/>
      <c r="J30" s="258">
        <v>0.1</v>
      </c>
      <c r="K30" s="257">
        <v>5</v>
      </c>
      <c r="L30" s="258"/>
      <c r="M30" s="257"/>
      <c r="N30" s="258">
        <v>0.1</v>
      </c>
      <c r="O30" s="257">
        <v>60</v>
      </c>
      <c r="P30" s="258"/>
      <c r="Q30" s="257"/>
      <c r="R30" s="258"/>
      <c r="S30" s="257"/>
      <c r="T30" s="258"/>
      <c r="U30" s="257"/>
      <c r="V30" s="258"/>
      <c r="W30" s="257"/>
      <c r="X30" s="258"/>
      <c r="Y30" s="257"/>
      <c r="Z30" s="258"/>
      <c r="AA30" s="257"/>
      <c r="AB30" s="258"/>
      <c r="AC30" s="257"/>
      <c r="AD30" s="258"/>
      <c r="AE30" s="257"/>
      <c r="AF30" s="258"/>
      <c r="AG30" s="257"/>
      <c r="AH30" s="258"/>
      <c r="AI30" s="257"/>
      <c r="AJ30" s="258"/>
      <c r="AK30" s="265"/>
      <c r="AL30" s="258"/>
      <c r="AM30" s="257"/>
      <c r="AN30" s="258"/>
      <c r="AO30" s="257"/>
      <c r="AP30" s="258"/>
      <c r="AQ30" s="265"/>
      <c r="AR30" s="258"/>
      <c r="AS30" s="257"/>
      <c r="AT30" s="258"/>
      <c r="AU30" s="265"/>
      <c r="AV30" s="258"/>
      <c r="AW30" s="265"/>
      <c r="AX30" s="91">
        <v>22</v>
      </c>
      <c r="AY30" s="92">
        <f t="shared" si="0"/>
        <v>0.2</v>
      </c>
      <c r="AZ30" s="93">
        <f t="shared" si="0"/>
        <v>65</v>
      </c>
      <c r="BA30" s="94">
        <f t="shared" si="1"/>
        <v>0.1</v>
      </c>
      <c r="BB30" s="95">
        <f t="shared" si="2"/>
        <v>2</v>
      </c>
      <c r="BC30" s="214"/>
      <c r="BD30" s="197">
        <f t="shared" si="3"/>
        <v>1</v>
      </c>
      <c r="BE30" s="98">
        <f t="shared" si="4"/>
        <v>0.2</v>
      </c>
      <c r="BF30" s="99"/>
      <c r="BG30" s="86">
        <f>abril!$BE31</f>
        <v>0</v>
      </c>
      <c r="BH30" s="97"/>
      <c r="BI30" s="197">
        <f t="shared" si="5"/>
        <v>0</v>
      </c>
    </row>
    <row r="31" spans="1:61" ht="21" customHeight="1">
      <c r="A31" s="71">
        <v>23</v>
      </c>
      <c r="B31" s="258"/>
      <c r="C31" s="257"/>
      <c r="D31" s="258"/>
      <c r="E31" s="257"/>
      <c r="F31" s="258"/>
      <c r="G31" s="257"/>
      <c r="H31" s="258"/>
      <c r="I31" s="257"/>
      <c r="J31" s="258"/>
      <c r="K31" s="257"/>
      <c r="L31" s="258"/>
      <c r="M31" s="257"/>
      <c r="N31" s="258"/>
      <c r="O31" s="257"/>
      <c r="P31" s="258"/>
      <c r="Q31" s="257"/>
      <c r="R31" s="258"/>
      <c r="S31" s="257"/>
      <c r="T31" s="258"/>
      <c r="U31" s="257"/>
      <c r="V31" s="258"/>
      <c r="W31" s="257"/>
      <c r="X31" s="258"/>
      <c r="Y31" s="257"/>
      <c r="Z31" s="258"/>
      <c r="AA31" s="257"/>
      <c r="AB31" s="258"/>
      <c r="AC31" s="257"/>
      <c r="AD31" s="258"/>
      <c r="AE31" s="257"/>
      <c r="AF31" s="258"/>
      <c r="AG31" s="257"/>
      <c r="AH31" s="258"/>
      <c r="AI31" s="257"/>
      <c r="AJ31" s="258"/>
      <c r="AK31" s="265"/>
      <c r="AL31" s="258"/>
      <c r="AM31" s="257"/>
      <c r="AN31" s="258"/>
      <c r="AO31" s="257"/>
      <c r="AP31" s="258"/>
      <c r="AQ31" s="265"/>
      <c r="AR31" s="269"/>
      <c r="AS31" s="257"/>
      <c r="AT31" s="258"/>
      <c r="AU31" s="265"/>
      <c r="AV31" s="258"/>
      <c r="AW31" s="265"/>
      <c r="AX31" s="91">
        <v>23</v>
      </c>
      <c r="AY31" s="92">
        <f t="shared" si="0"/>
        <v>0</v>
      </c>
      <c r="AZ31" s="93">
        <f t="shared" si="0"/>
        <v>0</v>
      </c>
      <c r="BA31" s="94">
        <f t="shared" si="1"/>
        <v>0</v>
      </c>
      <c r="BB31" s="95">
        <f t="shared" si="2"/>
        <v>0</v>
      </c>
      <c r="BC31" s="214"/>
      <c r="BD31" s="197">
        <f t="shared" si="3"/>
        <v>0</v>
      </c>
      <c r="BE31" s="98">
        <f t="shared" si="4"/>
        <v>0</v>
      </c>
      <c r="BF31" s="99"/>
      <c r="BG31" s="86">
        <f>abril!$BE32</f>
        <v>0</v>
      </c>
      <c r="BH31" s="97"/>
      <c r="BI31" s="197">
        <f t="shared" si="5"/>
        <v>0</v>
      </c>
    </row>
    <row r="32" spans="1:61" ht="21" customHeight="1">
      <c r="A32" s="71">
        <v>24</v>
      </c>
      <c r="B32" s="258"/>
      <c r="C32" s="257"/>
      <c r="D32" s="258"/>
      <c r="E32" s="257"/>
      <c r="F32" s="258"/>
      <c r="G32" s="257"/>
      <c r="H32" s="258"/>
      <c r="I32" s="257"/>
      <c r="J32" s="258"/>
      <c r="K32" s="257"/>
      <c r="L32" s="258"/>
      <c r="M32" s="257"/>
      <c r="N32" s="258"/>
      <c r="O32" s="257"/>
      <c r="P32" s="258"/>
      <c r="Q32" s="257"/>
      <c r="R32" s="258"/>
      <c r="S32" s="257"/>
      <c r="T32" s="258"/>
      <c r="U32" s="257"/>
      <c r="V32" s="258"/>
      <c r="W32" s="257"/>
      <c r="X32" s="258"/>
      <c r="Y32" s="257"/>
      <c r="Z32" s="258"/>
      <c r="AA32" s="257"/>
      <c r="AB32" s="258"/>
      <c r="AC32" s="257"/>
      <c r="AD32" s="258"/>
      <c r="AE32" s="257"/>
      <c r="AF32" s="258"/>
      <c r="AG32" s="257"/>
      <c r="AH32" s="258"/>
      <c r="AI32" s="257"/>
      <c r="AJ32" s="258"/>
      <c r="AK32" s="265"/>
      <c r="AL32" s="258"/>
      <c r="AM32" s="257"/>
      <c r="AN32" s="258"/>
      <c r="AO32" s="257"/>
      <c r="AP32" s="258"/>
      <c r="AQ32" s="265"/>
      <c r="AR32" s="269"/>
      <c r="AS32" s="257"/>
      <c r="AT32" s="258"/>
      <c r="AU32" s="265"/>
      <c r="AV32" s="258"/>
      <c r="AW32" s="265"/>
      <c r="AX32" s="91">
        <v>24</v>
      </c>
      <c r="AY32" s="92">
        <f t="shared" si="0"/>
        <v>0</v>
      </c>
      <c r="AZ32" s="93">
        <f t="shared" si="0"/>
        <v>0</v>
      </c>
      <c r="BA32" s="94">
        <f t="shared" si="1"/>
        <v>0</v>
      </c>
      <c r="BB32" s="95">
        <f t="shared" si="2"/>
        <v>0</v>
      </c>
      <c r="BC32" s="214"/>
      <c r="BD32" s="197">
        <f t="shared" si="3"/>
        <v>0</v>
      </c>
      <c r="BE32" s="98">
        <f t="shared" si="4"/>
        <v>0</v>
      </c>
      <c r="BF32" s="99"/>
      <c r="BG32" s="86">
        <f>abril!$BE33</f>
        <v>0.1</v>
      </c>
      <c r="BH32" s="97"/>
      <c r="BI32" s="197">
        <f t="shared" si="5"/>
        <v>0</v>
      </c>
    </row>
    <row r="33" spans="1:61" ht="21" customHeight="1">
      <c r="A33" s="71">
        <v>25</v>
      </c>
      <c r="B33" s="258"/>
      <c r="C33" s="257"/>
      <c r="D33" s="258"/>
      <c r="E33" s="257"/>
      <c r="F33" s="258"/>
      <c r="G33" s="257"/>
      <c r="H33" s="258"/>
      <c r="I33" s="257"/>
      <c r="J33" s="258"/>
      <c r="K33" s="257"/>
      <c r="L33" s="258"/>
      <c r="M33" s="257"/>
      <c r="N33" s="258">
        <v>0.1</v>
      </c>
      <c r="O33" s="257">
        <v>10</v>
      </c>
      <c r="P33" s="258"/>
      <c r="Q33" s="257"/>
      <c r="R33" s="258"/>
      <c r="S33" s="257"/>
      <c r="T33" s="258"/>
      <c r="U33" s="257"/>
      <c r="V33" s="258"/>
      <c r="W33" s="257"/>
      <c r="X33" s="258"/>
      <c r="Y33" s="257"/>
      <c r="Z33" s="258"/>
      <c r="AA33" s="257"/>
      <c r="AB33" s="258"/>
      <c r="AC33" s="257"/>
      <c r="AD33" s="258"/>
      <c r="AE33" s="257"/>
      <c r="AF33" s="258"/>
      <c r="AG33" s="257"/>
      <c r="AH33" s="258"/>
      <c r="AI33" s="257"/>
      <c r="AJ33" s="258"/>
      <c r="AK33" s="265"/>
      <c r="AL33" s="258"/>
      <c r="AM33" s="257"/>
      <c r="AN33" s="258"/>
      <c r="AO33" s="257"/>
      <c r="AP33" s="258"/>
      <c r="AQ33" s="265"/>
      <c r="AR33" s="269"/>
      <c r="AS33" s="257"/>
      <c r="AT33" s="258"/>
      <c r="AU33" s="265"/>
      <c r="AV33" s="258"/>
      <c r="AW33" s="265"/>
      <c r="AX33" s="91">
        <v>25</v>
      </c>
      <c r="AY33" s="92">
        <f t="shared" si="0"/>
        <v>0.1</v>
      </c>
      <c r="AZ33" s="93">
        <f t="shared" si="0"/>
        <v>10</v>
      </c>
      <c r="BA33" s="94">
        <f t="shared" si="1"/>
        <v>0.1</v>
      </c>
      <c r="BB33" s="95">
        <f t="shared" si="2"/>
        <v>1</v>
      </c>
      <c r="BC33" s="214"/>
      <c r="BD33" s="197">
        <f t="shared" si="3"/>
        <v>1</v>
      </c>
      <c r="BE33" s="98">
        <f t="shared" si="4"/>
        <v>0.1</v>
      </c>
      <c r="BF33" s="99"/>
      <c r="BG33" s="86">
        <f>abril!$BE34</f>
        <v>0</v>
      </c>
      <c r="BH33" s="97"/>
      <c r="BI33" s="197">
        <f t="shared" si="5"/>
        <v>0</v>
      </c>
    </row>
    <row r="34" spans="1:61" ht="21" customHeight="1">
      <c r="A34" s="71">
        <v>26</v>
      </c>
      <c r="B34" s="258"/>
      <c r="C34" s="257"/>
      <c r="D34" s="258"/>
      <c r="E34" s="257"/>
      <c r="F34" s="258"/>
      <c r="G34" s="257"/>
      <c r="H34" s="258"/>
      <c r="I34" s="257"/>
      <c r="J34" s="258"/>
      <c r="K34" s="257"/>
      <c r="L34" s="258"/>
      <c r="M34" s="257"/>
      <c r="N34" s="258"/>
      <c r="O34" s="257"/>
      <c r="P34" s="258"/>
      <c r="Q34" s="257"/>
      <c r="R34" s="258"/>
      <c r="S34" s="257"/>
      <c r="T34" s="258"/>
      <c r="U34" s="257"/>
      <c r="V34" s="258"/>
      <c r="W34" s="257"/>
      <c r="X34" s="258"/>
      <c r="Y34" s="257"/>
      <c r="Z34" s="258"/>
      <c r="AA34" s="257"/>
      <c r="AB34" s="258"/>
      <c r="AC34" s="257"/>
      <c r="AD34" s="258"/>
      <c r="AE34" s="257"/>
      <c r="AF34" s="258"/>
      <c r="AG34" s="257"/>
      <c r="AH34" s="258"/>
      <c r="AI34" s="257"/>
      <c r="AJ34" s="258"/>
      <c r="AK34" s="265"/>
      <c r="AL34" s="258"/>
      <c r="AM34" s="257"/>
      <c r="AN34" s="258"/>
      <c r="AO34" s="257"/>
      <c r="AP34" s="258"/>
      <c r="AQ34" s="265"/>
      <c r="AR34" s="258"/>
      <c r="AS34" s="257"/>
      <c r="AT34" s="258"/>
      <c r="AU34" s="265"/>
      <c r="AV34" s="258"/>
      <c r="AW34" s="265"/>
      <c r="AX34" s="91">
        <v>26</v>
      </c>
      <c r="AY34" s="92">
        <f t="shared" si="0"/>
        <v>0</v>
      </c>
      <c r="AZ34" s="93">
        <f t="shared" si="0"/>
        <v>0</v>
      </c>
      <c r="BA34" s="94">
        <f t="shared" si="1"/>
        <v>0</v>
      </c>
      <c r="BB34" s="95">
        <f t="shared" si="2"/>
        <v>0</v>
      </c>
      <c r="BC34" s="214"/>
      <c r="BD34" s="197">
        <f t="shared" si="3"/>
        <v>0</v>
      </c>
      <c r="BE34" s="98">
        <f t="shared" si="4"/>
        <v>0</v>
      </c>
      <c r="BF34" s="99"/>
      <c r="BG34" s="86">
        <f>abril!$BE35</f>
        <v>0</v>
      </c>
      <c r="BH34" s="97"/>
      <c r="BI34" s="197">
        <f t="shared" si="5"/>
        <v>0</v>
      </c>
    </row>
    <row r="35" spans="1:61" ht="21" customHeight="1">
      <c r="A35" s="71">
        <v>27</v>
      </c>
      <c r="B35" s="258"/>
      <c r="C35" s="257"/>
      <c r="D35" s="258"/>
      <c r="E35" s="257"/>
      <c r="F35" s="258"/>
      <c r="G35" s="257"/>
      <c r="H35" s="258"/>
      <c r="I35" s="257"/>
      <c r="J35" s="258"/>
      <c r="K35" s="257"/>
      <c r="L35" s="258"/>
      <c r="M35" s="257"/>
      <c r="N35" s="258"/>
      <c r="O35" s="257"/>
      <c r="P35" s="258"/>
      <c r="Q35" s="257"/>
      <c r="R35" s="258"/>
      <c r="S35" s="257"/>
      <c r="T35" s="258"/>
      <c r="U35" s="257"/>
      <c r="V35" s="258"/>
      <c r="W35" s="257"/>
      <c r="X35" s="258"/>
      <c r="Y35" s="257"/>
      <c r="Z35" s="258"/>
      <c r="AA35" s="257"/>
      <c r="AB35" s="258"/>
      <c r="AC35" s="257"/>
      <c r="AD35" s="258"/>
      <c r="AE35" s="257"/>
      <c r="AF35" s="258"/>
      <c r="AG35" s="257"/>
      <c r="AH35" s="258"/>
      <c r="AI35" s="257"/>
      <c r="AJ35" s="258"/>
      <c r="AK35" s="265"/>
      <c r="AL35" s="258"/>
      <c r="AM35" s="257"/>
      <c r="AN35" s="258"/>
      <c r="AO35" s="257"/>
      <c r="AP35" s="258"/>
      <c r="AQ35" s="265"/>
      <c r="AR35" s="258"/>
      <c r="AS35" s="257"/>
      <c r="AT35" s="258"/>
      <c r="AU35" s="265"/>
      <c r="AV35" s="258"/>
      <c r="AW35" s="265"/>
      <c r="AX35" s="91">
        <v>27</v>
      </c>
      <c r="AY35" s="92">
        <f t="shared" si="0"/>
        <v>0</v>
      </c>
      <c r="AZ35" s="93">
        <f t="shared" si="0"/>
        <v>0</v>
      </c>
      <c r="BA35" s="94">
        <f t="shared" si="1"/>
        <v>0</v>
      </c>
      <c r="BB35" s="95">
        <f t="shared" si="2"/>
        <v>0</v>
      </c>
      <c r="BC35" s="214"/>
      <c r="BD35" s="197">
        <f t="shared" si="3"/>
        <v>0</v>
      </c>
      <c r="BE35" s="98">
        <f t="shared" si="4"/>
        <v>0</v>
      </c>
      <c r="BF35" s="99"/>
      <c r="BG35" s="86">
        <f>abril!$BE36</f>
        <v>0</v>
      </c>
      <c r="BH35" s="97"/>
      <c r="BI35" s="197">
        <f t="shared" si="5"/>
        <v>0</v>
      </c>
    </row>
    <row r="36" spans="1:61" ht="21" customHeight="1">
      <c r="A36" s="102">
        <v>28</v>
      </c>
      <c r="B36" s="258"/>
      <c r="C36" s="257"/>
      <c r="D36" s="258"/>
      <c r="E36" s="257"/>
      <c r="F36" s="258"/>
      <c r="G36" s="257"/>
      <c r="H36" s="258"/>
      <c r="I36" s="257"/>
      <c r="J36" s="258"/>
      <c r="K36" s="257"/>
      <c r="L36" s="258"/>
      <c r="M36" s="257"/>
      <c r="N36" s="258"/>
      <c r="O36" s="257"/>
      <c r="P36" s="258"/>
      <c r="Q36" s="257"/>
      <c r="R36" s="258"/>
      <c r="S36" s="257"/>
      <c r="T36" s="258"/>
      <c r="U36" s="257"/>
      <c r="V36" s="258"/>
      <c r="W36" s="257"/>
      <c r="X36" s="258"/>
      <c r="Y36" s="257"/>
      <c r="Z36" s="258"/>
      <c r="AA36" s="257"/>
      <c r="AB36" s="258"/>
      <c r="AC36" s="257"/>
      <c r="AD36" s="258"/>
      <c r="AE36" s="257"/>
      <c r="AF36" s="258"/>
      <c r="AG36" s="257"/>
      <c r="AH36" s="258"/>
      <c r="AI36" s="257"/>
      <c r="AJ36" s="258"/>
      <c r="AK36" s="265"/>
      <c r="AL36" s="258"/>
      <c r="AM36" s="257"/>
      <c r="AN36" s="258"/>
      <c r="AO36" s="257"/>
      <c r="AP36" s="258"/>
      <c r="AQ36" s="265"/>
      <c r="AR36" s="258"/>
      <c r="AS36" s="257"/>
      <c r="AT36" s="258"/>
      <c r="AU36" s="265"/>
      <c r="AV36" s="258"/>
      <c r="AW36" s="265"/>
      <c r="AX36" s="91">
        <v>28</v>
      </c>
      <c r="AY36" s="92">
        <f t="shared" si="0"/>
        <v>0</v>
      </c>
      <c r="AZ36" s="93">
        <f t="shared" si="0"/>
        <v>0</v>
      </c>
      <c r="BA36" s="94">
        <f t="shared" si="1"/>
        <v>0</v>
      </c>
      <c r="BB36" s="95">
        <f t="shared" si="2"/>
        <v>0</v>
      </c>
      <c r="BC36" s="214"/>
      <c r="BD36" s="197">
        <f t="shared" si="3"/>
        <v>0</v>
      </c>
      <c r="BE36" s="98">
        <f t="shared" si="4"/>
        <v>0</v>
      </c>
      <c r="BF36" s="99"/>
      <c r="BG36" s="86">
        <f>abril!$BE37</f>
        <v>0</v>
      </c>
      <c r="BH36" s="97"/>
      <c r="BI36" s="197">
        <f t="shared" si="5"/>
        <v>0</v>
      </c>
    </row>
    <row r="37" spans="1:61" ht="21" customHeight="1">
      <c r="A37" s="71">
        <v>29</v>
      </c>
      <c r="B37" s="258"/>
      <c r="C37" s="257"/>
      <c r="D37" s="258"/>
      <c r="E37" s="257"/>
      <c r="F37" s="258"/>
      <c r="G37" s="257"/>
      <c r="H37" s="258"/>
      <c r="I37" s="257"/>
      <c r="J37" s="258"/>
      <c r="K37" s="257"/>
      <c r="L37" s="258"/>
      <c r="M37" s="257"/>
      <c r="N37" s="258"/>
      <c r="O37" s="257"/>
      <c r="P37" s="258"/>
      <c r="Q37" s="257"/>
      <c r="R37" s="258"/>
      <c r="S37" s="257"/>
      <c r="T37" s="258"/>
      <c r="U37" s="257"/>
      <c r="V37" s="258"/>
      <c r="W37" s="257"/>
      <c r="X37" s="258"/>
      <c r="Y37" s="257"/>
      <c r="Z37" s="258"/>
      <c r="AA37" s="257"/>
      <c r="AB37" s="258"/>
      <c r="AC37" s="257"/>
      <c r="AD37" s="258"/>
      <c r="AE37" s="257"/>
      <c r="AF37" s="258"/>
      <c r="AG37" s="257"/>
      <c r="AH37" s="258"/>
      <c r="AI37" s="257"/>
      <c r="AJ37" s="258"/>
      <c r="AK37" s="265"/>
      <c r="AL37" s="258"/>
      <c r="AM37" s="257"/>
      <c r="AN37" s="258"/>
      <c r="AO37" s="257"/>
      <c r="AP37" s="258"/>
      <c r="AQ37" s="265"/>
      <c r="AR37" s="258"/>
      <c r="AS37" s="257"/>
      <c r="AT37" s="258"/>
      <c r="AU37" s="270"/>
      <c r="AV37" s="258"/>
      <c r="AW37" s="265"/>
      <c r="AX37" s="111">
        <v>29</v>
      </c>
      <c r="AY37" s="92">
        <f t="shared" si="0"/>
        <v>0</v>
      </c>
      <c r="AZ37" s="93">
        <f t="shared" si="0"/>
        <v>0</v>
      </c>
      <c r="BA37" s="94">
        <f t="shared" si="1"/>
        <v>0</v>
      </c>
      <c r="BB37" s="95">
        <f t="shared" si="2"/>
        <v>0</v>
      </c>
      <c r="BC37" s="214"/>
      <c r="BD37" s="197">
        <f t="shared" si="3"/>
        <v>0</v>
      </c>
      <c r="BE37" s="98">
        <f t="shared" si="4"/>
        <v>0</v>
      </c>
      <c r="BF37" s="99"/>
      <c r="BG37" s="86">
        <f>abril!$BE38</f>
        <v>0</v>
      </c>
      <c r="BH37" s="97"/>
      <c r="BI37" s="197">
        <f t="shared" si="5"/>
        <v>0</v>
      </c>
    </row>
    <row r="38" spans="1:61" ht="21" customHeight="1" thickBot="1">
      <c r="A38" s="71">
        <v>30</v>
      </c>
      <c r="B38" s="283"/>
      <c r="C38" s="128"/>
      <c r="D38" s="276"/>
      <c r="E38" s="128"/>
      <c r="F38" s="276"/>
      <c r="G38" s="128"/>
      <c r="H38" s="276"/>
      <c r="I38" s="128"/>
      <c r="J38" s="276"/>
      <c r="K38" s="128"/>
      <c r="L38" s="276"/>
      <c r="M38" s="128"/>
      <c r="N38" s="276"/>
      <c r="O38" s="257"/>
      <c r="P38" s="258"/>
      <c r="Q38" s="257"/>
      <c r="R38" s="258"/>
      <c r="S38" s="257"/>
      <c r="T38" s="258"/>
      <c r="U38" s="257"/>
      <c r="V38" s="258"/>
      <c r="W38" s="257"/>
      <c r="X38" s="258"/>
      <c r="Y38" s="257"/>
      <c r="Z38" s="258"/>
      <c r="AA38" s="257"/>
      <c r="AB38" s="258"/>
      <c r="AC38" s="257"/>
      <c r="AD38" s="258"/>
      <c r="AE38" s="257"/>
      <c r="AF38" s="258"/>
      <c r="AG38" s="257"/>
      <c r="AH38" s="258"/>
      <c r="AI38" s="257"/>
      <c r="AJ38" s="258"/>
      <c r="AK38" s="265"/>
      <c r="AL38" s="258"/>
      <c r="AM38" s="257"/>
      <c r="AN38" s="258"/>
      <c r="AO38" s="257"/>
      <c r="AP38" s="258"/>
      <c r="AQ38" s="265"/>
      <c r="AR38" s="271"/>
      <c r="AS38" s="272"/>
      <c r="AT38" s="258"/>
      <c r="AU38" s="265"/>
      <c r="AV38" s="258"/>
      <c r="AW38" s="265"/>
      <c r="AX38" s="111">
        <v>30</v>
      </c>
      <c r="AY38" s="92">
        <f t="shared" si="0"/>
        <v>0</v>
      </c>
      <c r="AZ38" s="93">
        <f t="shared" si="0"/>
        <v>0</v>
      </c>
      <c r="BA38" s="94">
        <f t="shared" si="1"/>
        <v>0</v>
      </c>
      <c r="BB38" s="95">
        <f t="shared" si="2"/>
        <v>0</v>
      </c>
      <c r="BC38" s="214"/>
      <c r="BD38" s="197">
        <f t="shared" si="3"/>
        <v>0</v>
      </c>
      <c r="BE38" s="98">
        <f t="shared" si="4"/>
        <v>0</v>
      </c>
      <c r="BF38" s="99"/>
      <c r="BG38" s="86">
        <f>abril!$BH40</f>
        <v>0</v>
      </c>
      <c r="BH38" s="97"/>
      <c r="BI38" s="197">
        <f t="shared" si="5"/>
        <v>0</v>
      </c>
    </row>
    <row r="39" spans="1:61" ht="21" customHeight="1" thickBot="1">
      <c r="A39" s="284">
        <v>1</v>
      </c>
      <c r="B39" s="221"/>
      <c r="C39" s="222"/>
      <c r="D39" s="223"/>
      <c r="E39" s="222"/>
      <c r="F39" s="223"/>
      <c r="G39" s="222"/>
      <c r="H39" s="223"/>
      <c r="I39" s="222"/>
      <c r="J39" s="223"/>
      <c r="K39" s="222"/>
      <c r="L39" s="223"/>
      <c r="M39" s="222"/>
      <c r="N39" s="223"/>
      <c r="O39" s="277"/>
      <c r="P39" s="285"/>
      <c r="Q39" s="274"/>
      <c r="R39" s="275"/>
      <c r="S39" s="274"/>
      <c r="T39" s="275"/>
      <c r="U39" s="274"/>
      <c r="V39" s="275"/>
      <c r="W39" s="274"/>
      <c r="X39" s="275"/>
      <c r="Y39" s="274"/>
      <c r="Z39" s="275"/>
      <c r="AA39" s="274"/>
      <c r="AB39" s="275"/>
      <c r="AC39" s="274"/>
      <c r="AD39" s="275"/>
      <c r="AE39" s="274"/>
      <c r="AF39" s="275"/>
      <c r="AG39" s="274"/>
      <c r="AH39" s="275"/>
      <c r="AI39" s="274"/>
      <c r="AJ39" s="275"/>
      <c r="AK39" s="277"/>
      <c r="AL39" s="278"/>
      <c r="AM39" s="274"/>
      <c r="AN39" s="275"/>
      <c r="AO39" s="274"/>
      <c r="AP39" s="275"/>
      <c r="AQ39" s="279"/>
      <c r="AR39" s="275"/>
      <c r="AS39" s="274"/>
      <c r="AT39" s="275"/>
      <c r="AU39" s="279"/>
      <c r="AV39" s="280"/>
      <c r="AW39" s="279"/>
      <c r="AX39" s="123"/>
      <c r="AY39" s="92"/>
      <c r="AZ39" s="93"/>
      <c r="BA39" s="94"/>
      <c r="BB39" s="95"/>
      <c r="BC39" s="214"/>
      <c r="BD39" s="197"/>
      <c r="BE39" s="98"/>
      <c r="BF39" s="99"/>
      <c r="BG39" s="228"/>
      <c r="BH39" s="125">
        <v>43952</v>
      </c>
      <c r="BI39" s="197"/>
    </row>
    <row r="40" spans="1:61" ht="21" customHeight="1" thickBot="1">
      <c r="A40" s="229"/>
      <c r="B40" s="230"/>
      <c r="C40" s="32"/>
      <c r="D40" s="31"/>
      <c r="E40" s="32"/>
      <c r="F40" s="31"/>
      <c r="G40" s="32"/>
      <c r="H40" s="31"/>
      <c r="I40" s="32"/>
      <c r="J40" s="31"/>
      <c r="K40" s="32"/>
      <c r="L40" s="31"/>
      <c r="M40" s="32"/>
      <c r="N40" s="31"/>
      <c r="O40" s="31"/>
      <c r="P40" s="230"/>
      <c r="Q40" s="32"/>
      <c r="R40" s="31"/>
      <c r="S40" s="32"/>
      <c r="T40" s="31"/>
      <c r="U40" s="32"/>
      <c r="V40" s="31"/>
      <c r="W40" s="32"/>
      <c r="X40" s="31"/>
      <c r="Y40" s="32"/>
      <c r="Z40" s="31"/>
      <c r="AA40" s="32"/>
      <c r="AB40" s="31"/>
      <c r="AC40" s="32"/>
      <c r="AD40" s="31"/>
      <c r="AE40" s="32"/>
      <c r="AF40" s="31"/>
      <c r="AG40" s="32"/>
      <c r="AH40" s="31"/>
      <c r="AI40" s="32"/>
      <c r="AJ40" s="31"/>
      <c r="AK40" s="32"/>
      <c r="AL40" s="31"/>
      <c r="AM40" s="32"/>
      <c r="AN40" s="31"/>
      <c r="AO40" s="32"/>
      <c r="AP40" s="31"/>
      <c r="AQ40" s="32"/>
      <c r="AR40" s="31"/>
      <c r="AS40" s="32"/>
      <c r="AT40" s="31"/>
      <c r="AU40" s="32"/>
      <c r="AV40" s="31"/>
      <c r="AW40" s="32"/>
      <c r="AX40" s="132"/>
      <c r="AY40" s="231" t="s">
        <v>53</v>
      </c>
      <c r="AZ40" s="232"/>
      <c r="BA40" s="233"/>
      <c r="BB40" s="136"/>
      <c r="BC40" s="214"/>
      <c r="BD40" s="137" t="s">
        <v>54</v>
      </c>
      <c r="BE40" s="138">
        <f>SUM(BE9:BE39)</f>
        <v>80.900000000000006</v>
      </c>
      <c r="BF40" s="232"/>
      <c r="BG40" s="139"/>
      <c r="BH40" s="140">
        <f>P38+R38+T38+V38+X38+Z38+AB38+AD38+AF38+AH38+AJ38+AL38+AN38+AP38+AR38+AT38+AV38+B39+D39+F39+H39+J39+L39+N39</f>
        <v>0</v>
      </c>
      <c r="BI40" s="214"/>
    </row>
    <row r="41" spans="1:61" ht="21" customHeight="1" thickBot="1">
      <c r="A41" s="142"/>
      <c r="B41" s="37" t="s">
        <v>19</v>
      </c>
      <c r="C41" s="37"/>
      <c r="D41" s="38" t="s">
        <v>20</v>
      </c>
      <c r="E41" s="38"/>
      <c r="F41" s="37" t="s">
        <v>21</v>
      </c>
      <c r="G41" s="37"/>
      <c r="H41" s="37" t="s">
        <v>22</v>
      </c>
      <c r="I41" s="37"/>
      <c r="J41" s="39" t="s">
        <v>23</v>
      </c>
      <c r="K41" s="39"/>
      <c r="L41" s="37" t="s">
        <v>24</v>
      </c>
      <c r="M41" s="37"/>
      <c r="N41" s="37" t="s">
        <v>25</v>
      </c>
      <c r="O41" s="37"/>
      <c r="P41" s="37" t="s">
        <v>26</v>
      </c>
      <c r="Q41" s="37"/>
      <c r="R41" s="37" t="s">
        <v>27</v>
      </c>
      <c r="S41" s="37"/>
      <c r="T41" s="37" t="s">
        <v>28</v>
      </c>
      <c r="U41" s="37"/>
      <c r="V41" s="37" t="s">
        <v>29</v>
      </c>
      <c r="W41" s="37"/>
      <c r="X41" s="37" t="s">
        <v>30</v>
      </c>
      <c r="Y41" s="37"/>
      <c r="Z41" s="40" t="s">
        <v>31</v>
      </c>
      <c r="AA41" s="40"/>
      <c r="AB41" s="37" t="s">
        <v>32</v>
      </c>
      <c r="AC41" s="37"/>
      <c r="AD41" s="37" t="s">
        <v>33</v>
      </c>
      <c r="AE41" s="37"/>
      <c r="AF41" s="37" t="s">
        <v>34</v>
      </c>
      <c r="AG41" s="37"/>
      <c r="AH41" s="37" t="s">
        <v>35</v>
      </c>
      <c r="AI41" s="37"/>
      <c r="AJ41" s="37" t="s">
        <v>36</v>
      </c>
      <c r="AK41" s="37"/>
      <c r="AL41" s="37" t="s">
        <v>37</v>
      </c>
      <c r="AM41" s="37"/>
      <c r="AN41" s="37" t="s">
        <v>38</v>
      </c>
      <c r="AO41" s="37"/>
      <c r="AP41" s="37" t="s">
        <v>39</v>
      </c>
      <c r="AQ41" s="37"/>
      <c r="AR41" s="37" t="s">
        <v>40</v>
      </c>
      <c r="AS41" s="37"/>
      <c r="AT41" s="37" t="s">
        <v>41</v>
      </c>
      <c r="AU41" s="37"/>
      <c r="AV41" s="37" t="s">
        <v>42</v>
      </c>
      <c r="AW41" s="37"/>
      <c r="AX41" s="146"/>
      <c r="AY41" s="33" t="s">
        <v>15</v>
      </c>
      <c r="AZ41" s="33" t="s">
        <v>16</v>
      </c>
      <c r="BA41" s="34" t="s">
        <v>17</v>
      </c>
      <c r="BB41" s="34" t="s">
        <v>55</v>
      </c>
      <c r="BC41" s="214"/>
      <c r="BD41" s="137" t="s">
        <v>56</v>
      </c>
      <c r="BE41" s="147">
        <f>MAX(BE9:BE39)</f>
        <v>54</v>
      </c>
      <c r="BF41" s="148"/>
      <c r="BG41" s="148"/>
      <c r="BH41" s="148"/>
      <c r="BI41" s="214"/>
    </row>
    <row r="42" spans="1:61" ht="21" customHeight="1" thickBot="1">
      <c r="A42" s="142"/>
      <c r="B42" s="234" t="s">
        <v>47</v>
      </c>
      <c r="C42" s="235" t="s">
        <v>48</v>
      </c>
      <c r="D42" s="204" t="s">
        <v>47</v>
      </c>
      <c r="E42" s="236" t="s">
        <v>48</v>
      </c>
      <c r="F42" s="204" t="s">
        <v>47</v>
      </c>
      <c r="G42" s="237" t="s">
        <v>48</v>
      </c>
      <c r="H42" s="204" t="s">
        <v>47</v>
      </c>
      <c r="I42" s="237" t="s">
        <v>48</v>
      </c>
      <c r="J42" s="204" t="s">
        <v>47</v>
      </c>
      <c r="K42" s="237" t="s">
        <v>48</v>
      </c>
      <c r="L42" s="204" t="s">
        <v>47</v>
      </c>
      <c r="M42" s="237" t="s">
        <v>48</v>
      </c>
      <c r="N42" s="204" t="s">
        <v>47</v>
      </c>
      <c r="O42" s="237" t="s">
        <v>48</v>
      </c>
      <c r="P42" s="204" t="s">
        <v>47</v>
      </c>
      <c r="Q42" s="237" t="s">
        <v>48</v>
      </c>
      <c r="R42" s="204" t="s">
        <v>47</v>
      </c>
      <c r="S42" s="237" t="s">
        <v>48</v>
      </c>
      <c r="T42" s="204" t="s">
        <v>47</v>
      </c>
      <c r="U42" s="237" t="s">
        <v>48</v>
      </c>
      <c r="V42" s="204" t="s">
        <v>47</v>
      </c>
      <c r="W42" s="237" t="s">
        <v>48</v>
      </c>
      <c r="X42" s="204" t="s">
        <v>47</v>
      </c>
      <c r="Y42" s="237" t="s">
        <v>48</v>
      </c>
      <c r="Z42" s="204" t="s">
        <v>47</v>
      </c>
      <c r="AA42" s="237" t="s">
        <v>48</v>
      </c>
      <c r="AB42" s="204" t="s">
        <v>47</v>
      </c>
      <c r="AC42" s="237" t="s">
        <v>48</v>
      </c>
      <c r="AD42" s="204" t="s">
        <v>47</v>
      </c>
      <c r="AE42" s="237" t="s">
        <v>48</v>
      </c>
      <c r="AF42" s="204" t="s">
        <v>47</v>
      </c>
      <c r="AG42" s="237" t="s">
        <v>48</v>
      </c>
      <c r="AH42" s="204" t="s">
        <v>47</v>
      </c>
      <c r="AI42" s="237" t="s">
        <v>48</v>
      </c>
      <c r="AJ42" s="204" t="s">
        <v>47</v>
      </c>
      <c r="AK42" s="205" t="s">
        <v>48</v>
      </c>
      <c r="AL42" s="204" t="s">
        <v>47</v>
      </c>
      <c r="AM42" s="237" t="s">
        <v>48</v>
      </c>
      <c r="AN42" s="204" t="s">
        <v>47</v>
      </c>
      <c r="AO42" s="237" t="s">
        <v>48</v>
      </c>
      <c r="AP42" s="204" t="s">
        <v>47</v>
      </c>
      <c r="AQ42" s="205" t="s">
        <v>48</v>
      </c>
      <c r="AR42" s="204" t="s">
        <v>47</v>
      </c>
      <c r="AS42" s="237" t="s">
        <v>48</v>
      </c>
      <c r="AT42" s="204" t="s">
        <v>47</v>
      </c>
      <c r="AU42" s="205" t="s">
        <v>48</v>
      </c>
      <c r="AV42" s="204" t="s">
        <v>47</v>
      </c>
      <c r="AW42" s="205" t="s">
        <v>48</v>
      </c>
      <c r="AX42" s="146"/>
      <c r="AY42" s="35" t="s">
        <v>57</v>
      </c>
      <c r="AZ42" s="35" t="s">
        <v>43</v>
      </c>
      <c r="BA42" s="35" t="s">
        <v>44</v>
      </c>
      <c r="BB42" s="35" t="s">
        <v>58</v>
      </c>
      <c r="BC42" s="214"/>
      <c r="BD42" s="137" t="s">
        <v>59</v>
      </c>
      <c r="BE42" s="70">
        <f>COUNTIF(BE9:BE39,"&gt;=1")</f>
        <v>4</v>
      </c>
      <c r="BF42" s="238"/>
      <c r="BG42" s="238"/>
      <c r="BH42" s="238"/>
      <c r="BI42" s="214"/>
    </row>
    <row r="43" spans="1:61" ht="21" customHeight="1" thickBot="1">
      <c r="A43" s="238" t="s">
        <v>60</v>
      </c>
      <c r="B43" s="154">
        <f>SUM(B9:B39)</f>
        <v>0.70000000000000007</v>
      </c>
      <c r="C43" s="154"/>
      <c r="D43" s="154">
        <f>SUM(D9:D39)</f>
        <v>0.1</v>
      </c>
      <c r="E43" s="154"/>
      <c r="F43" s="154">
        <f>SUM(F9:F39)</f>
        <v>4</v>
      </c>
      <c r="G43" s="154"/>
      <c r="H43" s="154">
        <f>SUM(H9:H39)</f>
        <v>50.4</v>
      </c>
      <c r="I43" s="154"/>
      <c r="J43" s="154">
        <f>SUM(J9:J39)</f>
        <v>1.4</v>
      </c>
      <c r="K43" s="154"/>
      <c r="L43" s="154">
        <f>SUM(L9:L39)</f>
        <v>0.7</v>
      </c>
      <c r="M43" s="154"/>
      <c r="N43" s="154">
        <f>SUM(N9:N39)</f>
        <v>0.30000000000000004</v>
      </c>
      <c r="O43" s="154"/>
      <c r="P43" s="154">
        <f>SUM(P9:P39)</f>
        <v>0.3</v>
      </c>
      <c r="Q43" s="154"/>
      <c r="R43" s="154">
        <f>SUM(R9:R39)</f>
        <v>0.4</v>
      </c>
      <c r="S43" s="154"/>
      <c r="T43" s="154">
        <f>SUM(T9:T39)</f>
        <v>0</v>
      </c>
      <c r="U43" s="154"/>
      <c r="V43" s="154">
        <f>SUM(V9:V39)</f>
        <v>0</v>
      </c>
      <c r="W43" s="154"/>
      <c r="X43" s="154">
        <f>SUM(X9:X39)</f>
        <v>0</v>
      </c>
      <c r="Y43" s="154"/>
      <c r="Z43" s="154">
        <f>SUM(Z9:Z39)</f>
        <v>0</v>
      </c>
      <c r="AA43" s="154"/>
      <c r="AB43" s="154">
        <f>SUM(AB9:AB39)</f>
        <v>0</v>
      </c>
      <c r="AC43" s="154"/>
      <c r="AD43" s="154">
        <f>SUM(AD9:AD39)</f>
        <v>0</v>
      </c>
      <c r="AE43" s="154"/>
      <c r="AF43" s="154">
        <f>SUM(AF9:AF39)</f>
        <v>9.1999999999999993</v>
      </c>
      <c r="AG43" s="154"/>
      <c r="AH43" s="154">
        <f>SUM(AH9:AH39)</f>
        <v>5.4</v>
      </c>
      <c r="AI43" s="154"/>
      <c r="AJ43" s="154">
        <f>SUM(AJ9:AJ39)</f>
        <v>0.4</v>
      </c>
      <c r="AK43" s="154"/>
      <c r="AL43" s="154">
        <f>SUM(AL9:AL39)</f>
        <v>0.2</v>
      </c>
      <c r="AM43" s="154"/>
      <c r="AN43" s="154">
        <f>SUM(AN9:AN39)</f>
        <v>2.8</v>
      </c>
      <c r="AO43" s="154"/>
      <c r="AP43" s="154">
        <f>SUM(AP9:AP39)</f>
        <v>0.4</v>
      </c>
      <c r="AQ43" s="154"/>
      <c r="AR43" s="154">
        <f>SUM(AR9:AR39)</f>
        <v>2.2000000000000002</v>
      </c>
      <c r="AS43" s="154"/>
      <c r="AT43" s="154">
        <f>SUM(AT9:AT39)</f>
        <v>1.5</v>
      </c>
      <c r="AU43" s="154"/>
      <c r="AV43" s="154">
        <f>SUM(AV9:AV39)</f>
        <v>0.5</v>
      </c>
      <c r="AW43" s="154"/>
      <c r="AX43" s="146"/>
      <c r="AY43" s="53" t="s">
        <v>49</v>
      </c>
      <c r="AZ43" s="53" t="s">
        <v>50</v>
      </c>
      <c r="BA43" s="54" t="s">
        <v>51</v>
      </c>
      <c r="BB43" s="54" t="s">
        <v>61</v>
      </c>
      <c r="BC43" s="214"/>
      <c r="BD43" s="137"/>
      <c r="BE43" s="70"/>
      <c r="BF43" s="238"/>
      <c r="BG43" s="238"/>
      <c r="BH43" s="238"/>
      <c r="BI43" s="214"/>
    </row>
    <row r="44" spans="1:61" s="161" customFormat="1" ht="21" customHeight="1" thickBot="1">
      <c r="A44" s="238" t="s">
        <v>62</v>
      </c>
      <c r="B44" s="155"/>
      <c r="C44" s="155">
        <f>SUM(C9:C39)</f>
        <v>35</v>
      </c>
      <c r="D44" s="155"/>
      <c r="E44" s="155">
        <f>SUM(E9:E39)</f>
        <v>5</v>
      </c>
      <c r="F44" s="155"/>
      <c r="G44" s="155">
        <f>SUM(G9:G39)</f>
        <v>95</v>
      </c>
      <c r="H44" s="155"/>
      <c r="I44" s="155">
        <f>SUM(I9:I39)</f>
        <v>75</v>
      </c>
      <c r="J44" s="155"/>
      <c r="K44" s="155">
        <f>SUM(K9:K39)</f>
        <v>85</v>
      </c>
      <c r="L44" s="155"/>
      <c r="M44" s="155">
        <f>SUM(M9:M39)</f>
        <v>45</v>
      </c>
      <c r="N44" s="155"/>
      <c r="O44" s="155">
        <f>SUM(O9:O39)</f>
        <v>130</v>
      </c>
      <c r="P44" s="155"/>
      <c r="Q44" s="155">
        <f>SUM(Q9:Q39)</f>
        <v>35</v>
      </c>
      <c r="R44" s="155"/>
      <c r="S44" s="155">
        <f>SUM(S9:S39)</f>
        <v>40</v>
      </c>
      <c r="T44" s="155"/>
      <c r="U44" s="155">
        <f>SUM(U9:U39)</f>
        <v>0</v>
      </c>
      <c r="V44" s="155"/>
      <c r="W44" s="155">
        <f>SUM(W9:W39)</f>
        <v>0</v>
      </c>
      <c r="X44" s="155"/>
      <c r="Y44" s="155">
        <f>SUM(Y9:Y39)</f>
        <v>0</v>
      </c>
      <c r="Z44" s="155"/>
      <c r="AA44" s="155">
        <f>SUM(AA9:AA39)</f>
        <v>0</v>
      </c>
      <c r="AB44" s="155"/>
      <c r="AC44" s="155">
        <f>SUM(AC9:AC39)</f>
        <v>0</v>
      </c>
      <c r="AD44" s="155"/>
      <c r="AE44" s="155">
        <f>SUM(AE9:AE39)</f>
        <v>0</v>
      </c>
      <c r="AF44" s="155"/>
      <c r="AG44" s="155">
        <f>SUM(AG9:AG39)</f>
        <v>35</v>
      </c>
      <c r="AH44" s="155"/>
      <c r="AI44" s="155">
        <f>SUM(AI9:AI39)</f>
        <v>15</v>
      </c>
      <c r="AJ44" s="155"/>
      <c r="AK44" s="155">
        <f>SUM(AK9:AK39)</f>
        <v>5</v>
      </c>
      <c r="AL44" s="155"/>
      <c r="AM44" s="155">
        <f>SUM(AM9:AM39)</f>
        <v>10</v>
      </c>
      <c r="AN44" s="155"/>
      <c r="AO44" s="155">
        <f>SUM(AO9:AO39)</f>
        <v>70</v>
      </c>
      <c r="AP44" s="155"/>
      <c r="AQ44" s="155">
        <f>SUM(AQ9:AQ39)</f>
        <v>80</v>
      </c>
      <c r="AR44" s="155"/>
      <c r="AS44" s="155">
        <f>SUM(AS9:AS39)</f>
        <v>55</v>
      </c>
      <c r="AT44" s="155"/>
      <c r="AU44" s="155">
        <f>SUM(AU9:AU39)</f>
        <v>65</v>
      </c>
      <c r="AV44" s="155"/>
      <c r="AW44" s="155">
        <f>SUM(AW9:AW39)</f>
        <v>20</v>
      </c>
      <c r="AX44" s="239"/>
      <c r="AY44" s="157">
        <f>AY9+AY10+AY11+AY12+AY13+AY14+AY15+AY16+AY17+AY18+AY19+AY20+AY21+AY22+AY23+AY24+AY25+AY26+AY27+AY28+AY29+AY30+AY31+AY32+AY33+AY34+AY35+AY36+AY37+AY38+AY39</f>
        <v>80.899999999999991</v>
      </c>
      <c r="AZ44" s="158">
        <f>AZ9+AZ10+AZ11+AZ12+AZ13+AZ14+AZ15+AZ16+AZ17+AZ18+AZ19+AZ20+AZ21+AZ22+AZ23+AZ24+AZ25+AZ26+AZ27+AZ28+AZ29+AZ30+AZ31+AZ32+AZ33+AZ34+AZ35+AZ36+AZ37+AZ38+AZ39</f>
        <v>900</v>
      </c>
      <c r="BA44" s="154">
        <f>MAX(BA9:BA39)</f>
        <v>50</v>
      </c>
      <c r="BB44" s="155">
        <f>SUM(BB8:BB39)</f>
        <v>37</v>
      </c>
      <c r="BC44" s="42"/>
      <c r="BD44" s="197"/>
      <c r="BE44" s="240"/>
      <c r="BF44" s="241"/>
      <c r="BG44" s="240"/>
      <c r="BH44" s="242"/>
      <c r="BI44" s="214"/>
    </row>
    <row r="45" spans="1:61" s="161" customFormat="1" ht="21" customHeight="1" thickBot="1">
      <c r="A45" s="238" t="s">
        <v>63</v>
      </c>
      <c r="B45" s="155">
        <f>COUNT(B9:B39)</f>
        <v>3</v>
      </c>
      <c r="C45" s="155"/>
      <c r="D45" s="155">
        <f>COUNT(D9:D39)</f>
        <v>1</v>
      </c>
      <c r="E45" s="155"/>
      <c r="F45" s="155">
        <f>COUNT(F9:F39)</f>
        <v>2</v>
      </c>
      <c r="G45" s="155"/>
      <c r="H45" s="286">
        <f>COUNT(H9:H39)</f>
        <v>2</v>
      </c>
      <c r="I45" s="155"/>
      <c r="J45" s="155">
        <f>COUNT(J9:J39)</f>
        <v>4</v>
      </c>
      <c r="K45" s="155"/>
      <c r="L45" s="155">
        <f>COUNT(L9:L39)</f>
        <v>3</v>
      </c>
      <c r="M45" s="155"/>
      <c r="N45" s="155">
        <f>COUNT(N9:N39)</f>
        <v>3</v>
      </c>
      <c r="O45" s="155"/>
      <c r="P45" s="155">
        <f>COUNT(P9:P39)</f>
        <v>1</v>
      </c>
      <c r="Q45" s="155"/>
      <c r="R45" s="155">
        <f>COUNT(R9:R39)</f>
        <v>1</v>
      </c>
      <c r="S45" s="155"/>
      <c r="T45" s="155">
        <f>COUNT(T9:T39)</f>
        <v>0</v>
      </c>
      <c r="U45" s="155"/>
      <c r="V45" s="155">
        <f>COUNT(V9:V39)</f>
        <v>0</v>
      </c>
      <c r="W45" s="155"/>
      <c r="X45" s="155">
        <f>COUNT(X9:X39)</f>
        <v>0</v>
      </c>
      <c r="Y45" s="155"/>
      <c r="Z45" s="155">
        <f>COUNT(Z9:Z39)</f>
        <v>0</v>
      </c>
      <c r="AA45" s="155"/>
      <c r="AB45" s="155">
        <f>COUNT(AB9:AB39)</f>
        <v>0</v>
      </c>
      <c r="AC45" s="155"/>
      <c r="AD45" s="155">
        <f>COUNT(AD9:AD39)</f>
        <v>0</v>
      </c>
      <c r="AE45" s="155"/>
      <c r="AF45" s="155">
        <f>COUNT(AF9:AF39)</f>
        <v>1</v>
      </c>
      <c r="AG45" s="155"/>
      <c r="AH45" s="155">
        <f>COUNT(AH9:AH39)</f>
        <v>1</v>
      </c>
      <c r="AI45" s="155"/>
      <c r="AJ45" s="155">
        <f>COUNT(AJ9:AJ39)</f>
        <v>1</v>
      </c>
      <c r="AK45" s="155"/>
      <c r="AL45" s="155">
        <f>COUNT(AL9:AL39)</f>
        <v>1</v>
      </c>
      <c r="AM45" s="155"/>
      <c r="AN45" s="155">
        <f>COUNT(AN9:AN39)</f>
        <v>4</v>
      </c>
      <c r="AO45" s="162"/>
      <c r="AP45" s="155">
        <f>COUNT(AP9:AP39)</f>
        <v>3</v>
      </c>
      <c r="AQ45" s="155"/>
      <c r="AR45" s="155">
        <f>COUNT(AR9:AR39)</f>
        <v>3</v>
      </c>
      <c r="AS45" s="155"/>
      <c r="AT45" s="155">
        <f>COUNT(AT9:AT39)</f>
        <v>2</v>
      </c>
      <c r="AU45" s="155"/>
      <c r="AV45" s="155">
        <f>COUNT(AV9:AV39)</f>
        <v>1</v>
      </c>
      <c r="AW45" s="155"/>
      <c r="AX45" s="243"/>
      <c r="AY45" s="164" t="s">
        <v>64</v>
      </c>
      <c r="AZ45" s="165" t="s">
        <v>65</v>
      </c>
      <c r="BA45" s="240"/>
      <c r="BB45" s="34" t="s">
        <v>66</v>
      </c>
      <c r="BC45" s="214"/>
      <c r="BD45" s="197"/>
      <c r="BE45" s="238"/>
      <c r="BF45" s="241"/>
      <c r="BG45" s="240"/>
      <c r="BH45" s="238"/>
      <c r="BI45" s="214"/>
    </row>
    <row r="46" spans="1:61" s="161" customFormat="1" ht="21" customHeight="1" thickBot="1">
      <c r="A46" s="196"/>
      <c r="B46" s="196"/>
      <c r="C46" s="196"/>
      <c r="D46" s="196"/>
      <c r="E46" s="196"/>
      <c r="F46" s="196"/>
      <c r="G46" s="196"/>
      <c r="H46" s="287"/>
      <c r="I46" s="196"/>
      <c r="J46" s="196"/>
      <c r="K46" s="196"/>
      <c r="L46" s="196"/>
      <c r="M46" s="196"/>
      <c r="N46" s="196"/>
      <c r="O46" s="196"/>
      <c r="P46" s="196"/>
      <c r="Q46" s="196"/>
      <c r="R46" s="196"/>
      <c r="S46" s="196"/>
      <c r="T46" s="196"/>
      <c r="U46" s="196"/>
      <c r="V46" s="196"/>
      <c r="W46" s="196"/>
      <c r="X46" s="196"/>
      <c r="Y46" s="196"/>
      <c r="Z46" s="196"/>
      <c r="AA46" s="196"/>
      <c r="AB46" s="196"/>
      <c r="AC46" s="196"/>
      <c r="AD46" s="196"/>
      <c r="AE46" s="196"/>
      <c r="AF46" s="196"/>
      <c r="AG46" s="196"/>
      <c r="AH46" s="196"/>
      <c r="AI46" s="196"/>
      <c r="AJ46" s="196"/>
      <c r="AK46" s="196"/>
      <c r="AL46" s="196"/>
      <c r="AM46" s="196"/>
      <c r="AN46" s="196"/>
      <c r="AO46" s="196"/>
      <c r="AP46" s="196"/>
      <c r="AQ46" s="196"/>
      <c r="AR46" s="196"/>
      <c r="AS46" s="196"/>
      <c r="AT46" s="196"/>
      <c r="AU46" s="196"/>
      <c r="AV46" s="196"/>
      <c r="AW46" s="31"/>
      <c r="AX46" s="244"/>
      <c r="AY46" s="157">
        <f>[1]ano!F44</f>
        <v>79.572907142857133</v>
      </c>
      <c r="AZ46" s="167"/>
      <c r="BA46" s="245"/>
      <c r="BB46" s="35" t="s">
        <v>58</v>
      </c>
      <c r="BC46" s="214"/>
      <c r="BD46" s="197"/>
      <c r="BE46" s="240"/>
      <c r="BF46" s="238"/>
      <c r="BG46" s="245"/>
      <c r="BH46" s="238"/>
      <c r="BI46" s="214"/>
    </row>
    <row r="47" spans="1:61" s="161" customFormat="1" ht="21" customHeight="1" thickBot="1">
      <c r="A47" s="246"/>
      <c r="B47" s="247" t="s">
        <v>67</v>
      </c>
      <c r="C47" s="248"/>
      <c r="D47" s="248"/>
      <c r="E47" s="248"/>
      <c r="F47" s="248"/>
      <c r="G47" s="248"/>
      <c r="H47" s="248"/>
      <c r="I47" s="248"/>
      <c r="J47" s="248"/>
      <c r="K47" s="248"/>
      <c r="L47" s="248"/>
      <c r="M47" s="248"/>
      <c r="N47" s="242"/>
      <c r="O47" s="242"/>
      <c r="P47" s="242"/>
      <c r="Q47" s="242"/>
      <c r="R47" s="242"/>
      <c r="S47" s="242"/>
      <c r="T47" s="242"/>
      <c r="U47" s="242"/>
      <c r="V47" s="242"/>
      <c r="W47" s="242"/>
      <c r="X47" s="242"/>
      <c r="Y47" s="242"/>
      <c r="Z47" s="242"/>
      <c r="AA47" s="242"/>
      <c r="AB47" s="242"/>
      <c r="AC47" s="242"/>
      <c r="AD47" s="242"/>
      <c r="AE47" s="242"/>
      <c r="AF47" s="242"/>
      <c r="AG47" s="242"/>
      <c r="AH47" s="242"/>
      <c r="AI47" s="242"/>
      <c r="AJ47" s="242"/>
      <c r="AK47" s="242"/>
      <c r="AL47" s="242"/>
      <c r="AM47" s="242"/>
      <c r="AN47" s="242"/>
      <c r="AO47" s="242"/>
      <c r="AP47" s="242"/>
      <c r="AQ47" s="242"/>
      <c r="AR47" s="242"/>
      <c r="AS47" s="242"/>
      <c r="AT47" s="242"/>
      <c r="AU47" s="242"/>
      <c r="AV47" s="242"/>
      <c r="AW47" s="242"/>
      <c r="AX47" s="249"/>
      <c r="AY47" s="26" t="s">
        <v>68</v>
      </c>
      <c r="AZ47" s="167"/>
      <c r="BA47" s="245"/>
      <c r="BB47" s="54" t="s">
        <v>61</v>
      </c>
      <c r="BC47" s="214"/>
      <c r="BD47" s="197"/>
      <c r="BE47" s="238"/>
      <c r="BF47" s="238"/>
      <c r="BG47" s="245"/>
      <c r="BH47" s="238"/>
      <c r="BI47" s="214"/>
    </row>
    <row r="48" spans="1:61" s="161" customFormat="1" ht="21" customHeight="1" thickBot="1">
      <c r="A48" s="245"/>
      <c r="B48" s="250" t="s">
        <v>69</v>
      </c>
      <c r="C48" s="245"/>
      <c r="D48" s="245"/>
      <c r="E48" s="245"/>
      <c r="F48" s="245"/>
      <c r="G48" s="245"/>
      <c r="H48" s="245"/>
      <c r="I48" s="245"/>
      <c r="J48" s="245"/>
      <c r="K48" s="245"/>
      <c r="L48" s="245"/>
      <c r="M48" s="245"/>
      <c r="N48" s="196"/>
      <c r="O48" s="196"/>
      <c r="P48" s="196"/>
      <c r="Q48" s="196"/>
      <c r="R48" s="196"/>
      <c r="S48" s="196"/>
      <c r="T48" s="196"/>
      <c r="U48" s="196"/>
      <c r="V48" s="196"/>
      <c r="W48" s="196"/>
      <c r="X48" s="196"/>
      <c r="Y48" s="196"/>
      <c r="Z48" s="196"/>
      <c r="AA48" s="196"/>
      <c r="AB48" s="196"/>
      <c r="AC48" s="196"/>
      <c r="AD48" s="196"/>
      <c r="AE48" s="196"/>
      <c r="AF48" s="196"/>
      <c r="AG48" s="196"/>
      <c r="AH48" s="196"/>
      <c r="AI48" s="196"/>
      <c r="AJ48" s="196"/>
      <c r="AK48" s="196"/>
      <c r="AL48" s="196"/>
      <c r="AM48" s="196"/>
      <c r="AN48" s="196"/>
      <c r="AO48" s="196"/>
      <c r="AP48" s="196"/>
      <c r="AQ48" s="196"/>
      <c r="AR48" s="196"/>
      <c r="AS48" s="196"/>
      <c r="AT48" s="196"/>
      <c r="AU48" s="196"/>
      <c r="AV48" s="196"/>
      <c r="AW48" s="196"/>
      <c r="AX48" s="178"/>
      <c r="AY48" s="157">
        <f>AY44-AY46</f>
        <v>1.3270928571428584</v>
      </c>
      <c r="AZ48" s="179"/>
      <c r="BA48" s="245"/>
      <c r="BB48" s="155">
        <f>SUM(BD9:BD39)</f>
        <v>14</v>
      </c>
      <c r="BC48" s="180"/>
      <c r="BD48" s="197"/>
      <c r="BE48" s="240"/>
      <c r="BF48" s="240"/>
      <c r="BG48" s="245"/>
      <c r="BH48" s="242"/>
      <c r="BI48" s="214"/>
    </row>
    <row r="49" spans="1:61" ht="24" customHeight="1">
      <c r="A49" s="1"/>
      <c r="B49" s="251" t="s">
        <v>71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245"/>
      <c r="AX49" s="1"/>
      <c r="AY49" s="1"/>
      <c r="AZ49" s="1"/>
      <c r="BA49" s="1"/>
      <c r="BB49" s="1"/>
      <c r="BC49" s="17"/>
      <c r="BD49" s="197"/>
      <c r="BE49" s="1"/>
      <c r="BF49" s="1"/>
      <c r="BG49" s="1"/>
      <c r="BH49" s="1"/>
      <c r="BI49" s="17"/>
    </row>
    <row r="50" spans="1:61" ht="23.25">
      <c r="A50" s="252"/>
      <c r="B50" s="252"/>
      <c r="C50" s="252"/>
      <c r="D50" s="252"/>
      <c r="E50" s="252"/>
      <c r="F50" s="252"/>
      <c r="G50" s="252"/>
      <c r="H50" s="252"/>
      <c r="I50" s="252"/>
      <c r="J50" s="252"/>
      <c r="K50" s="252"/>
      <c r="L50" s="252"/>
      <c r="M50" s="252"/>
      <c r="N50" s="252"/>
      <c r="O50" s="252"/>
      <c r="P50" s="252"/>
      <c r="Q50" s="252"/>
      <c r="R50" s="252"/>
      <c r="S50" s="252"/>
      <c r="T50" s="252"/>
      <c r="U50" s="252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61" s="189" customFormat="1" ht="18">
      <c r="A51" s="188"/>
      <c r="B51" s="188"/>
      <c r="C51" s="188"/>
      <c r="D51" s="188"/>
      <c r="E51" s="188"/>
      <c r="F51" s="188"/>
      <c r="G51" s="188"/>
      <c r="H51" s="188"/>
      <c r="I51" s="188"/>
      <c r="J51" s="188"/>
      <c r="K51" s="188"/>
      <c r="L51" s="188"/>
      <c r="M51" s="188"/>
      <c r="N51" s="188"/>
      <c r="O51" s="188"/>
      <c r="P51" s="188"/>
      <c r="Q51" s="188"/>
      <c r="R51" s="188"/>
      <c r="S51" s="188"/>
      <c r="T51" s="188"/>
      <c r="U51" s="188"/>
      <c r="V51" s="188"/>
      <c r="W51" s="188"/>
      <c r="X51" s="188"/>
      <c r="Y51" s="188"/>
      <c r="Z51" s="188"/>
      <c r="AA51" s="188"/>
      <c r="AB51" s="188"/>
      <c r="AC51" s="188"/>
      <c r="AD51" s="188"/>
      <c r="AE51" s="188"/>
      <c r="AF51" s="188"/>
      <c r="AG51" s="188"/>
      <c r="AH51" s="188"/>
      <c r="AI51" s="188"/>
      <c r="AJ51" s="188"/>
      <c r="AK51" s="188"/>
      <c r="AL51" s="188"/>
      <c r="AM51" s="188"/>
      <c r="AN51" s="188"/>
      <c r="AO51" s="188"/>
      <c r="AP51" s="188"/>
      <c r="AQ51" s="188"/>
      <c r="AR51" s="188"/>
      <c r="AS51" s="188"/>
      <c r="AT51" s="188"/>
      <c r="AU51" s="188"/>
      <c r="AV51" s="188"/>
      <c r="BD51" s="191"/>
    </row>
    <row r="52" spans="1:61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61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1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1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1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12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1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1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</sheetData>
  <sheetProtection selectLockedCells="1" selectUnlockedCells="1"/>
  <mergeCells count="51">
    <mergeCell ref="AV41:AW41"/>
    <mergeCell ref="AJ41:AK41"/>
    <mergeCell ref="AL41:AM41"/>
    <mergeCell ref="AN41:AO41"/>
    <mergeCell ref="AP41:AQ41"/>
    <mergeCell ref="AR41:AS41"/>
    <mergeCell ref="AT41:AU41"/>
    <mergeCell ref="X41:Y41"/>
    <mergeCell ref="Z41:AA41"/>
    <mergeCell ref="AB41:AC41"/>
    <mergeCell ref="AD41:AE41"/>
    <mergeCell ref="AF41:AG41"/>
    <mergeCell ref="AH41:AI41"/>
    <mergeCell ref="L41:M41"/>
    <mergeCell ref="N41:O41"/>
    <mergeCell ref="P41:Q41"/>
    <mergeCell ref="R41:S41"/>
    <mergeCell ref="T41:U41"/>
    <mergeCell ref="V41:W41"/>
    <mergeCell ref="AN7:AO7"/>
    <mergeCell ref="AP7:AQ7"/>
    <mergeCell ref="AR7:AS7"/>
    <mergeCell ref="AT7:AU7"/>
    <mergeCell ref="AV7:AW7"/>
    <mergeCell ref="B41:C41"/>
    <mergeCell ref="D41:E41"/>
    <mergeCell ref="F41:G41"/>
    <mergeCell ref="H41:I41"/>
    <mergeCell ref="J41:K41"/>
    <mergeCell ref="AB7:AC7"/>
    <mergeCell ref="AD7:AE7"/>
    <mergeCell ref="AF7:AG7"/>
    <mergeCell ref="AH7:AI7"/>
    <mergeCell ref="AJ7:AK7"/>
    <mergeCell ref="AL7:AM7"/>
    <mergeCell ref="P7:Q7"/>
    <mergeCell ref="R7:S7"/>
    <mergeCell ref="T7:U7"/>
    <mergeCell ref="V7:W7"/>
    <mergeCell ref="X7:Y7"/>
    <mergeCell ref="Z7:AA7"/>
    <mergeCell ref="AY4:BB4"/>
    <mergeCell ref="BE4:BH4"/>
    <mergeCell ref="AY5:BB5"/>
    <mergeCell ref="B7:C7"/>
    <mergeCell ref="D7:E7"/>
    <mergeCell ref="F7:G7"/>
    <mergeCell ref="H7:I7"/>
    <mergeCell ref="J7:K7"/>
    <mergeCell ref="L7:M7"/>
    <mergeCell ref="N7:O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BI58"/>
  <sheetViews>
    <sheetView showGridLines="0" defaultGridColor="0" colorId="8" zoomScale="60" zoomScaleNormal="60" workbookViewId="0">
      <selection activeCell="B5" sqref="B5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193" customWidth="1"/>
    <col min="57" max="58" width="13.140625" customWidth="1"/>
    <col min="59" max="59" width="12.42578125" customWidth="1"/>
    <col min="60" max="60" width="14.42578125" customWidth="1"/>
  </cols>
  <sheetData>
    <row r="1" spans="1:61" s="6" customFormat="1" ht="21" customHeight="1">
      <c r="A1" s="1"/>
      <c r="B1" s="2" t="s">
        <v>79</v>
      </c>
      <c r="C1" s="3"/>
      <c r="D1" s="1"/>
      <c r="E1" s="1"/>
      <c r="F1" s="1"/>
      <c r="G1" s="288"/>
      <c r="H1" s="288"/>
      <c r="I1" s="288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1"/>
      <c r="B2" s="7" t="s">
        <v>77</v>
      </c>
      <c r="C2" s="8"/>
      <c r="D2" s="8"/>
      <c r="E2" s="8"/>
      <c r="F2" s="9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</row>
    <row r="3" spans="1:61" s="6" customFormat="1" ht="21" customHeight="1" thickBot="1">
      <c r="A3" s="1"/>
      <c r="B3" s="194" t="s">
        <v>80</v>
      </c>
      <c r="C3" s="8"/>
      <c r="D3" s="8"/>
      <c r="E3" s="8"/>
      <c r="F3" s="9"/>
      <c r="G3" s="9"/>
      <c r="H3" s="1"/>
      <c r="I3" s="1"/>
      <c r="J3" s="1"/>
      <c r="K3" s="1"/>
      <c r="L3" s="1"/>
      <c r="M3" s="3" t="s">
        <v>8</v>
      </c>
      <c r="N3" s="1"/>
      <c r="O3" s="1"/>
      <c r="P3" s="1"/>
      <c r="Q3" s="1"/>
      <c r="R3" s="1"/>
      <c r="S3" s="1"/>
      <c r="T3" s="1"/>
      <c r="U3" s="1"/>
      <c r="V3" s="1"/>
      <c r="W3" s="13"/>
      <c r="X3" s="13"/>
      <c r="Y3" s="13"/>
      <c r="Z3" s="13"/>
      <c r="AA3" s="13"/>
      <c r="AB3" s="13"/>
      <c r="AC3" s="13"/>
      <c r="AD3" s="13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</row>
    <row r="4" spans="1:61" ht="21" customHeight="1" thickBot="1">
      <c r="A4" s="195"/>
      <c r="B4" s="196"/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  <c r="X4" s="196"/>
      <c r="Y4" s="196"/>
      <c r="Z4" s="196"/>
      <c r="AA4" s="196"/>
      <c r="AB4" s="196"/>
      <c r="AC4" s="196"/>
      <c r="AD4" s="196"/>
      <c r="AE4" s="196"/>
      <c r="AF4" s="196"/>
      <c r="AG4" s="196"/>
      <c r="AH4" s="196"/>
      <c r="AI4" s="196"/>
      <c r="AJ4" s="196"/>
      <c r="AK4" s="196"/>
      <c r="AL4" s="196"/>
      <c r="AM4" s="196"/>
      <c r="AN4" s="196"/>
      <c r="AO4" s="196"/>
      <c r="AP4" s="196"/>
      <c r="AQ4" s="196"/>
      <c r="AR4" s="196"/>
      <c r="AS4" s="196"/>
      <c r="AT4" s="196"/>
      <c r="AU4" s="196"/>
      <c r="AV4" s="196"/>
      <c r="AW4" s="196"/>
      <c r="AX4" s="196"/>
      <c r="AY4" s="18" t="s">
        <v>9</v>
      </c>
      <c r="AZ4" s="18"/>
      <c r="BA4" s="18"/>
      <c r="BB4" s="18"/>
      <c r="BC4" s="17"/>
      <c r="BD4" s="19"/>
      <c r="BE4" s="18" t="s">
        <v>9</v>
      </c>
      <c r="BF4" s="18"/>
      <c r="BG4" s="18"/>
      <c r="BH4" s="18"/>
    </row>
    <row r="5" spans="1:61" ht="21" customHeight="1" thickBo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"/>
      <c r="AS5" s="1"/>
      <c r="AT5" s="1"/>
      <c r="AU5" s="1"/>
      <c r="AV5" s="1"/>
      <c r="AW5" s="1"/>
      <c r="AX5" s="17"/>
      <c r="AY5" s="25" t="s">
        <v>11</v>
      </c>
      <c r="AZ5" s="25"/>
      <c r="BA5" s="25"/>
      <c r="BB5" s="25"/>
      <c r="BC5" s="17"/>
      <c r="BD5" s="19"/>
      <c r="BE5" s="26" t="s">
        <v>12</v>
      </c>
      <c r="BF5" s="27" t="s">
        <v>13</v>
      </c>
      <c r="BG5" s="28" t="s">
        <v>14</v>
      </c>
      <c r="BH5" s="29"/>
    </row>
    <row r="6" spans="1:61" ht="21" customHeight="1" thickBot="1">
      <c r="A6" s="30"/>
      <c r="B6" s="31"/>
      <c r="C6" s="32"/>
      <c r="D6" s="31"/>
      <c r="E6" s="32"/>
      <c r="F6" s="31"/>
      <c r="G6" s="32"/>
      <c r="H6" s="31"/>
      <c r="I6" s="32"/>
      <c r="J6" s="31"/>
      <c r="K6" s="32"/>
      <c r="L6" s="31"/>
      <c r="M6" s="32"/>
      <c r="N6" s="31"/>
      <c r="O6" s="32"/>
      <c r="P6" s="31"/>
      <c r="Q6" s="32"/>
      <c r="R6" s="31"/>
      <c r="S6" s="32"/>
      <c r="T6" s="31"/>
      <c r="U6" s="32"/>
      <c r="V6" s="31"/>
      <c r="W6" s="32"/>
      <c r="X6" s="31"/>
      <c r="Y6" s="32"/>
      <c r="Z6" s="31"/>
      <c r="AA6" s="32"/>
      <c r="AB6" s="31"/>
      <c r="AC6" s="32"/>
      <c r="AD6" s="31"/>
      <c r="AE6" s="32"/>
      <c r="AF6" s="31"/>
      <c r="AG6" s="32"/>
      <c r="AH6" s="31"/>
      <c r="AI6" s="32"/>
      <c r="AJ6" s="31"/>
      <c r="AK6" s="32"/>
      <c r="AL6" s="31"/>
      <c r="AM6" s="32"/>
      <c r="AN6" s="31"/>
      <c r="AO6" s="32"/>
      <c r="AP6" s="31"/>
      <c r="AQ6" s="32"/>
      <c r="AR6" s="31"/>
      <c r="AS6" s="32"/>
      <c r="AT6" s="31"/>
      <c r="AU6" s="32"/>
      <c r="AV6" s="31"/>
      <c r="AW6" s="32"/>
      <c r="AX6" s="31"/>
      <c r="AY6" s="33" t="s">
        <v>15</v>
      </c>
      <c r="AZ6" s="33" t="s">
        <v>16</v>
      </c>
      <c r="BA6" s="34" t="s">
        <v>17</v>
      </c>
      <c r="BB6" s="34"/>
      <c r="BC6" s="17"/>
      <c r="BD6" s="19"/>
      <c r="BE6" s="35" t="s">
        <v>15</v>
      </c>
      <c r="BF6" s="35"/>
      <c r="BG6" s="35" t="s">
        <v>17</v>
      </c>
      <c r="BH6" s="35"/>
    </row>
    <row r="7" spans="1:61" ht="21" customHeight="1" thickBot="1">
      <c r="A7" s="36" t="s">
        <v>18</v>
      </c>
      <c r="B7" s="37" t="s">
        <v>19</v>
      </c>
      <c r="C7" s="37"/>
      <c r="D7" s="38" t="s">
        <v>20</v>
      </c>
      <c r="E7" s="38"/>
      <c r="F7" s="37" t="s">
        <v>21</v>
      </c>
      <c r="G7" s="37"/>
      <c r="H7" s="37" t="s">
        <v>22</v>
      </c>
      <c r="I7" s="37"/>
      <c r="J7" s="39" t="s">
        <v>23</v>
      </c>
      <c r="K7" s="39"/>
      <c r="L7" s="37" t="s">
        <v>24</v>
      </c>
      <c r="M7" s="37"/>
      <c r="N7" s="37" t="s">
        <v>25</v>
      </c>
      <c r="O7" s="37"/>
      <c r="P7" s="37" t="s">
        <v>26</v>
      </c>
      <c r="Q7" s="37"/>
      <c r="R7" s="37" t="s">
        <v>27</v>
      </c>
      <c r="S7" s="37"/>
      <c r="T7" s="37" t="s">
        <v>28</v>
      </c>
      <c r="U7" s="37"/>
      <c r="V7" s="37" t="s">
        <v>29</v>
      </c>
      <c r="W7" s="37"/>
      <c r="X7" s="37" t="s">
        <v>30</v>
      </c>
      <c r="Y7" s="37"/>
      <c r="Z7" s="40" t="s">
        <v>31</v>
      </c>
      <c r="AA7" s="40"/>
      <c r="AB7" s="37" t="s">
        <v>32</v>
      </c>
      <c r="AC7" s="37"/>
      <c r="AD7" s="37" t="s">
        <v>33</v>
      </c>
      <c r="AE7" s="37"/>
      <c r="AF7" s="37" t="s">
        <v>34</v>
      </c>
      <c r="AG7" s="37"/>
      <c r="AH7" s="37" t="s">
        <v>35</v>
      </c>
      <c r="AI7" s="37"/>
      <c r="AJ7" s="37" t="s">
        <v>36</v>
      </c>
      <c r="AK7" s="37"/>
      <c r="AL7" s="37" t="s">
        <v>37</v>
      </c>
      <c r="AM7" s="37"/>
      <c r="AN7" s="37" t="s">
        <v>38</v>
      </c>
      <c r="AO7" s="37"/>
      <c r="AP7" s="37" t="s">
        <v>39</v>
      </c>
      <c r="AQ7" s="37"/>
      <c r="AR7" s="37" t="s">
        <v>40</v>
      </c>
      <c r="AS7" s="37"/>
      <c r="AT7" s="37" t="s">
        <v>41</v>
      </c>
      <c r="AU7" s="37"/>
      <c r="AV7" s="37" t="s">
        <v>42</v>
      </c>
      <c r="AW7" s="37"/>
      <c r="AX7" s="41" t="s">
        <v>18</v>
      </c>
      <c r="AY7" s="35" t="s">
        <v>43</v>
      </c>
      <c r="AZ7" s="35" t="s">
        <v>43</v>
      </c>
      <c r="BA7" s="35" t="s">
        <v>44</v>
      </c>
      <c r="BB7" s="35" t="s">
        <v>45</v>
      </c>
      <c r="BC7" s="42"/>
      <c r="BD7" s="197"/>
      <c r="BE7" s="35" t="s">
        <v>43</v>
      </c>
      <c r="BF7" s="35"/>
      <c r="BG7" s="35" t="s">
        <v>44</v>
      </c>
      <c r="BH7" s="35"/>
    </row>
    <row r="8" spans="1:61" ht="21" customHeight="1" thickBot="1">
      <c r="A8" s="43" t="s">
        <v>46</v>
      </c>
      <c r="B8" s="198" t="s">
        <v>47</v>
      </c>
      <c r="C8" s="199" t="s">
        <v>48</v>
      </c>
      <c r="D8" s="200" t="s">
        <v>47</v>
      </c>
      <c r="E8" s="201" t="s">
        <v>48</v>
      </c>
      <c r="F8" s="200" t="s">
        <v>47</v>
      </c>
      <c r="G8" s="202" t="s">
        <v>48</v>
      </c>
      <c r="H8" s="200" t="s">
        <v>47</v>
      </c>
      <c r="I8" s="202" t="s">
        <v>48</v>
      </c>
      <c r="J8" s="200" t="s">
        <v>47</v>
      </c>
      <c r="K8" s="202" t="s">
        <v>48</v>
      </c>
      <c r="L8" s="200" t="s">
        <v>47</v>
      </c>
      <c r="M8" s="202" t="s">
        <v>48</v>
      </c>
      <c r="N8" s="200" t="s">
        <v>47</v>
      </c>
      <c r="O8" s="202" t="s">
        <v>48</v>
      </c>
      <c r="P8" s="200" t="s">
        <v>47</v>
      </c>
      <c r="Q8" s="202" t="s">
        <v>48</v>
      </c>
      <c r="R8" s="200" t="s">
        <v>47</v>
      </c>
      <c r="S8" s="202" t="s">
        <v>48</v>
      </c>
      <c r="T8" s="200" t="s">
        <v>47</v>
      </c>
      <c r="U8" s="202" t="s">
        <v>48</v>
      </c>
      <c r="V8" s="200" t="s">
        <v>47</v>
      </c>
      <c r="W8" s="202" t="s">
        <v>48</v>
      </c>
      <c r="X8" s="200" t="s">
        <v>47</v>
      </c>
      <c r="Y8" s="202" t="s">
        <v>48</v>
      </c>
      <c r="Z8" s="200" t="s">
        <v>47</v>
      </c>
      <c r="AA8" s="202" t="s">
        <v>48</v>
      </c>
      <c r="AB8" s="200" t="s">
        <v>47</v>
      </c>
      <c r="AC8" s="202" t="s">
        <v>48</v>
      </c>
      <c r="AD8" s="200" t="s">
        <v>47</v>
      </c>
      <c r="AE8" s="202" t="s">
        <v>48</v>
      </c>
      <c r="AF8" s="200" t="s">
        <v>47</v>
      </c>
      <c r="AG8" s="202" t="s">
        <v>48</v>
      </c>
      <c r="AH8" s="200" t="s">
        <v>47</v>
      </c>
      <c r="AI8" s="202" t="s">
        <v>48</v>
      </c>
      <c r="AJ8" s="200" t="s">
        <v>47</v>
      </c>
      <c r="AK8" s="203" t="s">
        <v>48</v>
      </c>
      <c r="AL8" s="200" t="s">
        <v>47</v>
      </c>
      <c r="AM8" s="202" t="s">
        <v>48</v>
      </c>
      <c r="AN8" s="200" t="s">
        <v>47</v>
      </c>
      <c r="AO8" s="202" t="s">
        <v>48</v>
      </c>
      <c r="AP8" s="200" t="s">
        <v>47</v>
      </c>
      <c r="AQ8" s="203" t="s">
        <v>48</v>
      </c>
      <c r="AR8" s="200" t="s">
        <v>47</v>
      </c>
      <c r="AS8" s="202" t="s">
        <v>48</v>
      </c>
      <c r="AT8" s="204" t="s">
        <v>47</v>
      </c>
      <c r="AU8" s="205" t="s">
        <v>48</v>
      </c>
      <c r="AV8" s="204" t="s">
        <v>47</v>
      </c>
      <c r="AW8" s="205" t="s">
        <v>48</v>
      </c>
      <c r="AX8" s="52" t="s">
        <v>46</v>
      </c>
      <c r="AY8" s="53" t="s">
        <v>49</v>
      </c>
      <c r="AZ8" s="53" t="s">
        <v>50</v>
      </c>
      <c r="BA8" s="54" t="s">
        <v>51</v>
      </c>
      <c r="BB8" s="54" t="s">
        <v>52</v>
      </c>
      <c r="BC8" s="206"/>
      <c r="BD8" s="197"/>
      <c r="BE8" s="54" t="s">
        <v>49</v>
      </c>
      <c r="BF8" s="54"/>
      <c r="BG8" s="54" t="s">
        <v>51</v>
      </c>
      <c r="BH8" s="54" t="s">
        <v>52</v>
      </c>
    </row>
    <row r="9" spans="1:61" ht="21" customHeight="1" thickBot="1">
      <c r="A9" s="71">
        <v>1</v>
      </c>
      <c r="B9" s="256"/>
      <c r="C9" s="257"/>
      <c r="D9" s="258"/>
      <c r="E9" s="257"/>
      <c r="F9" s="258"/>
      <c r="G9" s="257"/>
      <c r="H9" s="258"/>
      <c r="I9" s="257"/>
      <c r="J9" s="258"/>
      <c r="K9" s="257"/>
      <c r="L9" s="258"/>
      <c r="M9" s="257"/>
      <c r="N9" s="258"/>
      <c r="O9" s="257"/>
      <c r="P9" s="258"/>
      <c r="Q9" s="257"/>
      <c r="R9" s="258"/>
      <c r="S9" s="257"/>
      <c r="T9" s="258"/>
      <c r="U9" s="257"/>
      <c r="V9" s="258"/>
      <c r="W9" s="257"/>
      <c r="X9" s="258"/>
      <c r="Y9" s="257"/>
      <c r="Z9" s="258"/>
      <c r="AA9" s="257"/>
      <c r="AB9" s="258"/>
      <c r="AC9" s="257"/>
      <c r="AD9" s="258"/>
      <c r="AE9" s="257"/>
      <c r="AF9" s="259"/>
      <c r="AG9" s="257"/>
      <c r="AH9" s="258"/>
      <c r="AI9" s="257"/>
      <c r="AJ9" s="258"/>
      <c r="AK9" s="260"/>
      <c r="AL9" s="256"/>
      <c r="AM9" s="261"/>
      <c r="AN9" s="256"/>
      <c r="AO9" s="261"/>
      <c r="AP9" s="256"/>
      <c r="AQ9" s="262"/>
      <c r="AR9" s="256"/>
      <c r="AS9" s="263"/>
      <c r="AT9" s="256"/>
      <c r="AU9" s="262"/>
      <c r="AV9" s="256"/>
      <c r="AW9" s="262"/>
      <c r="AX9" s="91">
        <v>1</v>
      </c>
      <c r="AY9" s="92">
        <f t="shared" ref="AY9:AZ39" si="0">B9+D9+F9+H9+J9+L9+N9+P9+R9+T9+V9+X9+Z9+AB9+AD9+AF9+AH9+AJ9+AL9+AN9+AP9+AR9+AT9+AV9</f>
        <v>0</v>
      </c>
      <c r="AZ9" s="93">
        <f t="shared" si="0"/>
        <v>0</v>
      </c>
      <c r="BA9" s="94">
        <f t="shared" ref="BA9:BA39" si="1">MAX(B9,D9,F9,H9,J9,L9,N9,P9,R9,T9,V9,X9,Z9,AB9,AD9,AF9,AH9,AJ9,AL9,AN9,AP9,AR9,AT9,AV9)</f>
        <v>0</v>
      </c>
      <c r="BB9" s="95">
        <f t="shared" ref="BB9:BB39" si="2">COUNT(B9,D9,F9,H9,J9,L9,N9,P9,R9,T9,V9,X9,Z9,AB9,AD9,AF9,AH9,AJ9,AL9,AN9,AP9,AR9,AT9,AV9)</f>
        <v>0</v>
      </c>
      <c r="BC9" s="214"/>
      <c r="BD9" s="197">
        <f t="shared" ref="BD9:BD39" si="3">IF(BB9&gt;0,1,0)</f>
        <v>0</v>
      </c>
      <c r="BE9" s="264">
        <f>abril!$BH40</f>
        <v>0</v>
      </c>
      <c r="BF9" s="85">
        <v>39202</v>
      </c>
      <c r="BG9" s="86">
        <f>maio!$BE10</f>
        <v>0</v>
      </c>
      <c r="BH9" s="87"/>
      <c r="BI9" s="197">
        <f>IF(BH9&gt;0,1,0)</f>
        <v>0</v>
      </c>
    </row>
    <row r="10" spans="1:61" ht="21" customHeight="1" thickBot="1">
      <c r="A10" s="71">
        <v>2</v>
      </c>
      <c r="B10" s="258"/>
      <c r="C10" s="257"/>
      <c r="D10" s="258"/>
      <c r="E10" s="257"/>
      <c r="F10" s="258"/>
      <c r="G10" s="257"/>
      <c r="H10" s="258"/>
      <c r="I10" s="257"/>
      <c r="J10" s="258"/>
      <c r="K10" s="257"/>
      <c r="L10" s="258"/>
      <c r="M10" s="257"/>
      <c r="N10" s="258"/>
      <c r="O10" s="257"/>
      <c r="P10" s="258"/>
      <c r="Q10" s="257"/>
      <c r="R10" s="258"/>
      <c r="S10" s="257"/>
      <c r="T10" s="258"/>
      <c r="U10" s="257"/>
      <c r="V10" s="258"/>
      <c r="W10" s="257"/>
      <c r="X10" s="258"/>
      <c r="Y10" s="257"/>
      <c r="Z10" s="258"/>
      <c r="AA10" s="257"/>
      <c r="AB10" s="258"/>
      <c r="AC10" s="257"/>
      <c r="AD10" s="258"/>
      <c r="AE10" s="257"/>
      <c r="AF10" s="258"/>
      <c r="AG10" s="257"/>
      <c r="AH10" s="258"/>
      <c r="AI10" s="257"/>
      <c r="AJ10" s="258"/>
      <c r="AK10" s="265"/>
      <c r="AL10" s="258"/>
      <c r="AM10" s="257"/>
      <c r="AN10" s="258"/>
      <c r="AO10" s="257"/>
      <c r="AP10" s="258"/>
      <c r="AQ10" s="265"/>
      <c r="AR10" s="258"/>
      <c r="AS10" s="257"/>
      <c r="AT10" s="258"/>
      <c r="AU10" s="265"/>
      <c r="AV10" s="258"/>
      <c r="AW10" s="265"/>
      <c r="AX10" s="91">
        <v>2</v>
      </c>
      <c r="AY10" s="92">
        <f t="shared" si="0"/>
        <v>0</v>
      </c>
      <c r="AZ10" s="93">
        <f t="shared" si="0"/>
        <v>0</v>
      </c>
      <c r="BA10" s="94">
        <f t="shared" si="1"/>
        <v>0</v>
      </c>
      <c r="BB10" s="95">
        <f t="shared" si="2"/>
        <v>0</v>
      </c>
      <c r="BC10" s="214"/>
      <c r="BD10" s="197">
        <f t="shared" si="3"/>
        <v>0</v>
      </c>
      <c r="BE10" s="84">
        <f>P9+R9+T9+V9+X9+Z9+AB9+AD9+AF9+AH9+AJ9+AL9+AN9+AP9+AR9+AT9+AV9+B10+D10+F10+H10+J10+L10+N10</f>
        <v>0</v>
      </c>
      <c r="BF10" s="96"/>
      <c r="BG10" s="86">
        <f>maio!$BE11</f>
        <v>0</v>
      </c>
      <c r="BH10" s="97"/>
      <c r="BI10" s="197">
        <f>IF(BH10&gt;0,1,0)</f>
        <v>0</v>
      </c>
    </row>
    <row r="11" spans="1:61" ht="21" customHeight="1">
      <c r="A11" s="71">
        <v>3</v>
      </c>
      <c r="B11" s="258"/>
      <c r="C11" s="257"/>
      <c r="D11" s="258"/>
      <c r="E11" s="257"/>
      <c r="F11" s="258"/>
      <c r="G11" s="257"/>
      <c r="H11" s="258"/>
      <c r="I11" s="257"/>
      <c r="J11" s="258"/>
      <c r="K11" s="257"/>
      <c r="L11" s="258"/>
      <c r="M11" s="257"/>
      <c r="N11" s="258"/>
      <c r="O11" s="257"/>
      <c r="P11" s="258"/>
      <c r="Q11" s="257"/>
      <c r="R11" s="258"/>
      <c r="S11" s="257"/>
      <c r="T11" s="258"/>
      <c r="U11" s="257"/>
      <c r="V11" s="258"/>
      <c r="W11" s="257"/>
      <c r="X11" s="258"/>
      <c r="Y11" s="257"/>
      <c r="Z11" s="258"/>
      <c r="AA11" s="257"/>
      <c r="AB11" s="258"/>
      <c r="AC11" s="257"/>
      <c r="AD11" s="258"/>
      <c r="AE11" s="257"/>
      <c r="AF11" s="258"/>
      <c r="AG11" s="257"/>
      <c r="AH11" s="258"/>
      <c r="AI11" s="257"/>
      <c r="AJ11" s="258"/>
      <c r="AK11" s="265"/>
      <c r="AL11" s="258"/>
      <c r="AM11" s="257"/>
      <c r="AN11" s="258"/>
      <c r="AO11" s="257"/>
      <c r="AP11" s="258"/>
      <c r="AQ11" s="265"/>
      <c r="AR11" s="258"/>
      <c r="AS11" s="257"/>
      <c r="AT11" s="258"/>
      <c r="AU11" s="265"/>
      <c r="AV11" s="258"/>
      <c r="AW11" s="265"/>
      <c r="AX11" s="91">
        <v>3</v>
      </c>
      <c r="AY11" s="92">
        <f t="shared" si="0"/>
        <v>0</v>
      </c>
      <c r="AZ11" s="93">
        <f t="shared" si="0"/>
        <v>0</v>
      </c>
      <c r="BA11" s="94">
        <f t="shared" si="1"/>
        <v>0</v>
      </c>
      <c r="BB11" s="95">
        <f t="shared" si="2"/>
        <v>0</v>
      </c>
      <c r="BC11" s="214"/>
      <c r="BD11" s="197">
        <f t="shared" si="3"/>
        <v>0</v>
      </c>
      <c r="BE11" s="98">
        <f t="shared" ref="BE11:BE38" si="4">P10+R10+T10+V10+X10+Z10+AB10+AD10+AF10+AH10+AJ10+AL10+AN10+AP10+AR10+AT10+AV10+B11+D11+F11+H11+J11+L11+N11</f>
        <v>0</v>
      </c>
      <c r="BF11" s="99"/>
      <c r="BG11" s="86">
        <f>maio!$BE12</f>
        <v>0</v>
      </c>
      <c r="BH11" s="97"/>
      <c r="BI11" s="197">
        <f t="shared" ref="BI11:BI39" si="5">IF(BH11&gt;0,1,0)</f>
        <v>0</v>
      </c>
    </row>
    <row r="12" spans="1:61" ht="21" customHeight="1">
      <c r="A12" s="71">
        <v>4</v>
      </c>
      <c r="B12" s="258"/>
      <c r="C12" s="257"/>
      <c r="D12" s="258"/>
      <c r="E12" s="257"/>
      <c r="F12" s="258"/>
      <c r="G12" s="257"/>
      <c r="H12" s="258"/>
      <c r="I12" s="257"/>
      <c r="J12" s="258"/>
      <c r="K12" s="257"/>
      <c r="L12" s="258"/>
      <c r="M12" s="257"/>
      <c r="N12" s="258"/>
      <c r="O12" s="257"/>
      <c r="P12" s="258"/>
      <c r="Q12" s="257"/>
      <c r="R12" s="258"/>
      <c r="S12" s="257"/>
      <c r="T12" s="258"/>
      <c r="U12" s="257"/>
      <c r="V12" s="258"/>
      <c r="W12" s="257"/>
      <c r="X12" s="258"/>
      <c r="Y12" s="257"/>
      <c r="Z12" s="258"/>
      <c r="AA12" s="257"/>
      <c r="AB12" s="258"/>
      <c r="AC12" s="257"/>
      <c r="AD12" s="258"/>
      <c r="AE12" s="257"/>
      <c r="AF12" s="258"/>
      <c r="AG12" s="257"/>
      <c r="AH12" s="258"/>
      <c r="AI12" s="257"/>
      <c r="AJ12" s="258"/>
      <c r="AK12" s="265"/>
      <c r="AL12" s="258"/>
      <c r="AM12" s="257"/>
      <c r="AN12" s="258"/>
      <c r="AO12" s="257"/>
      <c r="AP12" s="258"/>
      <c r="AQ12" s="265"/>
      <c r="AR12" s="258"/>
      <c r="AS12" s="257"/>
      <c r="AT12" s="258"/>
      <c r="AU12" s="265"/>
      <c r="AV12" s="258"/>
      <c r="AW12" s="265"/>
      <c r="AX12" s="91">
        <v>4</v>
      </c>
      <c r="AY12" s="92">
        <f t="shared" si="0"/>
        <v>0</v>
      </c>
      <c r="AZ12" s="93">
        <f t="shared" si="0"/>
        <v>0</v>
      </c>
      <c r="BA12" s="94">
        <f t="shared" si="1"/>
        <v>0</v>
      </c>
      <c r="BB12" s="95">
        <f t="shared" si="2"/>
        <v>0</v>
      </c>
      <c r="BC12" s="214"/>
      <c r="BD12" s="197">
        <f t="shared" si="3"/>
        <v>0</v>
      </c>
      <c r="BE12" s="98">
        <f t="shared" si="4"/>
        <v>0</v>
      </c>
      <c r="BF12" s="99"/>
      <c r="BG12" s="86">
        <f>maio!$BE13</f>
        <v>0</v>
      </c>
      <c r="BH12" s="97"/>
      <c r="BI12" s="197">
        <f t="shared" si="5"/>
        <v>0</v>
      </c>
    </row>
    <row r="13" spans="1:61" ht="21" customHeight="1">
      <c r="A13" s="71">
        <v>5</v>
      </c>
      <c r="B13" s="258"/>
      <c r="C13" s="257"/>
      <c r="D13" s="258"/>
      <c r="E13" s="257"/>
      <c r="F13" s="258"/>
      <c r="G13" s="257"/>
      <c r="H13" s="258"/>
      <c r="I13" s="257"/>
      <c r="J13" s="258"/>
      <c r="K13" s="257"/>
      <c r="L13" s="258"/>
      <c r="M13" s="257"/>
      <c r="N13" s="258"/>
      <c r="O13" s="257"/>
      <c r="P13" s="258"/>
      <c r="Q13" s="257"/>
      <c r="R13" s="258"/>
      <c r="S13" s="257"/>
      <c r="T13" s="258"/>
      <c r="U13" s="257"/>
      <c r="V13" s="258"/>
      <c r="W13" s="257"/>
      <c r="X13" s="258"/>
      <c r="Y13" s="257"/>
      <c r="Z13" s="258"/>
      <c r="AA13" s="257"/>
      <c r="AB13" s="258"/>
      <c r="AC13" s="257"/>
      <c r="AD13" s="258"/>
      <c r="AE13" s="257"/>
      <c r="AF13" s="258"/>
      <c r="AG13" s="257"/>
      <c r="AH13" s="258"/>
      <c r="AI13" s="257"/>
      <c r="AJ13" s="258"/>
      <c r="AK13" s="265"/>
      <c r="AL13" s="258"/>
      <c r="AM13" s="257"/>
      <c r="AN13" s="258"/>
      <c r="AO13" s="257"/>
      <c r="AP13" s="258"/>
      <c r="AQ13" s="265"/>
      <c r="AR13" s="258"/>
      <c r="AS13" s="257"/>
      <c r="AT13" s="258"/>
      <c r="AU13" s="265"/>
      <c r="AV13" s="258"/>
      <c r="AW13" s="265"/>
      <c r="AX13" s="91">
        <v>5</v>
      </c>
      <c r="AY13" s="92">
        <f t="shared" si="0"/>
        <v>0</v>
      </c>
      <c r="AZ13" s="93">
        <f t="shared" si="0"/>
        <v>0</v>
      </c>
      <c r="BA13" s="94">
        <f t="shared" si="1"/>
        <v>0</v>
      </c>
      <c r="BB13" s="95">
        <f t="shared" si="2"/>
        <v>0</v>
      </c>
      <c r="BC13" s="214"/>
      <c r="BD13" s="197">
        <f t="shared" si="3"/>
        <v>0</v>
      </c>
      <c r="BE13" s="98">
        <f t="shared" si="4"/>
        <v>0</v>
      </c>
      <c r="BF13" s="99"/>
      <c r="BG13" s="86">
        <f>maio!$BE14</f>
        <v>0</v>
      </c>
      <c r="BH13" s="97"/>
      <c r="BI13" s="197">
        <f t="shared" si="5"/>
        <v>0</v>
      </c>
    </row>
    <row r="14" spans="1:61" ht="21" customHeight="1">
      <c r="A14" s="71">
        <v>6</v>
      </c>
      <c r="B14" s="258"/>
      <c r="C14" s="257"/>
      <c r="D14" s="258"/>
      <c r="E14" s="257"/>
      <c r="F14" s="258"/>
      <c r="G14" s="257"/>
      <c r="H14" s="258"/>
      <c r="I14" s="257"/>
      <c r="J14" s="258"/>
      <c r="K14" s="257"/>
      <c r="L14" s="258"/>
      <c r="M14" s="257"/>
      <c r="N14" s="258"/>
      <c r="O14" s="257"/>
      <c r="P14" s="258"/>
      <c r="Q14" s="257"/>
      <c r="R14" s="258"/>
      <c r="S14" s="257"/>
      <c r="T14" s="258"/>
      <c r="U14" s="257"/>
      <c r="V14" s="258"/>
      <c r="W14" s="257"/>
      <c r="X14" s="258"/>
      <c r="Y14" s="257"/>
      <c r="Z14" s="258"/>
      <c r="AA14" s="257"/>
      <c r="AB14" s="258"/>
      <c r="AC14" s="257"/>
      <c r="AD14" s="258"/>
      <c r="AE14" s="257"/>
      <c r="AF14" s="258"/>
      <c r="AG14" s="257"/>
      <c r="AH14" s="258"/>
      <c r="AI14" s="257"/>
      <c r="AJ14" s="258"/>
      <c r="AK14" s="265"/>
      <c r="AL14" s="258"/>
      <c r="AM14" s="257"/>
      <c r="AN14" s="258"/>
      <c r="AO14" s="257"/>
      <c r="AP14" s="258"/>
      <c r="AQ14" s="265"/>
      <c r="AR14" s="258"/>
      <c r="AS14" s="257"/>
      <c r="AT14" s="258"/>
      <c r="AU14" s="265"/>
      <c r="AV14" s="258"/>
      <c r="AW14" s="265"/>
      <c r="AX14" s="91">
        <v>6</v>
      </c>
      <c r="AY14" s="92">
        <f t="shared" si="0"/>
        <v>0</v>
      </c>
      <c r="AZ14" s="93">
        <f t="shared" si="0"/>
        <v>0</v>
      </c>
      <c r="BA14" s="94">
        <f t="shared" si="1"/>
        <v>0</v>
      </c>
      <c r="BB14" s="95">
        <f t="shared" si="2"/>
        <v>0</v>
      </c>
      <c r="BC14" s="214"/>
      <c r="BD14" s="197">
        <f t="shared" si="3"/>
        <v>0</v>
      </c>
      <c r="BE14" s="98">
        <f t="shared" si="4"/>
        <v>0</v>
      </c>
      <c r="BF14" s="99"/>
      <c r="BG14" s="86">
        <f>maio!$BE15</f>
        <v>0</v>
      </c>
      <c r="BH14" s="97"/>
      <c r="BI14" s="197">
        <f t="shared" si="5"/>
        <v>0</v>
      </c>
    </row>
    <row r="15" spans="1:61" ht="21" customHeight="1">
      <c r="A15" s="71">
        <v>7</v>
      </c>
      <c r="B15" s="258"/>
      <c r="C15" s="257"/>
      <c r="D15" s="258"/>
      <c r="E15" s="257"/>
      <c r="F15" s="258"/>
      <c r="G15" s="257"/>
      <c r="H15" s="258"/>
      <c r="I15" s="257"/>
      <c r="J15" s="258"/>
      <c r="K15" s="257"/>
      <c r="L15" s="258"/>
      <c r="M15" s="257"/>
      <c r="N15" s="258"/>
      <c r="O15" s="257"/>
      <c r="P15" s="258"/>
      <c r="Q15" s="257"/>
      <c r="R15" s="258"/>
      <c r="S15" s="257"/>
      <c r="T15" s="258"/>
      <c r="U15" s="257"/>
      <c r="V15" s="258"/>
      <c r="W15" s="257"/>
      <c r="X15" s="258"/>
      <c r="Y15" s="257"/>
      <c r="Z15" s="258"/>
      <c r="AA15" s="257"/>
      <c r="AB15" s="258"/>
      <c r="AC15" s="257"/>
      <c r="AD15" s="258"/>
      <c r="AE15" s="257"/>
      <c r="AF15" s="258"/>
      <c r="AG15" s="257"/>
      <c r="AH15" s="258"/>
      <c r="AI15" s="257"/>
      <c r="AJ15" s="258"/>
      <c r="AK15" s="265"/>
      <c r="AL15" s="258"/>
      <c r="AM15" s="257"/>
      <c r="AN15" s="258"/>
      <c r="AO15" s="257"/>
      <c r="AP15" s="258"/>
      <c r="AQ15" s="265"/>
      <c r="AR15" s="258"/>
      <c r="AS15" s="257"/>
      <c r="AT15" s="258"/>
      <c r="AU15" s="265"/>
      <c r="AV15" s="258"/>
      <c r="AW15" s="265"/>
      <c r="AX15" s="91">
        <v>7</v>
      </c>
      <c r="AY15" s="92">
        <f t="shared" si="0"/>
        <v>0</v>
      </c>
      <c r="AZ15" s="93">
        <f t="shared" si="0"/>
        <v>0</v>
      </c>
      <c r="BA15" s="94">
        <f t="shared" si="1"/>
        <v>0</v>
      </c>
      <c r="BB15" s="95">
        <f t="shared" si="2"/>
        <v>0</v>
      </c>
      <c r="BC15" s="214"/>
      <c r="BD15" s="197">
        <f t="shared" si="3"/>
        <v>0</v>
      </c>
      <c r="BE15" s="98">
        <f t="shared" si="4"/>
        <v>0</v>
      </c>
      <c r="BF15" s="99"/>
      <c r="BG15" s="86">
        <f>maio!$BE16</f>
        <v>0</v>
      </c>
      <c r="BH15" s="97"/>
      <c r="BI15" s="197">
        <f t="shared" si="5"/>
        <v>0</v>
      </c>
    </row>
    <row r="16" spans="1:61" ht="21" customHeight="1">
      <c r="A16" s="71">
        <v>8</v>
      </c>
      <c r="B16" s="258"/>
      <c r="C16" s="257"/>
      <c r="D16" s="258"/>
      <c r="E16" s="257"/>
      <c r="F16" s="258"/>
      <c r="G16" s="257"/>
      <c r="H16" s="258"/>
      <c r="I16" s="257"/>
      <c r="J16" s="258"/>
      <c r="K16" s="257"/>
      <c r="L16" s="258"/>
      <c r="M16" s="257"/>
      <c r="N16" s="258"/>
      <c r="O16" s="257"/>
      <c r="P16" s="258"/>
      <c r="Q16" s="257"/>
      <c r="R16" s="258"/>
      <c r="S16" s="257"/>
      <c r="T16" s="258"/>
      <c r="U16" s="257"/>
      <c r="V16" s="258"/>
      <c r="W16" s="257"/>
      <c r="X16" s="258"/>
      <c r="Y16" s="257"/>
      <c r="Z16" s="258"/>
      <c r="AA16" s="257"/>
      <c r="AB16" s="258"/>
      <c r="AC16" s="257"/>
      <c r="AD16" s="258"/>
      <c r="AE16" s="257"/>
      <c r="AF16" s="258"/>
      <c r="AG16" s="257"/>
      <c r="AH16" s="258"/>
      <c r="AI16" s="257"/>
      <c r="AJ16" s="258"/>
      <c r="AK16" s="265"/>
      <c r="AL16" s="258"/>
      <c r="AM16" s="257"/>
      <c r="AN16" s="258"/>
      <c r="AO16" s="257"/>
      <c r="AP16" s="258"/>
      <c r="AQ16" s="265"/>
      <c r="AR16" s="258"/>
      <c r="AS16" s="257"/>
      <c r="AT16" s="258"/>
      <c r="AU16" s="265"/>
      <c r="AV16" s="258"/>
      <c r="AW16" s="265"/>
      <c r="AX16" s="91">
        <v>8</v>
      </c>
      <c r="AY16" s="92">
        <f t="shared" si="0"/>
        <v>0</v>
      </c>
      <c r="AZ16" s="93">
        <f t="shared" si="0"/>
        <v>0</v>
      </c>
      <c r="BA16" s="94">
        <f t="shared" si="1"/>
        <v>0</v>
      </c>
      <c r="BB16" s="95">
        <f t="shared" si="2"/>
        <v>0</v>
      </c>
      <c r="BC16" s="216"/>
      <c r="BD16" s="197">
        <f t="shared" si="3"/>
        <v>0</v>
      </c>
      <c r="BE16" s="98">
        <f t="shared" si="4"/>
        <v>0</v>
      </c>
      <c r="BF16" s="99"/>
      <c r="BG16" s="86">
        <f>maio!$BE17</f>
        <v>0</v>
      </c>
      <c r="BH16" s="97"/>
      <c r="BI16" s="197">
        <f t="shared" si="5"/>
        <v>0</v>
      </c>
    </row>
    <row r="17" spans="1:61" ht="21" customHeight="1">
      <c r="A17" s="71">
        <v>9</v>
      </c>
      <c r="B17" s="258"/>
      <c r="C17" s="257"/>
      <c r="D17" s="258"/>
      <c r="E17" s="257"/>
      <c r="F17" s="258"/>
      <c r="G17" s="257"/>
      <c r="H17" s="258"/>
      <c r="I17" s="257"/>
      <c r="J17" s="258"/>
      <c r="K17" s="257"/>
      <c r="L17" s="258"/>
      <c r="M17" s="257"/>
      <c r="N17" s="258"/>
      <c r="O17" s="257"/>
      <c r="P17" s="258"/>
      <c r="Q17" s="257"/>
      <c r="R17" s="258"/>
      <c r="S17" s="257"/>
      <c r="T17" s="258"/>
      <c r="U17" s="257"/>
      <c r="V17" s="258"/>
      <c r="W17" s="257"/>
      <c r="X17" s="258"/>
      <c r="Y17" s="257"/>
      <c r="Z17" s="258"/>
      <c r="AA17" s="257"/>
      <c r="AB17" s="258"/>
      <c r="AC17" s="257"/>
      <c r="AD17" s="258"/>
      <c r="AE17" s="257"/>
      <c r="AF17" s="258"/>
      <c r="AG17" s="257"/>
      <c r="AH17" s="258"/>
      <c r="AI17" s="257"/>
      <c r="AJ17" s="258"/>
      <c r="AK17" s="265"/>
      <c r="AL17" s="258"/>
      <c r="AM17" s="257"/>
      <c r="AN17" s="258">
        <v>0.2</v>
      </c>
      <c r="AO17" s="257">
        <v>5</v>
      </c>
      <c r="AP17" s="258"/>
      <c r="AQ17" s="265"/>
      <c r="AR17" s="258"/>
      <c r="AS17" s="257"/>
      <c r="AT17" s="258">
        <v>0.1</v>
      </c>
      <c r="AU17" s="265">
        <v>5</v>
      </c>
      <c r="AV17" s="258">
        <v>0.1</v>
      </c>
      <c r="AW17" s="265">
        <v>10</v>
      </c>
      <c r="AX17" s="91">
        <v>9</v>
      </c>
      <c r="AY17" s="92">
        <f t="shared" si="0"/>
        <v>0.4</v>
      </c>
      <c r="AZ17" s="93">
        <f t="shared" si="0"/>
        <v>20</v>
      </c>
      <c r="BA17" s="94">
        <f t="shared" si="1"/>
        <v>0.2</v>
      </c>
      <c r="BB17" s="95">
        <f t="shared" si="2"/>
        <v>3</v>
      </c>
      <c r="BC17" s="216"/>
      <c r="BD17" s="197">
        <f t="shared" si="3"/>
        <v>1</v>
      </c>
      <c r="BE17" s="98">
        <f t="shared" si="4"/>
        <v>0</v>
      </c>
      <c r="BF17" s="99"/>
      <c r="BG17" s="86">
        <f>maio!$BE18</f>
        <v>0.4</v>
      </c>
      <c r="BH17" s="97"/>
      <c r="BI17" s="197">
        <f t="shared" si="5"/>
        <v>0</v>
      </c>
    </row>
    <row r="18" spans="1:61" ht="21" customHeight="1">
      <c r="A18" s="71">
        <v>10</v>
      </c>
      <c r="B18" s="258"/>
      <c r="C18" s="257"/>
      <c r="D18" s="258"/>
      <c r="E18" s="257"/>
      <c r="F18" s="258"/>
      <c r="G18" s="257"/>
      <c r="H18" s="258"/>
      <c r="I18" s="257"/>
      <c r="J18" s="258"/>
      <c r="K18" s="257"/>
      <c r="L18" s="258"/>
      <c r="M18" s="257"/>
      <c r="N18" s="258"/>
      <c r="O18" s="257"/>
      <c r="P18" s="258"/>
      <c r="Q18" s="257"/>
      <c r="R18" s="258"/>
      <c r="S18" s="257"/>
      <c r="T18" s="258"/>
      <c r="U18" s="257"/>
      <c r="V18" s="258"/>
      <c r="W18" s="257"/>
      <c r="X18" s="258"/>
      <c r="Y18" s="257"/>
      <c r="Z18" s="258"/>
      <c r="AA18" s="257"/>
      <c r="AB18" s="258"/>
      <c r="AC18" s="257"/>
      <c r="AD18" s="258"/>
      <c r="AE18" s="257"/>
      <c r="AF18" s="258"/>
      <c r="AG18" s="257"/>
      <c r="AH18" s="258"/>
      <c r="AI18" s="257"/>
      <c r="AJ18" s="258"/>
      <c r="AK18" s="265"/>
      <c r="AL18" s="258"/>
      <c r="AM18" s="257"/>
      <c r="AN18" s="258"/>
      <c r="AO18" s="257"/>
      <c r="AP18" s="258"/>
      <c r="AQ18" s="265"/>
      <c r="AR18" s="258"/>
      <c r="AS18" s="257"/>
      <c r="AT18" s="258"/>
      <c r="AU18" s="265"/>
      <c r="AV18" s="258"/>
      <c r="AW18" s="265"/>
      <c r="AX18" s="91">
        <v>10</v>
      </c>
      <c r="AY18" s="92">
        <f t="shared" si="0"/>
        <v>0</v>
      </c>
      <c r="AZ18" s="93">
        <f t="shared" si="0"/>
        <v>0</v>
      </c>
      <c r="BA18" s="94">
        <f t="shared" si="1"/>
        <v>0</v>
      </c>
      <c r="BB18" s="95">
        <f t="shared" si="2"/>
        <v>0</v>
      </c>
      <c r="BC18" s="214"/>
      <c r="BD18" s="197">
        <f t="shared" si="3"/>
        <v>0</v>
      </c>
      <c r="BE18" s="98">
        <f t="shared" si="4"/>
        <v>0.4</v>
      </c>
      <c r="BF18" s="99"/>
      <c r="BG18" s="86">
        <f>maio!$BE19</f>
        <v>0</v>
      </c>
      <c r="BH18" s="97"/>
      <c r="BI18" s="197">
        <f t="shared" si="5"/>
        <v>0</v>
      </c>
    </row>
    <row r="19" spans="1:61" ht="21" customHeight="1">
      <c r="A19" s="71">
        <v>11</v>
      </c>
      <c r="B19" s="258"/>
      <c r="C19" s="257"/>
      <c r="D19" s="258"/>
      <c r="E19" s="257"/>
      <c r="F19" s="258"/>
      <c r="G19" s="257"/>
      <c r="H19" s="258"/>
      <c r="I19" s="257"/>
      <c r="J19" s="258"/>
      <c r="K19" s="257"/>
      <c r="L19" s="258"/>
      <c r="M19" s="257"/>
      <c r="N19" s="258"/>
      <c r="O19" s="257"/>
      <c r="P19" s="258"/>
      <c r="Q19" s="257"/>
      <c r="R19" s="258"/>
      <c r="S19" s="257"/>
      <c r="T19" s="258"/>
      <c r="U19" s="257"/>
      <c r="V19" s="258"/>
      <c r="W19" s="257"/>
      <c r="X19" s="258"/>
      <c r="Y19" s="257"/>
      <c r="Z19" s="258"/>
      <c r="AA19" s="257"/>
      <c r="AB19" s="258"/>
      <c r="AC19" s="257"/>
      <c r="AD19" s="258"/>
      <c r="AE19" s="257"/>
      <c r="AF19" s="258"/>
      <c r="AG19" s="257"/>
      <c r="AH19" s="258"/>
      <c r="AI19" s="257"/>
      <c r="AJ19" s="258"/>
      <c r="AK19" s="265"/>
      <c r="AL19" s="258"/>
      <c r="AM19" s="257"/>
      <c r="AN19" s="258"/>
      <c r="AO19" s="257"/>
      <c r="AP19" s="258"/>
      <c r="AQ19" s="265"/>
      <c r="AR19" s="258"/>
      <c r="AS19" s="257"/>
      <c r="AT19" s="258"/>
      <c r="AU19" s="265"/>
      <c r="AV19" s="258"/>
      <c r="AW19" s="265"/>
      <c r="AX19" s="91">
        <v>11</v>
      </c>
      <c r="AY19" s="92">
        <f t="shared" si="0"/>
        <v>0</v>
      </c>
      <c r="AZ19" s="93">
        <f t="shared" si="0"/>
        <v>0</v>
      </c>
      <c r="BA19" s="94">
        <f t="shared" si="1"/>
        <v>0</v>
      </c>
      <c r="BB19" s="95">
        <f t="shared" si="2"/>
        <v>0</v>
      </c>
      <c r="BC19" s="214"/>
      <c r="BD19" s="197">
        <f t="shared" si="3"/>
        <v>0</v>
      </c>
      <c r="BE19" s="98">
        <f t="shared" si="4"/>
        <v>0</v>
      </c>
      <c r="BF19" s="99"/>
      <c r="BG19" s="86">
        <f>maio!$BE20</f>
        <v>0</v>
      </c>
      <c r="BH19" s="97"/>
      <c r="BI19" s="197">
        <f t="shared" si="5"/>
        <v>0</v>
      </c>
    </row>
    <row r="20" spans="1:61" ht="21" customHeight="1">
      <c r="A20" s="71">
        <v>12</v>
      </c>
      <c r="B20" s="258"/>
      <c r="C20" s="257"/>
      <c r="D20" s="258"/>
      <c r="E20" s="257"/>
      <c r="F20" s="258"/>
      <c r="G20" s="257"/>
      <c r="H20" s="258"/>
      <c r="I20" s="257"/>
      <c r="J20" s="258"/>
      <c r="K20" s="257"/>
      <c r="L20" s="258"/>
      <c r="M20" s="257"/>
      <c r="N20" s="258"/>
      <c r="O20" s="257"/>
      <c r="P20" s="258"/>
      <c r="Q20" s="257"/>
      <c r="R20" s="258"/>
      <c r="S20" s="257"/>
      <c r="T20" s="258"/>
      <c r="U20" s="257"/>
      <c r="V20" s="258"/>
      <c r="W20" s="257"/>
      <c r="X20" s="258"/>
      <c r="Y20" s="257"/>
      <c r="Z20" s="258"/>
      <c r="AA20" s="257"/>
      <c r="AB20" s="258"/>
      <c r="AC20" s="257"/>
      <c r="AD20" s="258"/>
      <c r="AE20" s="257"/>
      <c r="AF20" s="258"/>
      <c r="AG20" s="257"/>
      <c r="AH20" s="258"/>
      <c r="AI20" s="257"/>
      <c r="AJ20" s="258"/>
      <c r="AK20" s="265"/>
      <c r="AL20" s="258"/>
      <c r="AM20" s="257"/>
      <c r="AN20" s="258"/>
      <c r="AO20" s="257"/>
      <c r="AP20" s="258"/>
      <c r="AQ20" s="265"/>
      <c r="AR20" s="258"/>
      <c r="AS20" s="257"/>
      <c r="AT20" s="258"/>
      <c r="AU20" s="265"/>
      <c r="AV20" s="258"/>
      <c r="AW20" s="265"/>
      <c r="AX20" s="91">
        <v>12</v>
      </c>
      <c r="AY20" s="92">
        <f t="shared" si="0"/>
        <v>0</v>
      </c>
      <c r="AZ20" s="93">
        <f t="shared" si="0"/>
        <v>0</v>
      </c>
      <c r="BA20" s="94">
        <f t="shared" si="1"/>
        <v>0</v>
      </c>
      <c r="BB20" s="95">
        <f t="shared" si="2"/>
        <v>0</v>
      </c>
      <c r="BC20" s="214"/>
      <c r="BD20" s="197">
        <f t="shared" si="3"/>
        <v>0</v>
      </c>
      <c r="BE20" s="98">
        <f t="shared" si="4"/>
        <v>0</v>
      </c>
      <c r="BF20" s="99"/>
      <c r="BG20" s="86">
        <f>maio!$BE21</f>
        <v>0</v>
      </c>
      <c r="BH20" s="97"/>
      <c r="BI20" s="197">
        <f t="shared" si="5"/>
        <v>0</v>
      </c>
    </row>
    <row r="21" spans="1:61" ht="21" customHeight="1">
      <c r="A21" s="71">
        <v>13</v>
      </c>
      <c r="B21" s="258"/>
      <c r="C21" s="257"/>
      <c r="D21" s="258"/>
      <c r="E21" s="257"/>
      <c r="F21" s="258"/>
      <c r="G21" s="257"/>
      <c r="H21" s="258"/>
      <c r="I21" s="257"/>
      <c r="J21" s="258"/>
      <c r="K21" s="257"/>
      <c r="L21" s="258"/>
      <c r="M21" s="257"/>
      <c r="N21" s="258"/>
      <c r="O21" s="257"/>
      <c r="P21" s="258"/>
      <c r="Q21" s="257"/>
      <c r="R21" s="258"/>
      <c r="S21" s="257"/>
      <c r="T21" s="258"/>
      <c r="U21" s="257"/>
      <c r="V21" s="258"/>
      <c r="W21" s="257"/>
      <c r="X21" s="258"/>
      <c r="Y21" s="257"/>
      <c r="Z21" s="258"/>
      <c r="AA21" s="257"/>
      <c r="AB21" s="258"/>
      <c r="AC21" s="257"/>
      <c r="AD21" s="258"/>
      <c r="AE21" s="257"/>
      <c r="AF21" s="258"/>
      <c r="AG21" s="257"/>
      <c r="AH21" s="258"/>
      <c r="AI21" s="257"/>
      <c r="AJ21" s="258"/>
      <c r="AK21" s="265"/>
      <c r="AL21" s="258"/>
      <c r="AM21" s="257"/>
      <c r="AN21" s="258"/>
      <c r="AO21" s="257"/>
      <c r="AP21" s="258"/>
      <c r="AQ21" s="265"/>
      <c r="AR21" s="258"/>
      <c r="AS21" s="257"/>
      <c r="AT21" s="258"/>
      <c r="AU21" s="265"/>
      <c r="AV21" s="258"/>
      <c r="AW21" s="265"/>
      <c r="AX21" s="91">
        <v>13</v>
      </c>
      <c r="AY21" s="92">
        <f t="shared" si="0"/>
        <v>0</v>
      </c>
      <c r="AZ21" s="93">
        <f t="shared" si="0"/>
        <v>0</v>
      </c>
      <c r="BA21" s="94">
        <f t="shared" si="1"/>
        <v>0</v>
      </c>
      <c r="BB21" s="95">
        <f t="shared" si="2"/>
        <v>0</v>
      </c>
      <c r="BC21" s="214"/>
      <c r="BD21" s="197">
        <f t="shared" si="3"/>
        <v>0</v>
      </c>
      <c r="BE21" s="98">
        <f t="shared" si="4"/>
        <v>0</v>
      </c>
      <c r="BF21" s="99"/>
      <c r="BG21" s="86">
        <f>maio!$BE22</f>
        <v>0.30000000000000004</v>
      </c>
      <c r="BH21" s="97"/>
      <c r="BI21" s="197">
        <f t="shared" si="5"/>
        <v>0</v>
      </c>
    </row>
    <row r="22" spans="1:61" ht="21" customHeight="1">
      <c r="A22" s="102">
        <v>14</v>
      </c>
      <c r="B22" s="258"/>
      <c r="C22" s="257"/>
      <c r="D22" s="258"/>
      <c r="E22" s="257"/>
      <c r="F22" s="258"/>
      <c r="G22" s="257"/>
      <c r="H22" s="258"/>
      <c r="I22" s="257"/>
      <c r="J22" s="258">
        <v>0.2</v>
      </c>
      <c r="K22" s="257">
        <v>20</v>
      </c>
      <c r="L22" s="258">
        <v>0.1</v>
      </c>
      <c r="M22" s="257">
        <v>40</v>
      </c>
      <c r="N22" s="258"/>
      <c r="O22" s="257"/>
      <c r="P22" s="258"/>
      <c r="Q22" s="257"/>
      <c r="R22" s="258"/>
      <c r="S22" s="257"/>
      <c r="T22" s="258"/>
      <c r="U22" s="257"/>
      <c r="V22" s="258"/>
      <c r="W22" s="257"/>
      <c r="X22" s="258">
        <v>2.1</v>
      </c>
      <c r="Y22" s="257">
        <v>35</v>
      </c>
      <c r="Z22" s="258">
        <v>0.2</v>
      </c>
      <c r="AA22" s="257">
        <v>10</v>
      </c>
      <c r="AB22" s="258"/>
      <c r="AC22" s="257"/>
      <c r="AD22" s="258"/>
      <c r="AE22" s="257"/>
      <c r="AF22" s="258">
        <v>0.1</v>
      </c>
      <c r="AG22" s="257">
        <v>5</v>
      </c>
      <c r="AH22" s="258"/>
      <c r="AI22" s="257"/>
      <c r="AJ22" s="258"/>
      <c r="AK22" s="265"/>
      <c r="AL22" s="258"/>
      <c r="AM22" s="257"/>
      <c r="AN22" s="258"/>
      <c r="AO22" s="257"/>
      <c r="AP22" s="258"/>
      <c r="AQ22" s="265"/>
      <c r="AR22" s="258"/>
      <c r="AS22" s="257"/>
      <c r="AT22" s="258"/>
      <c r="AU22" s="265"/>
      <c r="AV22" s="258"/>
      <c r="AW22" s="265"/>
      <c r="AX22" s="91">
        <v>14</v>
      </c>
      <c r="AY22" s="92">
        <f t="shared" si="0"/>
        <v>2.7000000000000006</v>
      </c>
      <c r="AZ22" s="93">
        <f t="shared" si="0"/>
        <v>110</v>
      </c>
      <c r="BA22" s="94">
        <f t="shared" si="1"/>
        <v>2.1</v>
      </c>
      <c r="BB22" s="95">
        <f t="shared" si="2"/>
        <v>5</v>
      </c>
      <c r="BC22" s="214"/>
      <c r="BD22" s="197">
        <f t="shared" si="3"/>
        <v>1</v>
      </c>
      <c r="BE22" s="98">
        <f t="shared" si="4"/>
        <v>0.30000000000000004</v>
      </c>
      <c r="BF22" s="99"/>
      <c r="BG22" s="86">
        <f>maio!$BE23</f>
        <v>2.4000000000000004</v>
      </c>
      <c r="BH22" s="97"/>
      <c r="BI22" s="197">
        <f t="shared" si="5"/>
        <v>0</v>
      </c>
    </row>
    <row r="23" spans="1:61" ht="21" customHeight="1">
      <c r="A23" s="71">
        <v>15</v>
      </c>
      <c r="B23" s="258"/>
      <c r="C23" s="257"/>
      <c r="D23" s="258"/>
      <c r="E23" s="257"/>
      <c r="F23" s="258"/>
      <c r="G23" s="257"/>
      <c r="H23" s="258"/>
      <c r="I23" s="257"/>
      <c r="J23" s="258"/>
      <c r="K23" s="257"/>
      <c r="L23" s="258"/>
      <c r="M23" s="257"/>
      <c r="N23" s="258"/>
      <c r="O23" s="257"/>
      <c r="P23" s="258"/>
      <c r="Q23" s="257"/>
      <c r="R23" s="258"/>
      <c r="S23" s="257"/>
      <c r="T23" s="258"/>
      <c r="U23" s="257"/>
      <c r="V23" s="258"/>
      <c r="W23" s="257"/>
      <c r="X23" s="258"/>
      <c r="Y23" s="257"/>
      <c r="Z23" s="258">
        <v>0.1</v>
      </c>
      <c r="AA23" s="257">
        <v>10</v>
      </c>
      <c r="AB23" s="258"/>
      <c r="AC23" s="257"/>
      <c r="AD23" s="258"/>
      <c r="AE23" s="257"/>
      <c r="AF23" s="258"/>
      <c r="AG23" s="257"/>
      <c r="AH23" s="258"/>
      <c r="AI23" s="257"/>
      <c r="AJ23" s="258"/>
      <c r="AK23" s="265"/>
      <c r="AL23" s="258"/>
      <c r="AM23" s="257"/>
      <c r="AN23" s="258"/>
      <c r="AO23" s="257"/>
      <c r="AP23" s="258"/>
      <c r="AQ23" s="265"/>
      <c r="AR23" s="258"/>
      <c r="AS23" s="257"/>
      <c r="AT23" s="258"/>
      <c r="AU23" s="265"/>
      <c r="AV23" s="258"/>
      <c r="AW23" s="265"/>
      <c r="AX23" s="91">
        <v>15</v>
      </c>
      <c r="AY23" s="92">
        <f t="shared" si="0"/>
        <v>0.1</v>
      </c>
      <c r="AZ23" s="93">
        <f t="shared" si="0"/>
        <v>10</v>
      </c>
      <c r="BA23" s="94">
        <f t="shared" si="1"/>
        <v>0.1</v>
      </c>
      <c r="BB23" s="95">
        <f t="shared" si="2"/>
        <v>1</v>
      </c>
      <c r="BC23" s="214"/>
      <c r="BD23" s="197">
        <f t="shared" si="3"/>
        <v>1</v>
      </c>
      <c r="BE23" s="98">
        <f t="shared" si="4"/>
        <v>2.4000000000000004</v>
      </c>
      <c r="BF23" s="99"/>
      <c r="BG23" s="86">
        <f>maio!$BE24</f>
        <v>0.1</v>
      </c>
      <c r="BH23" s="97"/>
      <c r="BI23" s="197">
        <f t="shared" si="5"/>
        <v>0</v>
      </c>
    </row>
    <row r="24" spans="1:61" ht="21" customHeight="1">
      <c r="A24" s="71">
        <v>16</v>
      </c>
      <c r="B24" s="258"/>
      <c r="C24" s="257"/>
      <c r="D24" s="258"/>
      <c r="E24" s="257"/>
      <c r="F24" s="258"/>
      <c r="G24" s="257"/>
      <c r="H24" s="258"/>
      <c r="I24" s="257"/>
      <c r="J24" s="258"/>
      <c r="K24" s="257"/>
      <c r="L24" s="258"/>
      <c r="M24" s="257"/>
      <c r="N24" s="258"/>
      <c r="O24" s="257"/>
      <c r="P24" s="258"/>
      <c r="Q24" s="257"/>
      <c r="R24" s="258"/>
      <c r="S24" s="257"/>
      <c r="T24" s="258"/>
      <c r="U24" s="257"/>
      <c r="V24" s="258"/>
      <c r="W24" s="257"/>
      <c r="X24" s="258"/>
      <c r="Y24" s="257"/>
      <c r="Z24" s="258"/>
      <c r="AA24" s="257"/>
      <c r="AB24" s="258"/>
      <c r="AC24" s="257"/>
      <c r="AD24" s="258"/>
      <c r="AE24" s="257"/>
      <c r="AF24" s="258"/>
      <c r="AG24" s="257"/>
      <c r="AH24" s="258"/>
      <c r="AI24" s="257"/>
      <c r="AJ24" s="258"/>
      <c r="AK24" s="265"/>
      <c r="AL24" s="258"/>
      <c r="AM24" s="257"/>
      <c r="AN24" s="258"/>
      <c r="AO24" s="257"/>
      <c r="AP24" s="258"/>
      <c r="AQ24" s="265"/>
      <c r="AR24" s="258"/>
      <c r="AS24" s="257"/>
      <c r="AT24" s="258"/>
      <c r="AU24" s="265"/>
      <c r="AV24" s="258"/>
      <c r="AW24" s="265"/>
      <c r="AX24" s="91">
        <v>16</v>
      </c>
      <c r="AY24" s="92">
        <f t="shared" si="0"/>
        <v>0</v>
      </c>
      <c r="AZ24" s="93">
        <f t="shared" si="0"/>
        <v>0</v>
      </c>
      <c r="BA24" s="94">
        <f t="shared" si="1"/>
        <v>0</v>
      </c>
      <c r="BB24" s="95">
        <f t="shared" si="2"/>
        <v>0</v>
      </c>
      <c r="BC24" s="214"/>
      <c r="BD24" s="197">
        <f t="shared" si="3"/>
        <v>0</v>
      </c>
      <c r="BE24" s="98">
        <f t="shared" si="4"/>
        <v>0.1</v>
      </c>
      <c r="BF24" s="99"/>
      <c r="BG24" s="86">
        <f>maio!$BE25</f>
        <v>0</v>
      </c>
      <c r="BH24" s="97"/>
      <c r="BI24" s="197">
        <f t="shared" si="5"/>
        <v>0</v>
      </c>
    </row>
    <row r="25" spans="1:61" ht="21" customHeight="1">
      <c r="A25" s="71">
        <v>17</v>
      </c>
      <c r="B25" s="258"/>
      <c r="C25" s="257"/>
      <c r="D25" s="258"/>
      <c r="E25" s="257"/>
      <c r="F25" s="258"/>
      <c r="G25" s="257"/>
      <c r="H25" s="258"/>
      <c r="I25" s="257"/>
      <c r="J25" s="258"/>
      <c r="K25" s="257"/>
      <c r="L25" s="258"/>
      <c r="M25" s="257"/>
      <c r="N25" s="258"/>
      <c r="O25" s="257"/>
      <c r="P25" s="258"/>
      <c r="Q25" s="257"/>
      <c r="R25" s="258"/>
      <c r="S25" s="257"/>
      <c r="T25" s="258"/>
      <c r="U25" s="257"/>
      <c r="V25" s="258"/>
      <c r="W25" s="257"/>
      <c r="X25" s="258"/>
      <c r="Y25" s="257"/>
      <c r="Z25" s="258"/>
      <c r="AA25" s="257"/>
      <c r="AB25" s="258"/>
      <c r="AC25" s="257"/>
      <c r="AD25" s="258"/>
      <c r="AE25" s="257"/>
      <c r="AF25" s="258"/>
      <c r="AG25" s="257"/>
      <c r="AH25" s="258"/>
      <c r="AI25" s="257"/>
      <c r="AJ25" s="258"/>
      <c r="AK25" s="265"/>
      <c r="AL25" s="258"/>
      <c r="AM25" s="257"/>
      <c r="AN25" s="258"/>
      <c r="AO25" s="257"/>
      <c r="AP25" s="258"/>
      <c r="AQ25" s="265"/>
      <c r="AR25" s="258"/>
      <c r="AS25" s="257"/>
      <c r="AT25" s="258"/>
      <c r="AU25" s="265"/>
      <c r="AV25" s="258"/>
      <c r="AW25" s="265"/>
      <c r="AX25" s="91">
        <v>17</v>
      </c>
      <c r="AY25" s="92">
        <f t="shared" si="0"/>
        <v>0</v>
      </c>
      <c r="AZ25" s="93">
        <f t="shared" si="0"/>
        <v>0</v>
      </c>
      <c r="BA25" s="94">
        <f t="shared" si="1"/>
        <v>0</v>
      </c>
      <c r="BB25" s="95">
        <f t="shared" si="2"/>
        <v>0</v>
      </c>
      <c r="BC25" s="214"/>
      <c r="BD25" s="197">
        <f t="shared" si="3"/>
        <v>0</v>
      </c>
      <c r="BE25" s="98">
        <f t="shared" si="4"/>
        <v>0</v>
      </c>
      <c r="BF25" s="99"/>
      <c r="BG25" s="86">
        <f>maio!$BE26</f>
        <v>0</v>
      </c>
      <c r="BH25" s="97"/>
      <c r="BI25" s="197">
        <f t="shared" si="5"/>
        <v>0</v>
      </c>
    </row>
    <row r="26" spans="1:61" ht="21" customHeight="1">
      <c r="A26" s="71">
        <v>18</v>
      </c>
      <c r="B26" s="258"/>
      <c r="C26" s="257"/>
      <c r="D26" s="258"/>
      <c r="E26" s="257"/>
      <c r="F26" s="258"/>
      <c r="G26" s="257"/>
      <c r="H26" s="258"/>
      <c r="I26" s="257"/>
      <c r="J26" s="258"/>
      <c r="K26" s="257"/>
      <c r="L26" s="258"/>
      <c r="M26" s="257"/>
      <c r="N26" s="258"/>
      <c r="O26" s="257"/>
      <c r="P26" s="258"/>
      <c r="Q26" s="257"/>
      <c r="R26" s="258"/>
      <c r="S26" s="257"/>
      <c r="T26" s="258"/>
      <c r="U26" s="257"/>
      <c r="V26" s="258"/>
      <c r="W26" s="257"/>
      <c r="X26" s="258"/>
      <c r="Y26" s="257"/>
      <c r="Z26" s="258"/>
      <c r="AA26" s="257"/>
      <c r="AB26" s="258"/>
      <c r="AC26" s="257"/>
      <c r="AD26" s="258"/>
      <c r="AE26" s="257"/>
      <c r="AF26" s="258"/>
      <c r="AG26" s="257"/>
      <c r="AH26" s="258"/>
      <c r="AI26" s="257"/>
      <c r="AJ26" s="258"/>
      <c r="AK26" s="265"/>
      <c r="AL26" s="258"/>
      <c r="AM26" s="257"/>
      <c r="AN26" s="258"/>
      <c r="AO26" s="257"/>
      <c r="AP26" s="258"/>
      <c r="AQ26" s="265"/>
      <c r="AR26" s="258"/>
      <c r="AS26" s="257"/>
      <c r="AT26" s="258"/>
      <c r="AU26" s="265"/>
      <c r="AV26" s="258"/>
      <c r="AW26" s="265"/>
      <c r="AX26" s="91">
        <v>18</v>
      </c>
      <c r="AY26" s="92">
        <f t="shared" si="0"/>
        <v>0</v>
      </c>
      <c r="AZ26" s="93">
        <f t="shared" si="0"/>
        <v>0</v>
      </c>
      <c r="BA26" s="94">
        <f t="shared" si="1"/>
        <v>0</v>
      </c>
      <c r="BB26" s="95">
        <f t="shared" si="2"/>
        <v>0</v>
      </c>
      <c r="BC26" s="214"/>
      <c r="BD26" s="197">
        <f t="shared" si="3"/>
        <v>0</v>
      </c>
      <c r="BE26" s="98">
        <f t="shared" si="4"/>
        <v>0</v>
      </c>
      <c r="BF26" s="99"/>
      <c r="BG26" s="86">
        <f>maio!$BE27</f>
        <v>0</v>
      </c>
      <c r="BH26" s="97"/>
      <c r="BI26" s="197">
        <f t="shared" si="5"/>
        <v>0</v>
      </c>
    </row>
    <row r="27" spans="1:61" ht="21" customHeight="1">
      <c r="A27" s="71">
        <v>19</v>
      </c>
      <c r="B27" s="258"/>
      <c r="C27" s="257"/>
      <c r="D27" s="258"/>
      <c r="E27" s="257"/>
      <c r="F27" s="258"/>
      <c r="G27" s="257"/>
      <c r="H27" s="258"/>
      <c r="I27" s="257"/>
      <c r="J27" s="258"/>
      <c r="K27" s="257"/>
      <c r="L27" s="258"/>
      <c r="M27" s="257"/>
      <c r="N27" s="258"/>
      <c r="O27" s="257"/>
      <c r="P27" s="258"/>
      <c r="Q27" s="257"/>
      <c r="R27" s="258"/>
      <c r="S27" s="257"/>
      <c r="T27" s="258"/>
      <c r="U27" s="257"/>
      <c r="V27" s="258"/>
      <c r="W27" s="257"/>
      <c r="X27" s="258"/>
      <c r="Y27" s="257"/>
      <c r="Z27" s="258"/>
      <c r="AA27" s="257"/>
      <c r="AB27" s="258"/>
      <c r="AC27" s="257"/>
      <c r="AD27" s="258"/>
      <c r="AE27" s="257"/>
      <c r="AF27" s="258"/>
      <c r="AG27" s="257"/>
      <c r="AH27" s="258"/>
      <c r="AI27" s="257"/>
      <c r="AJ27" s="258"/>
      <c r="AK27" s="265"/>
      <c r="AL27" s="258"/>
      <c r="AM27" s="257"/>
      <c r="AN27" s="258"/>
      <c r="AO27" s="257"/>
      <c r="AP27" s="258"/>
      <c r="AQ27" s="265"/>
      <c r="AR27" s="258"/>
      <c r="AS27" s="257"/>
      <c r="AT27" s="258"/>
      <c r="AU27" s="265"/>
      <c r="AV27" s="258"/>
      <c r="AW27" s="265"/>
      <c r="AX27" s="91">
        <v>19</v>
      </c>
      <c r="AY27" s="92">
        <f t="shared" si="0"/>
        <v>0</v>
      </c>
      <c r="AZ27" s="93">
        <f t="shared" si="0"/>
        <v>0</v>
      </c>
      <c r="BA27" s="94">
        <f t="shared" si="1"/>
        <v>0</v>
      </c>
      <c r="BB27" s="95">
        <f t="shared" si="2"/>
        <v>0</v>
      </c>
      <c r="BC27" s="214"/>
      <c r="BD27" s="197">
        <f t="shared" si="3"/>
        <v>0</v>
      </c>
      <c r="BE27" s="98">
        <f t="shared" si="4"/>
        <v>0</v>
      </c>
      <c r="BF27" s="99"/>
      <c r="BG27" s="86">
        <f>maio!$BE28</f>
        <v>9.9999999999999982</v>
      </c>
      <c r="BH27" s="97"/>
      <c r="BI27" s="197">
        <f t="shared" si="5"/>
        <v>0</v>
      </c>
    </row>
    <row r="28" spans="1:61" ht="21" customHeight="1">
      <c r="A28" s="71">
        <v>20</v>
      </c>
      <c r="B28" s="258"/>
      <c r="C28" s="257"/>
      <c r="D28" s="258">
        <v>9</v>
      </c>
      <c r="E28" s="257">
        <v>25</v>
      </c>
      <c r="F28" s="258">
        <v>0.2</v>
      </c>
      <c r="G28" s="257">
        <v>30</v>
      </c>
      <c r="H28" s="258">
        <v>0.5</v>
      </c>
      <c r="I28" s="257">
        <v>20</v>
      </c>
      <c r="J28" s="258">
        <v>0.2</v>
      </c>
      <c r="K28" s="257">
        <v>25</v>
      </c>
      <c r="L28" s="258"/>
      <c r="M28" s="257"/>
      <c r="N28" s="258">
        <v>0.1</v>
      </c>
      <c r="O28" s="257">
        <v>5</v>
      </c>
      <c r="P28" s="258"/>
      <c r="Q28" s="257"/>
      <c r="R28" s="258"/>
      <c r="S28" s="257"/>
      <c r="T28" s="258"/>
      <c r="U28" s="257"/>
      <c r="V28" s="258"/>
      <c r="W28" s="257"/>
      <c r="X28" s="258"/>
      <c r="Y28" s="257"/>
      <c r="Z28" s="258"/>
      <c r="AA28" s="257"/>
      <c r="AB28" s="258"/>
      <c r="AC28" s="257"/>
      <c r="AD28" s="258"/>
      <c r="AE28" s="257"/>
      <c r="AF28" s="258"/>
      <c r="AG28" s="257"/>
      <c r="AH28" s="258"/>
      <c r="AI28" s="257"/>
      <c r="AJ28" s="258"/>
      <c r="AK28" s="265"/>
      <c r="AL28" s="258"/>
      <c r="AM28" s="257"/>
      <c r="AN28" s="258"/>
      <c r="AO28" s="257"/>
      <c r="AP28" s="258"/>
      <c r="AQ28" s="265"/>
      <c r="AR28" s="258"/>
      <c r="AS28" s="257"/>
      <c r="AT28" s="258"/>
      <c r="AU28" s="265"/>
      <c r="AV28" s="258">
        <v>0.1</v>
      </c>
      <c r="AW28" s="265">
        <v>10</v>
      </c>
      <c r="AX28" s="91">
        <v>20</v>
      </c>
      <c r="AY28" s="92">
        <f t="shared" si="0"/>
        <v>10.099999999999998</v>
      </c>
      <c r="AZ28" s="93">
        <f t="shared" si="0"/>
        <v>115</v>
      </c>
      <c r="BA28" s="94">
        <f t="shared" si="1"/>
        <v>9</v>
      </c>
      <c r="BB28" s="95">
        <f t="shared" si="2"/>
        <v>6</v>
      </c>
      <c r="BC28" s="214"/>
      <c r="BD28" s="197">
        <f t="shared" si="3"/>
        <v>1</v>
      </c>
      <c r="BE28" s="98">
        <f t="shared" si="4"/>
        <v>9.9999999999999982</v>
      </c>
      <c r="BF28" s="99"/>
      <c r="BG28" s="86">
        <f>maio!$BE29</f>
        <v>0.2</v>
      </c>
      <c r="BH28" s="97"/>
      <c r="BI28" s="197">
        <f t="shared" si="5"/>
        <v>0</v>
      </c>
    </row>
    <row r="29" spans="1:61" ht="21" customHeight="1">
      <c r="A29" s="71">
        <v>21</v>
      </c>
      <c r="B29" s="258">
        <v>0.1</v>
      </c>
      <c r="C29" s="257">
        <v>5</v>
      </c>
      <c r="D29" s="258"/>
      <c r="E29" s="257"/>
      <c r="F29" s="258"/>
      <c r="G29" s="257"/>
      <c r="H29" s="258"/>
      <c r="I29" s="257"/>
      <c r="J29" s="258"/>
      <c r="K29" s="257"/>
      <c r="L29" s="258"/>
      <c r="M29" s="257"/>
      <c r="N29" s="258"/>
      <c r="O29" s="257"/>
      <c r="P29" s="258"/>
      <c r="Q29" s="257"/>
      <c r="R29" s="258"/>
      <c r="S29" s="257"/>
      <c r="T29" s="258"/>
      <c r="U29" s="257"/>
      <c r="V29" s="258"/>
      <c r="W29" s="257"/>
      <c r="X29" s="258"/>
      <c r="Y29" s="257"/>
      <c r="Z29" s="256"/>
      <c r="AA29" s="257"/>
      <c r="AB29" s="258"/>
      <c r="AC29" s="257"/>
      <c r="AD29" s="258"/>
      <c r="AE29" s="257"/>
      <c r="AF29" s="258"/>
      <c r="AG29" s="257"/>
      <c r="AH29" s="258"/>
      <c r="AI29" s="257"/>
      <c r="AJ29" s="258"/>
      <c r="AK29" s="265"/>
      <c r="AL29" s="258"/>
      <c r="AM29" s="257"/>
      <c r="AN29" s="258"/>
      <c r="AO29" s="257"/>
      <c r="AP29" s="258"/>
      <c r="AQ29" s="265"/>
      <c r="AR29" s="258"/>
      <c r="AS29" s="257"/>
      <c r="AT29" s="258"/>
      <c r="AU29" s="265"/>
      <c r="AV29" s="258"/>
      <c r="AW29" s="265"/>
      <c r="AX29" s="91">
        <v>21</v>
      </c>
      <c r="AY29" s="92">
        <f t="shared" si="0"/>
        <v>0.1</v>
      </c>
      <c r="AZ29" s="93">
        <f t="shared" si="0"/>
        <v>5</v>
      </c>
      <c r="BA29" s="94">
        <f t="shared" si="1"/>
        <v>0.1</v>
      </c>
      <c r="BB29" s="95">
        <f t="shared" si="2"/>
        <v>1</v>
      </c>
      <c r="BC29" s="214"/>
      <c r="BD29" s="197">
        <f t="shared" si="3"/>
        <v>1</v>
      </c>
      <c r="BE29" s="98">
        <f t="shared" si="4"/>
        <v>0.2</v>
      </c>
      <c r="BF29" s="99"/>
      <c r="BG29" s="86">
        <f>maio!$BE30</f>
        <v>0</v>
      </c>
      <c r="BH29" s="97"/>
      <c r="BI29" s="197">
        <f t="shared" si="5"/>
        <v>0</v>
      </c>
    </row>
    <row r="30" spans="1:61" ht="21" customHeight="1">
      <c r="A30" s="71">
        <v>22</v>
      </c>
      <c r="B30" s="258"/>
      <c r="C30" s="257"/>
      <c r="D30" s="258"/>
      <c r="E30" s="257"/>
      <c r="F30" s="258"/>
      <c r="G30" s="257"/>
      <c r="H30" s="258"/>
      <c r="I30" s="257"/>
      <c r="J30" s="258"/>
      <c r="K30" s="257"/>
      <c r="L30" s="258"/>
      <c r="M30" s="257"/>
      <c r="N30" s="258"/>
      <c r="O30" s="257"/>
      <c r="P30" s="258"/>
      <c r="Q30" s="257"/>
      <c r="R30" s="258"/>
      <c r="S30" s="257"/>
      <c r="T30" s="258"/>
      <c r="U30" s="257"/>
      <c r="V30" s="258"/>
      <c r="W30" s="257"/>
      <c r="X30" s="258"/>
      <c r="Y30" s="257"/>
      <c r="Z30" s="258"/>
      <c r="AA30" s="257"/>
      <c r="AB30" s="258"/>
      <c r="AC30" s="257"/>
      <c r="AD30" s="258"/>
      <c r="AE30" s="257"/>
      <c r="AF30" s="258"/>
      <c r="AG30" s="257"/>
      <c r="AH30" s="258"/>
      <c r="AI30" s="257"/>
      <c r="AJ30" s="258"/>
      <c r="AK30" s="265"/>
      <c r="AL30" s="258"/>
      <c r="AM30" s="257"/>
      <c r="AN30" s="258"/>
      <c r="AO30" s="257"/>
      <c r="AP30" s="258"/>
      <c r="AQ30" s="265"/>
      <c r="AR30" s="258"/>
      <c r="AS30" s="257"/>
      <c r="AT30" s="258"/>
      <c r="AU30" s="265"/>
      <c r="AV30" s="258"/>
      <c r="AW30" s="265"/>
      <c r="AX30" s="91">
        <v>22</v>
      </c>
      <c r="AY30" s="92">
        <f t="shared" si="0"/>
        <v>0</v>
      </c>
      <c r="AZ30" s="93">
        <f t="shared" si="0"/>
        <v>0</v>
      </c>
      <c r="BA30" s="94">
        <f t="shared" si="1"/>
        <v>0</v>
      </c>
      <c r="BB30" s="95">
        <f t="shared" si="2"/>
        <v>0</v>
      </c>
      <c r="BC30" s="214"/>
      <c r="BD30" s="197">
        <f t="shared" si="3"/>
        <v>0</v>
      </c>
      <c r="BE30" s="98">
        <f t="shared" si="4"/>
        <v>0</v>
      </c>
      <c r="BF30" s="99"/>
      <c r="BG30" s="86">
        <f>maio!$BE31</f>
        <v>0</v>
      </c>
      <c r="BH30" s="97"/>
      <c r="BI30" s="197">
        <f t="shared" si="5"/>
        <v>0</v>
      </c>
    </row>
    <row r="31" spans="1:61" ht="21" customHeight="1">
      <c r="A31" s="71">
        <v>23</v>
      </c>
      <c r="B31" s="258"/>
      <c r="C31" s="257"/>
      <c r="D31" s="258"/>
      <c r="E31" s="257"/>
      <c r="F31" s="258"/>
      <c r="G31" s="257"/>
      <c r="H31" s="258"/>
      <c r="I31" s="257"/>
      <c r="J31" s="258"/>
      <c r="K31" s="257"/>
      <c r="L31" s="258"/>
      <c r="M31" s="257"/>
      <c r="N31" s="258"/>
      <c r="O31" s="257"/>
      <c r="P31" s="258"/>
      <c r="Q31" s="257"/>
      <c r="R31" s="258"/>
      <c r="S31" s="257"/>
      <c r="T31" s="258"/>
      <c r="U31" s="257"/>
      <c r="V31" s="258"/>
      <c r="W31" s="257"/>
      <c r="X31" s="258"/>
      <c r="Y31" s="257"/>
      <c r="Z31" s="258"/>
      <c r="AA31" s="257"/>
      <c r="AB31" s="258"/>
      <c r="AC31" s="257"/>
      <c r="AD31" s="258"/>
      <c r="AE31" s="257"/>
      <c r="AF31" s="258"/>
      <c r="AG31" s="257"/>
      <c r="AH31" s="258"/>
      <c r="AI31" s="257"/>
      <c r="AJ31" s="258"/>
      <c r="AK31" s="265"/>
      <c r="AL31" s="258"/>
      <c r="AM31" s="257"/>
      <c r="AN31" s="258"/>
      <c r="AO31" s="257"/>
      <c r="AP31" s="258"/>
      <c r="AQ31" s="265"/>
      <c r="AR31" s="269"/>
      <c r="AS31" s="257"/>
      <c r="AT31" s="258"/>
      <c r="AU31" s="265"/>
      <c r="AV31" s="258"/>
      <c r="AW31" s="265"/>
      <c r="AX31" s="91">
        <v>23</v>
      </c>
      <c r="AY31" s="92">
        <f t="shared" si="0"/>
        <v>0</v>
      </c>
      <c r="AZ31" s="93">
        <f t="shared" si="0"/>
        <v>0</v>
      </c>
      <c r="BA31" s="94">
        <f t="shared" si="1"/>
        <v>0</v>
      </c>
      <c r="BB31" s="95">
        <f t="shared" si="2"/>
        <v>0</v>
      </c>
      <c r="BC31" s="214"/>
      <c r="BD31" s="197">
        <f t="shared" si="3"/>
        <v>0</v>
      </c>
      <c r="BE31" s="98">
        <f t="shared" si="4"/>
        <v>0</v>
      </c>
      <c r="BF31" s="99"/>
      <c r="BG31" s="86">
        <f>maio!$BE32</f>
        <v>0</v>
      </c>
      <c r="BH31" s="97"/>
      <c r="BI31" s="197">
        <f t="shared" si="5"/>
        <v>0</v>
      </c>
    </row>
    <row r="32" spans="1:61" ht="21" customHeight="1">
      <c r="A32" s="71">
        <v>24</v>
      </c>
      <c r="B32" s="258"/>
      <c r="C32" s="257"/>
      <c r="D32" s="258"/>
      <c r="E32" s="257"/>
      <c r="F32" s="258"/>
      <c r="G32" s="257"/>
      <c r="H32" s="258"/>
      <c r="I32" s="257"/>
      <c r="J32" s="258"/>
      <c r="K32" s="257"/>
      <c r="L32" s="258"/>
      <c r="M32" s="257"/>
      <c r="N32" s="258"/>
      <c r="O32" s="257"/>
      <c r="P32" s="258"/>
      <c r="Q32" s="257"/>
      <c r="R32" s="258"/>
      <c r="S32" s="257"/>
      <c r="T32" s="258"/>
      <c r="U32" s="257"/>
      <c r="V32" s="258"/>
      <c r="W32" s="257"/>
      <c r="X32" s="258"/>
      <c r="Y32" s="257"/>
      <c r="Z32" s="258"/>
      <c r="AA32" s="257"/>
      <c r="AB32" s="258"/>
      <c r="AC32" s="257"/>
      <c r="AD32" s="258">
        <v>2.9</v>
      </c>
      <c r="AE32" s="257">
        <v>25</v>
      </c>
      <c r="AF32" s="258">
        <v>0.1</v>
      </c>
      <c r="AG32" s="257">
        <v>5</v>
      </c>
      <c r="AH32" s="258"/>
      <c r="AI32" s="257"/>
      <c r="AJ32" s="258"/>
      <c r="AK32" s="265"/>
      <c r="AL32" s="258"/>
      <c r="AM32" s="257"/>
      <c r="AN32" s="258"/>
      <c r="AO32" s="257"/>
      <c r="AP32" s="258"/>
      <c r="AQ32" s="265"/>
      <c r="AR32" s="269"/>
      <c r="AS32" s="257"/>
      <c r="AT32" s="258"/>
      <c r="AU32" s="265"/>
      <c r="AV32" s="258"/>
      <c r="AW32" s="265"/>
      <c r="AX32" s="91">
        <v>24</v>
      </c>
      <c r="AY32" s="92">
        <f t="shared" si="0"/>
        <v>3</v>
      </c>
      <c r="AZ32" s="93">
        <f t="shared" si="0"/>
        <v>30</v>
      </c>
      <c r="BA32" s="94">
        <f t="shared" si="1"/>
        <v>2.9</v>
      </c>
      <c r="BB32" s="95">
        <f t="shared" si="2"/>
        <v>2</v>
      </c>
      <c r="BC32" s="214"/>
      <c r="BD32" s="197">
        <f t="shared" si="3"/>
        <v>1</v>
      </c>
      <c r="BE32" s="98">
        <f t="shared" si="4"/>
        <v>0</v>
      </c>
      <c r="BF32" s="99"/>
      <c r="BG32" s="86">
        <f>maio!$BE33</f>
        <v>3</v>
      </c>
      <c r="BH32" s="97"/>
      <c r="BI32" s="197">
        <f t="shared" si="5"/>
        <v>0</v>
      </c>
    </row>
    <row r="33" spans="1:61" ht="21" customHeight="1">
      <c r="A33" s="71">
        <v>25</v>
      </c>
      <c r="B33" s="258"/>
      <c r="C33" s="257"/>
      <c r="D33" s="258"/>
      <c r="E33" s="257"/>
      <c r="F33" s="258"/>
      <c r="G33" s="257"/>
      <c r="H33" s="258"/>
      <c r="I33" s="257"/>
      <c r="J33" s="258"/>
      <c r="K33" s="257"/>
      <c r="L33" s="258"/>
      <c r="M33" s="257"/>
      <c r="N33" s="258"/>
      <c r="O33" s="257"/>
      <c r="P33" s="258"/>
      <c r="Q33" s="257"/>
      <c r="R33" s="258"/>
      <c r="S33" s="257"/>
      <c r="T33" s="258"/>
      <c r="U33" s="257"/>
      <c r="V33" s="258"/>
      <c r="W33" s="257"/>
      <c r="X33" s="258"/>
      <c r="Y33" s="257"/>
      <c r="Z33" s="258"/>
      <c r="AA33" s="257"/>
      <c r="AB33" s="258"/>
      <c r="AC33" s="257"/>
      <c r="AD33" s="258"/>
      <c r="AE33" s="257"/>
      <c r="AF33" s="258"/>
      <c r="AG33" s="257"/>
      <c r="AH33" s="258"/>
      <c r="AI33" s="257"/>
      <c r="AJ33" s="258"/>
      <c r="AK33" s="265"/>
      <c r="AL33" s="258">
        <v>0.1</v>
      </c>
      <c r="AM33" s="257">
        <v>5</v>
      </c>
      <c r="AN33" s="258"/>
      <c r="AO33" s="257"/>
      <c r="AP33" s="258">
        <v>0.1</v>
      </c>
      <c r="AQ33" s="265">
        <v>5</v>
      </c>
      <c r="AR33" s="269"/>
      <c r="AS33" s="257"/>
      <c r="AT33" s="258"/>
      <c r="AU33" s="265"/>
      <c r="AV33" s="258"/>
      <c r="AW33" s="265"/>
      <c r="AX33" s="91">
        <v>25</v>
      </c>
      <c r="AY33" s="92">
        <f t="shared" si="0"/>
        <v>0.2</v>
      </c>
      <c r="AZ33" s="93">
        <f t="shared" si="0"/>
        <v>10</v>
      </c>
      <c r="BA33" s="94">
        <f t="shared" si="1"/>
        <v>0.1</v>
      </c>
      <c r="BB33" s="95">
        <f t="shared" si="2"/>
        <v>2</v>
      </c>
      <c r="BC33" s="214"/>
      <c r="BD33" s="197">
        <f t="shared" si="3"/>
        <v>1</v>
      </c>
      <c r="BE33" s="98">
        <f t="shared" si="4"/>
        <v>3</v>
      </c>
      <c r="BF33" s="99"/>
      <c r="BG33" s="86">
        <f>maio!$BE34</f>
        <v>5.9</v>
      </c>
      <c r="BH33" s="97"/>
      <c r="BI33" s="197">
        <f t="shared" si="5"/>
        <v>0</v>
      </c>
    </row>
    <row r="34" spans="1:61" ht="21" customHeight="1">
      <c r="A34" s="71">
        <v>26</v>
      </c>
      <c r="B34" s="258">
        <v>0.6</v>
      </c>
      <c r="C34" s="257">
        <v>25</v>
      </c>
      <c r="D34" s="258">
        <v>0.1</v>
      </c>
      <c r="E34" s="257">
        <v>5</v>
      </c>
      <c r="F34" s="258"/>
      <c r="G34" s="257"/>
      <c r="H34" s="258">
        <v>2.6</v>
      </c>
      <c r="I34" s="257">
        <v>50</v>
      </c>
      <c r="J34" s="258"/>
      <c r="K34" s="257"/>
      <c r="L34" s="258">
        <v>0.3</v>
      </c>
      <c r="M34" s="257">
        <v>15</v>
      </c>
      <c r="N34" s="258">
        <v>2.1</v>
      </c>
      <c r="O34" s="257">
        <v>60</v>
      </c>
      <c r="P34" s="258">
        <v>0.1</v>
      </c>
      <c r="Q34" s="257">
        <v>60</v>
      </c>
      <c r="R34" s="258">
        <v>2.1</v>
      </c>
      <c r="S34" s="257">
        <v>50</v>
      </c>
      <c r="T34" s="258">
        <v>2.8</v>
      </c>
      <c r="U34" s="257">
        <v>30</v>
      </c>
      <c r="V34" s="258">
        <v>0.1</v>
      </c>
      <c r="W34" s="257">
        <v>60</v>
      </c>
      <c r="X34" s="258"/>
      <c r="Y34" s="257"/>
      <c r="Z34" s="258"/>
      <c r="AA34" s="257"/>
      <c r="AB34" s="258"/>
      <c r="AC34" s="257"/>
      <c r="AD34" s="258"/>
      <c r="AE34" s="257"/>
      <c r="AF34" s="258"/>
      <c r="AG34" s="257"/>
      <c r="AH34" s="258"/>
      <c r="AI34" s="257"/>
      <c r="AJ34" s="258"/>
      <c r="AK34" s="265"/>
      <c r="AL34" s="258"/>
      <c r="AM34" s="257"/>
      <c r="AN34" s="258"/>
      <c r="AO34" s="257"/>
      <c r="AP34" s="258"/>
      <c r="AQ34" s="265"/>
      <c r="AR34" s="258">
        <v>1.6</v>
      </c>
      <c r="AS34" s="257">
        <v>50</v>
      </c>
      <c r="AT34" s="258">
        <v>0.8</v>
      </c>
      <c r="AU34" s="265">
        <v>60</v>
      </c>
      <c r="AV34" s="258">
        <v>0.6</v>
      </c>
      <c r="AW34" s="265">
        <v>45</v>
      </c>
      <c r="AX34" s="91">
        <v>26</v>
      </c>
      <c r="AY34" s="92">
        <f t="shared" si="0"/>
        <v>13.799999999999999</v>
      </c>
      <c r="AZ34" s="93">
        <f t="shared" si="0"/>
        <v>510</v>
      </c>
      <c r="BA34" s="94">
        <f t="shared" si="1"/>
        <v>2.8</v>
      </c>
      <c r="BB34" s="95">
        <f t="shared" si="2"/>
        <v>12</v>
      </c>
      <c r="BC34" s="214"/>
      <c r="BD34" s="197">
        <f t="shared" si="3"/>
        <v>1</v>
      </c>
      <c r="BE34" s="98">
        <f t="shared" si="4"/>
        <v>5.9</v>
      </c>
      <c r="BF34" s="99"/>
      <c r="BG34" s="86">
        <f>maio!$BE35</f>
        <v>29.099999999999994</v>
      </c>
      <c r="BH34" s="97"/>
      <c r="BI34" s="197">
        <f t="shared" si="5"/>
        <v>0</v>
      </c>
    </row>
    <row r="35" spans="1:61" ht="21" customHeight="1">
      <c r="A35" s="71">
        <v>27</v>
      </c>
      <c r="B35" s="258">
        <v>8.1999999999999993</v>
      </c>
      <c r="C35" s="257">
        <v>60</v>
      </c>
      <c r="D35" s="258">
        <v>3.4</v>
      </c>
      <c r="E35" s="257">
        <v>60</v>
      </c>
      <c r="F35" s="258">
        <v>2.4</v>
      </c>
      <c r="G35" s="257">
        <v>50</v>
      </c>
      <c r="H35" s="258">
        <v>0.7</v>
      </c>
      <c r="I35" s="257">
        <v>45</v>
      </c>
      <c r="J35" s="258">
        <v>0.2</v>
      </c>
      <c r="K35" s="257">
        <v>40</v>
      </c>
      <c r="L35" s="258">
        <v>2.8</v>
      </c>
      <c r="M35" s="257">
        <v>60</v>
      </c>
      <c r="N35" s="258">
        <v>3.3</v>
      </c>
      <c r="O35" s="257">
        <v>60</v>
      </c>
      <c r="P35" s="258">
        <v>2.5</v>
      </c>
      <c r="Q35" s="257">
        <v>60</v>
      </c>
      <c r="R35" s="258">
        <v>0.7</v>
      </c>
      <c r="S35" s="257">
        <v>10</v>
      </c>
      <c r="T35" s="258"/>
      <c r="U35" s="257"/>
      <c r="V35" s="258"/>
      <c r="W35" s="257"/>
      <c r="X35" s="258">
        <v>0.7</v>
      </c>
      <c r="Y35" s="257">
        <v>20</v>
      </c>
      <c r="Z35" s="258"/>
      <c r="AA35" s="257"/>
      <c r="AB35" s="258">
        <v>0.4</v>
      </c>
      <c r="AC35" s="257">
        <v>20</v>
      </c>
      <c r="AD35" s="258"/>
      <c r="AE35" s="257"/>
      <c r="AF35" s="258"/>
      <c r="AG35" s="257"/>
      <c r="AH35" s="258"/>
      <c r="AI35" s="257"/>
      <c r="AJ35" s="258"/>
      <c r="AK35" s="265"/>
      <c r="AL35" s="258"/>
      <c r="AM35" s="257"/>
      <c r="AN35" s="258"/>
      <c r="AO35" s="257"/>
      <c r="AP35" s="258"/>
      <c r="AQ35" s="265"/>
      <c r="AR35" s="258"/>
      <c r="AS35" s="257"/>
      <c r="AT35" s="258">
        <v>0.1</v>
      </c>
      <c r="AU35" s="265">
        <v>5</v>
      </c>
      <c r="AV35" s="258"/>
      <c r="AW35" s="265"/>
      <c r="AX35" s="91">
        <v>27</v>
      </c>
      <c r="AY35" s="92">
        <f t="shared" si="0"/>
        <v>25.4</v>
      </c>
      <c r="AZ35" s="93">
        <f t="shared" si="0"/>
        <v>490</v>
      </c>
      <c r="BA35" s="94">
        <f t="shared" si="1"/>
        <v>8.1999999999999993</v>
      </c>
      <c r="BB35" s="95">
        <f t="shared" si="2"/>
        <v>12</v>
      </c>
      <c r="BC35" s="214"/>
      <c r="BD35" s="197">
        <f t="shared" si="3"/>
        <v>1</v>
      </c>
      <c r="BE35" s="98">
        <f t="shared" si="4"/>
        <v>29.099999999999994</v>
      </c>
      <c r="BF35" s="99"/>
      <c r="BG35" s="86">
        <f>maio!$BE36</f>
        <v>4.4000000000000004</v>
      </c>
      <c r="BH35" s="97"/>
      <c r="BI35" s="197">
        <f t="shared" si="5"/>
        <v>0</v>
      </c>
    </row>
    <row r="36" spans="1:61" ht="21" customHeight="1">
      <c r="A36" s="71">
        <v>28</v>
      </c>
      <c r="B36" s="258"/>
      <c r="C36" s="257"/>
      <c r="D36" s="258"/>
      <c r="E36" s="257"/>
      <c r="F36" s="258"/>
      <c r="G36" s="257"/>
      <c r="H36" s="258"/>
      <c r="I36" s="257"/>
      <c r="J36" s="258"/>
      <c r="K36" s="257"/>
      <c r="L36" s="258"/>
      <c r="M36" s="257"/>
      <c r="N36" s="258"/>
      <c r="O36" s="257"/>
      <c r="P36" s="258"/>
      <c r="Q36" s="257"/>
      <c r="R36" s="258"/>
      <c r="S36" s="257"/>
      <c r="T36" s="258"/>
      <c r="U36" s="257"/>
      <c r="V36" s="258"/>
      <c r="W36" s="257"/>
      <c r="X36" s="258"/>
      <c r="Y36" s="257"/>
      <c r="Z36" s="258"/>
      <c r="AA36" s="257"/>
      <c r="AB36" s="258"/>
      <c r="AC36" s="257"/>
      <c r="AD36" s="258"/>
      <c r="AE36" s="257"/>
      <c r="AF36" s="258"/>
      <c r="AG36" s="257"/>
      <c r="AH36" s="258"/>
      <c r="AI36" s="257"/>
      <c r="AJ36" s="258"/>
      <c r="AK36" s="265"/>
      <c r="AL36" s="258"/>
      <c r="AM36" s="257"/>
      <c r="AN36" s="258"/>
      <c r="AO36" s="257"/>
      <c r="AP36" s="258"/>
      <c r="AQ36" s="265"/>
      <c r="AR36" s="258"/>
      <c r="AS36" s="257"/>
      <c r="AT36" s="258"/>
      <c r="AU36" s="265"/>
      <c r="AV36" s="258"/>
      <c r="AW36" s="265"/>
      <c r="AX36" s="91">
        <v>28</v>
      </c>
      <c r="AY36" s="92">
        <f t="shared" si="0"/>
        <v>0</v>
      </c>
      <c r="AZ36" s="93">
        <f t="shared" si="0"/>
        <v>0</v>
      </c>
      <c r="BA36" s="94">
        <f t="shared" si="1"/>
        <v>0</v>
      </c>
      <c r="BB36" s="95">
        <f t="shared" si="2"/>
        <v>0</v>
      </c>
      <c r="BC36" s="214"/>
      <c r="BD36" s="197">
        <f t="shared" si="3"/>
        <v>0</v>
      </c>
      <c r="BE36" s="98">
        <f t="shared" si="4"/>
        <v>4.4000000000000004</v>
      </c>
      <c r="BF36" s="99"/>
      <c r="BG36" s="86">
        <f>maio!$BE37</f>
        <v>0</v>
      </c>
      <c r="BH36" s="97"/>
      <c r="BI36" s="197">
        <f t="shared" si="5"/>
        <v>0</v>
      </c>
    </row>
    <row r="37" spans="1:61" ht="21" customHeight="1">
      <c r="A37" s="71">
        <v>29</v>
      </c>
      <c r="B37" s="258"/>
      <c r="C37" s="257"/>
      <c r="D37" s="258"/>
      <c r="E37" s="257"/>
      <c r="F37" s="258"/>
      <c r="G37" s="257"/>
      <c r="H37" s="258"/>
      <c r="I37" s="257"/>
      <c r="J37" s="258"/>
      <c r="K37" s="257"/>
      <c r="L37" s="258"/>
      <c r="M37" s="257"/>
      <c r="N37" s="258"/>
      <c r="O37" s="257"/>
      <c r="P37" s="258"/>
      <c r="Q37" s="257"/>
      <c r="R37" s="258"/>
      <c r="S37" s="257"/>
      <c r="T37" s="258"/>
      <c r="U37" s="257"/>
      <c r="V37" s="258"/>
      <c r="W37" s="257"/>
      <c r="X37" s="258"/>
      <c r="Y37" s="257"/>
      <c r="Z37" s="258"/>
      <c r="AA37" s="257"/>
      <c r="AB37" s="258"/>
      <c r="AC37" s="257"/>
      <c r="AD37" s="258"/>
      <c r="AE37" s="257"/>
      <c r="AF37" s="258"/>
      <c r="AG37" s="257"/>
      <c r="AH37" s="258"/>
      <c r="AI37" s="257"/>
      <c r="AJ37" s="258"/>
      <c r="AK37" s="265"/>
      <c r="AL37" s="258"/>
      <c r="AM37" s="257"/>
      <c r="AN37" s="258"/>
      <c r="AO37" s="257"/>
      <c r="AP37" s="258"/>
      <c r="AQ37" s="265"/>
      <c r="AR37" s="258"/>
      <c r="AS37" s="257"/>
      <c r="AT37" s="258"/>
      <c r="AU37" s="270"/>
      <c r="AV37" s="258"/>
      <c r="AW37" s="265"/>
      <c r="AX37" s="111">
        <v>29</v>
      </c>
      <c r="AY37" s="92">
        <f t="shared" si="0"/>
        <v>0</v>
      </c>
      <c r="AZ37" s="93">
        <f t="shared" si="0"/>
        <v>0</v>
      </c>
      <c r="BA37" s="94">
        <f t="shared" si="1"/>
        <v>0</v>
      </c>
      <c r="BB37" s="95">
        <f t="shared" si="2"/>
        <v>0</v>
      </c>
      <c r="BC37" s="214"/>
      <c r="BD37" s="197">
        <f t="shared" si="3"/>
        <v>0</v>
      </c>
      <c r="BE37" s="98">
        <f t="shared" si="4"/>
        <v>0</v>
      </c>
      <c r="BF37" s="99"/>
      <c r="BG37" s="86">
        <f>maio!$BE38</f>
        <v>0</v>
      </c>
      <c r="BH37" s="97"/>
      <c r="BI37" s="197">
        <f t="shared" si="5"/>
        <v>0</v>
      </c>
    </row>
    <row r="38" spans="1:61" ht="21" customHeight="1" thickBot="1">
      <c r="A38" s="71">
        <v>30</v>
      </c>
      <c r="B38" s="269"/>
      <c r="C38" s="257"/>
      <c r="D38" s="258"/>
      <c r="E38" s="257"/>
      <c r="F38" s="258"/>
      <c r="G38" s="257"/>
      <c r="H38" s="258"/>
      <c r="I38" s="257"/>
      <c r="J38" s="258"/>
      <c r="K38" s="257"/>
      <c r="L38" s="258"/>
      <c r="M38" s="257"/>
      <c r="N38" s="258"/>
      <c r="O38" s="257"/>
      <c r="P38" s="258"/>
      <c r="Q38" s="257"/>
      <c r="R38" s="258"/>
      <c r="S38" s="257"/>
      <c r="T38" s="258"/>
      <c r="U38" s="257"/>
      <c r="V38" s="258"/>
      <c r="W38" s="257"/>
      <c r="X38" s="258"/>
      <c r="Y38" s="257"/>
      <c r="Z38" s="258"/>
      <c r="AA38" s="257"/>
      <c r="AB38" s="258"/>
      <c r="AC38" s="257"/>
      <c r="AD38" s="258"/>
      <c r="AE38" s="257"/>
      <c r="AF38" s="258"/>
      <c r="AG38" s="257"/>
      <c r="AH38" s="258"/>
      <c r="AI38" s="257"/>
      <c r="AJ38" s="258"/>
      <c r="AK38" s="265"/>
      <c r="AL38" s="258"/>
      <c r="AM38" s="257"/>
      <c r="AN38" s="258"/>
      <c r="AO38" s="257"/>
      <c r="AP38" s="258"/>
      <c r="AQ38" s="265"/>
      <c r="AR38" s="271"/>
      <c r="AS38" s="272"/>
      <c r="AT38" s="258"/>
      <c r="AU38" s="265"/>
      <c r="AV38" s="258"/>
      <c r="AW38" s="265"/>
      <c r="AX38" s="111">
        <v>30</v>
      </c>
      <c r="AY38" s="92">
        <f t="shared" si="0"/>
        <v>0</v>
      </c>
      <c r="AZ38" s="93">
        <f t="shared" si="0"/>
        <v>0</v>
      </c>
      <c r="BA38" s="94">
        <f t="shared" si="1"/>
        <v>0</v>
      </c>
      <c r="BB38" s="95">
        <f t="shared" si="2"/>
        <v>0</v>
      </c>
      <c r="BC38" s="214"/>
      <c r="BD38" s="197">
        <f t="shared" si="3"/>
        <v>0</v>
      </c>
      <c r="BE38" s="98">
        <f t="shared" si="4"/>
        <v>0</v>
      </c>
      <c r="BF38" s="99"/>
      <c r="BG38" s="86">
        <f>maio!$BE39</f>
        <v>0</v>
      </c>
      <c r="BH38" s="97"/>
      <c r="BI38" s="197">
        <f t="shared" si="5"/>
        <v>0</v>
      </c>
    </row>
    <row r="39" spans="1:61" ht="21" customHeight="1" thickBot="1">
      <c r="A39" s="114">
        <v>31</v>
      </c>
      <c r="B39" s="289"/>
      <c r="C39" s="274"/>
      <c r="D39" s="275"/>
      <c r="E39" s="274"/>
      <c r="F39" s="275"/>
      <c r="G39" s="274"/>
      <c r="H39" s="275"/>
      <c r="I39" s="274"/>
      <c r="J39" s="275"/>
      <c r="K39" s="274"/>
      <c r="L39" s="275"/>
      <c r="M39" s="274"/>
      <c r="N39" s="275"/>
      <c r="O39" s="274"/>
      <c r="P39" s="276"/>
      <c r="Q39" s="274"/>
      <c r="R39" s="275"/>
      <c r="S39" s="274"/>
      <c r="T39" s="275"/>
      <c r="U39" s="274"/>
      <c r="V39" s="275"/>
      <c r="W39" s="274"/>
      <c r="X39" s="275"/>
      <c r="Y39" s="274"/>
      <c r="Z39" s="275"/>
      <c r="AA39" s="274"/>
      <c r="AB39" s="275"/>
      <c r="AC39" s="274"/>
      <c r="AD39" s="275"/>
      <c r="AE39" s="274"/>
      <c r="AF39" s="275"/>
      <c r="AG39" s="274"/>
      <c r="AH39" s="275"/>
      <c r="AI39" s="274"/>
      <c r="AJ39" s="275"/>
      <c r="AK39" s="277"/>
      <c r="AL39" s="278"/>
      <c r="AM39" s="274"/>
      <c r="AN39" s="275"/>
      <c r="AO39" s="274"/>
      <c r="AP39" s="275"/>
      <c r="AQ39" s="279"/>
      <c r="AR39" s="275"/>
      <c r="AS39" s="274"/>
      <c r="AT39" s="275"/>
      <c r="AU39" s="279"/>
      <c r="AV39" s="280"/>
      <c r="AW39" s="279"/>
      <c r="AX39" s="123">
        <v>31</v>
      </c>
      <c r="AY39" s="92">
        <f t="shared" si="0"/>
        <v>0</v>
      </c>
      <c r="AZ39" s="93">
        <f t="shared" si="0"/>
        <v>0</v>
      </c>
      <c r="BA39" s="94">
        <f t="shared" si="1"/>
        <v>0</v>
      </c>
      <c r="BB39" s="95">
        <f t="shared" si="2"/>
        <v>0</v>
      </c>
      <c r="BC39" s="214"/>
      <c r="BD39" s="197">
        <f t="shared" si="3"/>
        <v>0</v>
      </c>
      <c r="BE39" s="98">
        <f>P38+R38+T38+V38+X38+Z38+AB38+AD38+AF38+AH38+AJ38+AL38+AN38+AP38+AR38+AT38+AV38+B39+D39+F39+H39+J39+L39+N39</f>
        <v>0</v>
      </c>
      <c r="BF39" s="99"/>
      <c r="BG39" s="228">
        <f>maio!$BH40</f>
        <v>0</v>
      </c>
      <c r="BH39" s="125">
        <v>43983</v>
      </c>
      <c r="BI39" s="197">
        <f t="shared" si="5"/>
        <v>1</v>
      </c>
    </row>
    <row r="40" spans="1:61" ht="21" customHeight="1" thickBot="1">
      <c r="A40" s="284">
        <v>1</v>
      </c>
      <c r="B40" s="221"/>
      <c r="C40" s="222"/>
      <c r="D40" s="223"/>
      <c r="E40" s="222"/>
      <c r="F40" s="223"/>
      <c r="G40" s="222"/>
      <c r="H40" s="223"/>
      <c r="I40" s="222"/>
      <c r="J40" s="223"/>
      <c r="K40" s="222"/>
      <c r="L40" s="223"/>
      <c r="M40" s="222"/>
      <c r="N40" s="223"/>
      <c r="O40" s="224"/>
      <c r="P40" s="131"/>
      <c r="Q40" s="32"/>
      <c r="R40" s="31"/>
      <c r="S40" s="32"/>
      <c r="T40" s="31"/>
      <c r="U40" s="32"/>
      <c r="V40" s="31"/>
      <c r="W40" s="32"/>
      <c r="X40" s="31"/>
      <c r="Y40" s="32"/>
      <c r="Z40" s="31"/>
      <c r="AA40" s="32"/>
      <c r="AB40" s="31"/>
      <c r="AC40" s="32"/>
      <c r="AD40" s="31"/>
      <c r="AE40" s="32"/>
      <c r="AF40" s="31"/>
      <c r="AG40" s="32"/>
      <c r="AH40" s="31"/>
      <c r="AI40" s="32"/>
      <c r="AJ40" s="31"/>
      <c r="AK40" s="32"/>
      <c r="AL40" s="31"/>
      <c r="AM40" s="32"/>
      <c r="AN40" s="31"/>
      <c r="AO40" s="32"/>
      <c r="AP40" s="31"/>
      <c r="AQ40" s="32"/>
      <c r="AR40" s="31"/>
      <c r="AS40" s="32"/>
      <c r="AT40" s="31"/>
      <c r="AU40" s="32"/>
      <c r="AV40" s="31"/>
      <c r="AW40" s="32"/>
      <c r="AX40" s="132"/>
      <c r="AY40" s="231" t="s">
        <v>53</v>
      </c>
      <c r="AZ40" s="232"/>
      <c r="BA40" s="233"/>
      <c r="BB40" s="136"/>
      <c r="BC40" s="214"/>
      <c r="BD40" s="137" t="s">
        <v>54</v>
      </c>
      <c r="BE40" s="138">
        <f>SUM(BE9:BE39)</f>
        <v>55.79999999999999</v>
      </c>
      <c r="BF40" s="232"/>
      <c r="BG40" s="139"/>
      <c r="BH40" s="140">
        <f>P39+R39+T39+V39+X39+Z39+AB39+AD39+AF39+AH39+AJ39+AL39+AN39+AP39+AR39+AT39+AV39+B40+D40+F40+H40+J40+L40+N40</f>
        <v>0</v>
      </c>
      <c r="BI40" s="214"/>
    </row>
    <row r="41" spans="1:61" ht="21" customHeight="1" thickBot="1">
      <c r="A41" s="142"/>
      <c r="B41" s="37" t="s">
        <v>19</v>
      </c>
      <c r="C41" s="37"/>
      <c r="D41" s="38" t="s">
        <v>20</v>
      </c>
      <c r="E41" s="38"/>
      <c r="F41" s="37" t="s">
        <v>21</v>
      </c>
      <c r="G41" s="37"/>
      <c r="H41" s="37" t="s">
        <v>22</v>
      </c>
      <c r="I41" s="37"/>
      <c r="J41" s="39" t="s">
        <v>23</v>
      </c>
      <c r="K41" s="39"/>
      <c r="L41" s="37" t="s">
        <v>24</v>
      </c>
      <c r="M41" s="37"/>
      <c r="N41" s="37" t="s">
        <v>25</v>
      </c>
      <c r="O41" s="37"/>
      <c r="P41" s="37" t="s">
        <v>26</v>
      </c>
      <c r="Q41" s="37"/>
      <c r="R41" s="37" t="s">
        <v>27</v>
      </c>
      <c r="S41" s="37"/>
      <c r="T41" s="37" t="s">
        <v>28</v>
      </c>
      <c r="U41" s="37"/>
      <c r="V41" s="37" t="s">
        <v>29</v>
      </c>
      <c r="W41" s="37"/>
      <c r="X41" s="37" t="s">
        <v>30</v>
      </c>
      <c r="Y41" s="37"/>
      <c r="Z41" s="40" t="s">
        <v>31</v>
      </c>
      <c r="AA41" s="40"/>
      <c r="AB41" s="37" t="s">
        <v>32</v>
      </c>
      <c r="AC41" s="37"/>
      <c r="AD41" s="37" t="s">
        <v>33</v>
      </c>
      <c r="AE41" s="37"/>
      <c r="AF41" s="37" t="s">
        <v>34</v>
      </c>
      <c r="AG41" s="37"/>
      <c r="AH41" s="37" t="s">
        <v>35</v>
      </c>
      <c r="AI41" s="37"/>
      <c r="AJ41" s="37" t="s">
        <v>36</v>
      </c>
      <c r="AK41" s="37"/>
      <c r="AL41" s="37" t="s">
        <v>37</v>
      </c>
      <c r="AM41" s="37"/>
      <c r="AN41" s="37" t="s">
        <v>38</v>
      </c>
      <c r="AO41" s="37"/>
      <c r="AP41" s="37" t="s">
        <v>39</v>
      </c>
      <c r="AQ41" s="37"/>
      <c r="AR41" s="37" t="s">
        <v>40</v>
      </c>
      <c r="AS41" s="37"/>
      <c r="AT41" s="37" t="s">
        <v>41</v>
      </c>
      <c r="AU41" s="37"/>
      <c r="AV41" s="37" t="s">
        <v>42</v>
      </c>
      <c r="AW41" s="37"/>
      <c r="AX41" s="146"/>
      <c r="AY41" s="33" t="s">
        <v>15</v>
      </c>
      <c r="AZ41" s="33" t="s">
        <v>16</v>
      </c>
      <c r="BA41" s="34" t="s">
        <v>17</v>
      </c>
      <c r="BB41" s="34" t="s">
        <v>55</v>
      </c>
      <c r="BC41" s="214"/>
      <c r="BD41" s="137" t="s">
        <v>56</v>
      </c>
      <c r="BE41" s="147">
        <f>MAX(BE9:BE39)</f>
        <v>29.099999999999994</v>
      </c>
      <c r="BF41" s="148"/>
      <c r="BG41" s="148"/>
      <c r="BH41" s="148"/>
      <c r="BI41" s="214"/>
    </row>
    <row r="42" spans="1:61" ht="21" customHeight="1" thickBot="1">
      <c r="A42" s="142"/>
      <c r="B42" s="234" t="s">
        <v>47</v>
      </c>
      <c r="C42" s="235" t="s">
        <v>48</v>
      </c>
      <c r="D42" s="204" t="s">
        <v>47</v>
      </c>
      <c r="E42" s="236" t="s">
        <v>48</v>
      </c>
      <c r="F42" s="204" t="s">
        <v>47</v>
      </c>
      <c r="G42" s="237" t="s">
        <v>48</v>
      </c>
      <c r="H42" s="204" t="s">
        <v>47</v>
      </c>
      <c r="I42" s="237" t="s">
        <v>48</v>
      </c>
      <c r="J42" s="204" t="s">
        <v>47</v>
      </c>
      <c r="K42" s="237" t="s">
        <v>48</v>
      </c>
      <c r="L42" s="204" t="s">
        <v>47</v>
      </c>
      <c r="M42" s="237" t="s">
        <v>48</v>
      </c>
      <c r="N42" s="204" t="s">
        <v>47</v>
      </c>
      <c r="O42" s="237" t="s">
        <v>48</v>
      </c>
      <c r="P42" s="204" t="s">
        <v>47</v>
      </c>
      <c r="Q42" s="237" t="s">
        <v>48</v>
      </c>
      <c r="R42" s="204" t="s">
        <v>47</v>
      </c>
      <c r="S42" s="237" t="s">
        <v>48</v>
      </c>
      <c r="T42" s="204" t="s">
        <v>47</v>
      </c>
      <c r="U42" s="237" t="s">
        <v>48</v>
      </c>
      <c r="V42" s="204" t="s">
        <v>47</v>
      </c>
      <c r="W42" s="237" t="s">
        <v>48</v>
      </c>
      <c r="X42" s="204" t="s">
        <v>47</v>
      </c>
      <c r="Y42" s="237" t="s">
        <v>48</v>
      </c>
      <c r="Z42" s="204" t="s">
        <v>47</v>
      </c>
      <c r="AA42" s="237" t="s">
        <v>48</v>
      </c>
      <c r="AB42" s="204" t="s">
        <v>47</v>
      </c>
      <c r="AC42" s="237" t="s">
        <v>48</v>
      </c>
      <c r="AD42" s="204" t="s">
        <v>47</v>
      </c>
      <c r="AE42" s="237" t="s">
        <v>48</v>
      </c>
      <c r="AF42" s="204" t="s">
        <v>47</v>
      </c>
      <c r="AG42" s="237" t="s">
        <v>48</v>
      </c>
      <c r="AH42" s="204" t="s">
        <v>47</v>
      </c>
      <c r="AI42" s="237" t="s">
        <v>48</v>
      </c>
      <c r="AJ42" s="204" t="s">
        <v>47</v>
      </c>
      <c r="AK42" s="205" t="s">
        <v>48</v>
      </c>
      <c r="AL42" s="204" t="s">
        <v>47</v>
      </c>
      <c r="AM42" s="237" t="s">
        <v>48</v>
      </c>
      <c r="AN42" s="204" t="s">
        <v>47</v>
      </c>
      <c r="AO42" s="237" t="s">
        <v>48</v>
      </c>
      <c r="AP42" s="204" t="s">
        <v>47</v>
      </c>
      <c r="AQ42" s="205" t="s">
        <v>48</v>
      </c>
      <c r="AR42" s="204" t="s">
        <v>47</v>
      </c>
      <c r="AS42" s="237" t="s">
        <v>48</v>
      </c>
      <c r="AT42" s="204" t="s">
        <v>47</v>
      </c>
      <c r="AU42" s="205" t="s">
        <v>48</v>
      </c>
      <c r="AV42" s="204" t="s">
        <v>47</v>
      </c>
      <c r="AW42" s="205" t="s">
        <v>48</v>
      </c>
      <c r="AX42" s="146"/>
      <c r="AY42" s="35" t="s">
        <v>57</v>
      </c>
      <c r="AZ42" s="35" t="s">
        <v>43</v>
      </c>
      <c r="BA42" s="35" t="s">
        <v>44</v>
      </c>
      <c r="BB42" s="35" t="s">
        <v>58</v>
      </c>
      <c r="BC42" s="214"/>
      <c r="BD42" s="137" t="s">
        <v>59</v>
      </c>
      <c r="BE42" s="70">
        <f>COUNTIF(BE9:BE39,"&gt;=1")</f>
        <v>6</v>
      </c>
      <c r="BF42" s="238"/>
      <c r="BG42" s="238"/>
      <c r="BH42" s="238"/>
      <c r="BI42" s="214"/>
    </row>
    <row r="43" spans="1:61" ht="21" customHeight="1" thickBot="1">
      <c r="A43" s="238" t="s">
        <v>60</v>
      </c>
      <c r="B43" s="154">
        <f>SUM(B9:B39)</f>
        <v>8.8999999999999986</v>
      </c>
      <c r="C43" s="154"/>
      <c r="D43" s="154">
        <f>SUM(D9:D39)</f>
        <v>12.5</v>
      </c>
      <c r="E43" s="154"/>
      <c r="F43" s="154">
        <f>SUM(F9:F39)</f>
        <v>2.6</v>
      </c>
      <c r="G43" s="154"/>
      <c r="H43" s="154">
        <f>SUM(H9:H39)</f>
        <v>3.8</v>
      </c>
      <c r="I43" s="154"/>
      <c r="J43" s="154">
        <f>SUM(J9:J39)</f>
        <v>0.60000000000000009</v>
      </c>
      <c r="K43" s="154"/>
      <c r="L43" s="154">
        <f>SUM(L9:L39)</f>
        <v>3.1999999999999997</v>
      </c>
      <c r="M43" s="154"/>
      <c r="N43" s="154">
        <f>SUM(N9:N39)</f>
        <v>5.5</v>
      </c>
      <c r="O43" s="154"/>
      <c r="P43" s="154">
        <f>SUM(P9:P39)</f>
        <v>2.6</v>
      </c>
      <c r="Q43" s="154"/>
      <c r="R43" s="154">
        <f>SUM(R9:R39)</f>
        <v>2.8</v>
      </c>
      <c r="S43" s="154"/>
      <c r="T43" s="154">
        <f>SUM(T9:T39)</f>
        <v>2.8</v>
      </c>
      <c r="U43" s="154"/>
      <c r="V43" s="154">
        <f>SUM(V9:V39)</f>
        <v>0.1</v>
      </c>
      <c r="W43" s="154"/>
      <c r="X43" s="154">
        <f>SUM(X9:X39)</f>
        <v>2.8</v>
      </c>
      <c r="Y43" s="154"/>
      <c r="Z43" s="154">
        <f>SUM(Z9:Z39)</f>
        <v>0.30000000000000004</v>
      </c>
      <c r="AA43" s="154"/>
      <c r="AB43" s="154">
        <f>SUM(AB9:AB39)</f>
        <v>0.4</v>
      </c>
      <c r="AC43" s="154"/>
      <c r="AD43" s="154">
        <f>SUM(AD9:AD39)</f>
        <v>2.9</v>
      </c>
      <c r="AE43" s="154"/>
      <c r="AF43" s="154">
        <f>SUM(AF9:AF39)</f>
        <v>0.2</v>
      </c>
      <c r="AG43" s="154"/>
      <c r="AH43" s="154">
        <f>SUM(AH9:AH39)</f>
        <v>0</v>
      </c>
      <c r="AI43" s="154"/>
      <c r="AJ43" s="154">
        <f>SUM(AJ9:AJ39)</f>
        <v>0</v>
      </c>
      <c r="AK43" s="154"/>
      <c r="AL43" s="154">
        <f>SUM(AL9:AL39)</f>
        <v>0.1</v>
      </c>
      <c r="AM43" s="154"/>
      <c r="AN43" s="154">
        <f>SUM(AN9:AN39)</f>
        <v>0.2</v>
      </c>
      <c r="AO43" s="154"/>
      <c r="AP43" s="154">
        <f>SUM(AP9:AP39)</f>
        <v>0.1</v>
      </c>
      <c r="AQ43" s="154"/>
      <c r="AR43" s="154">
        <f>SUM(AR9:AR39)</f>
        <v>1.6</v>
      </c>
      <c r="AS43" s="154"/>
      <c r="AT43" s="154">
        <f>SUM(AT9:AT39)</f>
        <v>1</v>
      </c>
      <c r="AU43" s="154"/>
      <c r="AV43" s="154">
        <f>SUM(AV9:AV39)</f>
        <v>0.8</v>
      </c>
      <c r="AW43" s="154"/>
      <c r="AX43" s="146"/>
      <c r="AY43" s="53" t="s">
        <v>49</v>
      </c>
      <c r="AZ43" s="53" t="s">
        <v>50</v>
      </c>
      <c r="BA43" s="54" t="s">
        <v>51</v>
      </c>
      <c r="BB43" s="54" t="s">
        <v>61</v>
      </c>
      <c r="BC43" s="214"/>
      <c r="BD43" s="137"/>
      <c r="BE43" s="70"/>
      <c r="BF43" s="238"/>
      <c r="BG43" s="238"/>
      <c r="BH43" s="238"/>
      <c r="BI43" s="214"/>
    </row>
    <row r="44" spans="1:61" s="161" customFormat="1" ht="21" customHeight="1" thickBot="1">
      <c r="A44" s="238" t="s">
        <v>62</v>
      </c>
      <c r="B44" s="155"/>
      <c r="C44" s="155">
        <f>SUM(C9:C39)</f>
        <v>90</v>
      </c>
      <c r="D44" s="155"/>
      <c r="E44" s="155">
        <f>SUM(E9:E39)</f>
        <v>90</v>
      </c>
      <c r="F44" s="155"/>
      <c r="G44" s="155">
        <f>SUM(G9:G39)</f>
        <v>80</v>
      </c>
      <c r="H44" s="155"/>
      <c r="I44" s="155">
        <f>SUM(I9:I39)</f>
        <v>115</v>
      </c>
      <c r="J44" s="155"/>
      <c r="K44" s="155">
        <f>SUM(K9:K39)</f>
        <v>85</v>
      </c>
      <c r="L44" s="155"/>
      <c r="M44" s="155">
        <f>SUM(M9:M39)</f>
        <v>115</v>
      </c>
      <c r="N44" s="155"/>
      <c r="O44" s="155">
        <f>SUM(O9:O39)</f>
        <v>125</v>
      </c>
      <c r="P44" s="155"/>
      <c r="Q44" s="155">
        <f>SUM(Q9:Q39)</f>
        <v>120</v>
      </c>
      <c r="R44" s="155"/>
      <c r="S44" s="155">
        <f>SUM(S9:S39)</f>
        <v>60</v>
      </c>
      <c r="T44" s="155"/>
      <c r="U44" s="155">
        <f>SUM(U9:U39)</f>
        <v>30</v>
      </c>
      <c r="V44" s="155"/>
      <c r="W44" s="155">
        <f>SUM(W9:W39)</f>
        <v>60</v>
      </c>
      <c r="X44" s="155"/>
      <c r="Y44" s="155">
        <f>SUM(Y9:Y39)</f>
        <v>55</v>
      </c>
      <c r="Z44" s="155"/>
      <c r="AA44" s="155">
        <f>SUM(AA9:AA39)</f>
        <v>20</v>
      </c>
      <c r="AB44" s="155"/>
      <c r="AC44" s="155">
        <f>SUM(AC9:AC39)</f>
        <v>20</v>
      </c>
      <c r="AD44" s="155"/>
      <c r="AE44" s="155">
        <f>SUM(AE9:AE39)</f>
        <v>25</v>
      </c>
      <c r="AF44" s="155"/>
      <c r="AG44" s="155">
        <f>SUM(AG9:AG39)</f>
        <v>10</v>
      </c>
      <c r="AH44" s="155"/>
      <c r="AI44" s="155">
        <f>SUM(AI9:AI39)</f>
        <v>0</v>
      </c>
      <c r="AJ44" s="155"/>
      <c r="AK44" s="155">
        <f>SUM(AK9:AK39)</f>
        <v>0</v>
      </c>
      <c r="AL44" s="155"/>
      <c r="AM44" s="155">
        <f>SUM(AM9:AM39)</f>
        <v>5</v>
      </c>
      <c r="AN44" s="155"/>
      <c r="AO44" s="155">
        <f>SUM(AO9:AO39)</f>
        <v>5</v>
      </c>
      <c r="AP44" s="155"/>
      <c r="AQ44" s="155">
        <f>SUM(AQ9:AQ39)</f>
        <v>5</v>
      </c>
      <c r="AR44" s="155"/>
      <c r="AS44" s="155">
        <f>SUM(AS9:AS39)</f>
        <v>50</v>
      </c>
      <c r="AT44" s="155"/>
      <c r="AU44" s="155">
        <f>SUM(AU9:AU39)</f>
        <v>70</v>
      </c>
      <c r="AV44" s="155"/>
      <c r="AW44" s="155">
        <f>SUM(AW9:AW39)</f>
        <v>65</v>
      </c>
      <c r="AX44" s="239"/>
      <c r="AY44" s="157">
        <f>AY9+AY10+AY11+AY12+AY13+AY14+AY15+AY16+AY17+AY18+AY19+AY20+AY21+AY22+AY23+AY24+AY25+AY26+AY27+AY28+AY29+AY30+AY31+AY32+AY33+AY34+AY35+AY36+AY37+AY38+AY39</f>
        <v>55.8</v>
      </c>
      <c r="AZ44" s="158">
        <f>AZ9+AZ10+AZ11+AZ12+AZ13+AZ14+AZ15+AZ16+AZ17+AZ18+AZ19+AZ20+AZ21+AZ22+AZ23+AZ24+AZ25+AZ26+AZ27+AZ28+AZ29+AZ30+AZ31+AZ32+AZ33+AZ34+AZ35+AZ36+AZ37+AZ38+AZ39</f>
        <v>1300</v>
      </c>
      <c r="BA44" s="154">
        <f>MAX(BA9:BA39)</f>
        <v>9</v>
      </c>
      <c r="BB44" s="155">
        <f>SUM(BB8:BB39)</f>
        <v>44</v>
      </c>
      <c r="BC44" s="42"/>
      <c r="BD44" s="197"/>
      <c r="BE44" s="240"/>
      <c r="BF44" s="241"/>
      <c r="BG44" s="240"/>
      <c r="BH44" s="242"/>
      <c r="BI44" s="214"/>
    </row>
    <row r="45" spans="1:61" s="161" customFormat="1" ht="21" customHeight="1" thickBot="1">
      <c r="A45" s="238" t="s">
        <v>63</v>
      </c>
      <c r="B45" s="155">
        <f>COUNT(B9:B39)</f>
        <v>3</v>
      </c>
      <c r="C45" s="155"/>
      <c r="D45" s="155">
        <f>COUNT(D9:D39)</f>
        <v>3</v>
      </c>
      <c r="E45" s="155"/>
      <c r="F45" s="155">
        <f>COUNT(F9:F39)</f>
        <v>2</v>
      </c>
      <c r="G45" s="155"/>
      <c r="H45" s="155">
        <f>COUNT(H9:H39)</f>
        <v>3</v>
      </c>
      <c r="I45" s="155"/>
      <c r="J45" s="155">
        <f>COUNT(J9:J39)</f>
        <v>3</v>
      </c>
      <c r="K45" s="155"/>
      <c r="L45" s="155">
        <f>COUNT(L9:L39)</f>
        <v>3</v>
      </c>
      <c r="M45" s="155"/>
      <c r="N45" s="155">
        <f>COUNT(N9:N39)</f>
        <v>3</v>
      </c>
      <c r="O45" s="155"/>
      <c r="P45" s="155">
        <f>COUNT(P9:P39)</f>
        <v>2</v>
      </c>
      <c r="Q45" s="155"/>
      <c r="R45" s="155">
        <f>COUNT(R9:R39)</f>
        <v>2</v>
      </c>
      <c r="S45" s="155"/>
      <c r="T45" s="155">
        <f>COUNT(T9:T39)</f>
        <v>1</v>
      </c>
      <c r="U45" s="155"/>
      <c r="V45" s="155">
        <f>COUNT(V9:V39)</f>
        <v>1</v>
      </c>
      <c r="W45" s="155"/>
      <c r="X45" s="155">
        <f>COUNT(X9:X39)</f>
        <v>2</v>
      </c>
      <c r="Y45" s="155"/>
      <c r="Z45" s="155">
        <f>COUNT(Z9:Z39)</f>
        <v>2</v>
      </c>
      <c r="AA45" s="155"/>
      <c r="AB45" s="155">
        <f>COUNT(AB9:AB39)</f>
        <v>1</v>
      </c>
      <c r="AC45" s="155"/>
      <c r="AD45" s="155">
        <f>COUNT(AD9:AD39)</f>
        <v>1</v>
      </c>
      <c r="AE45" s="155"/>
      <c r="AF45" s="155">
        <f>COUNT(AF9:AF39)</f>
        <v>2</v>
      </c>
      <c r="AG45" s="155"/>
      <c r="AH45" s="155">
        <f>COUNT(AH9:AH39)</f>
        <v>0</v>
      </c>
      <c r="AI45" s="155"/>
      <c r="AJ45" s="155">
        <f>COUNT(AJ9:AJ39)</f>
        <v>0</v>
      </c>
      <c r="AK45" s="155"/>
      <c r="AL45" s="155">
        <f>COUNT(AL9:AL39)</f>
        <v>1</v>
      </c>
      <c r="AM45" s="155"/>
      <c r="AN45" s="155">
        <f>COUNT(AN9:AN39)</f>
        <v>1</v>
      </c>
      <c r="AO45" s="162"/>
      <c r="AP45" s="155">
        <f>COUNT(AP9:AP39)</f>
        <v>1</v>
      </c>
      <c r="AQ45" s="155"/>
      <c r="AR45" s="155">
        <f>COUNT(AR9:AR39)</f>
        <v>1</v>
      </c>
      <c r="AS45" s="155"/>
      <c r="AT45" s="155">
        <f>COUNT(AT9:AT39)</f>
        <v>3</v>
      </c>
      <c r="AU45" s="155"/>
      <c r="AV45" s="155">
        <f>COUNT(AV9:AV39)</f>
        <v>3</v>
      </c>
      <c r="AW45" s="155"/>
      <c r="AX45" s="243"/>
      <c r="AY45" s="164" t="s">
        <v>64</v>
      </c>
      <c r="AZ45" s="165" t="s">
        <v>65</v>
      </c>
      <c r="BA45" s="240"/>
      <c r="BB45" s="34" t="s">
        <v>66</v>
      </c>
      <c r="BC45" s="214"/>
      <c r="BD45" s="197"/>
      <c r="BE45" s="238"/>
      <c r="BF45" s="241"/>
      <c r="BG45" s="240"/>
      <c r="BH45" s="238"/>
      <c r="BI45" s="214"/>
    </row>
    <row r="46" spans="1:61" s="161" customFormat="1" ht="21" customHeight="1" thickBot="1">
      <c r="A46" s="196"/>
      <c r="B46" s="196"/>
      <c r="C46" s="196"/>
      <c r="D46" s="196"/>
      <c r="E46" s="196"/>
      <c r="F46" s="196"/>
      <c r="G46" s="196"/>
      <c r="H46" s="196"/>
      <c r="I46" s="196"/>
      <c r="J46" s="196"/>
      <c r="K46" s="196"/>
      <c r="L46" s="196"/>
      <c r="M46" s="196"/>
      <c r="N46" s="196"/>
      <c r="O46" s="196"/>
      <c r="P46" s="196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196"/>
      <c r="AP46" s="196"/>
      <c r="AQ46" s="196"/>
      <c r="AR46" s="196"/>
      <c r="AS46" s="196"/>
      <c r="AT46" s="196"/>
      <c r="AU46" s="196"/>
      <c r="AV46" s="196"/>
      <c r="AW46" s="31"/>
      <c r="AX46" s="244"/>
      <c r="AY46" s="157">
        <f>[1]ano!G44</f>
        <v>64.142314285714306</v>
      </c>
      <c r="AZ46" s="167"/>
      <c r="BA46" s="245"/>
      <c r="BB46" s="35" t="s">
        <v>58</v>
      </c>
      <c r="BC46" s="214"/>
      <c r="BD46" s="197"/>
      <c r="BE46" s="240"/>
      <c r="BF46" s="238"/>
      <c r="BG46" s="245"/>
      <c r="BH46" s="238"/>
      <c r="BI46" s="214"/>
    </row>
    <row r="47" spans="1:61" s="161" customFormat="1" ht="21" customHeight="1" thickBot="1">
      <c r="A47" s="246"/>
      <c r="B47" s="247" t="s">
        <v>67</v>
      </c>
      <c r="C47" s="248"/>
      <c r="D47" s="248"/>
      <c r="E47" s="248"/>
      <c r="F47" s="248"/>
      <c r="G47" s="248"/>
      <c r="H47" s="248"/>
      <c r="I47" s="248"/>
      <c r="J47" s="248"/>
      <c r="K47" s="248"/>
      <c r="L47" s="248"/>
      <c r="M47" s="248"/>
      <c r="N47" s="242"/>
      <c r="O47" s="242"/>
      <c r="P47" s="242"/>
      <c r="Q47" s="242"/>
      <c r="R47" s="242"/>
      <c r="S47" s="242"/>
      <c r="T47" s="242"/>
      <c r="U47" s="242"/>
      <c r="V47" s="242"/>
      <c r="W47" s="242"/>
      <c r="X47" s="242"/>
      <c r="Y47" s="242"/>
      <c r="Z47" s="242"/>
      <c r="AA47" s="242"/>
      <c r="AB47" s="242"/>
      <c r="AC47" s="242"/>
      <c r="AD47" s="242"/>
      <c r="AE47" s="242"/>
      <c r="AF47" s="242"/>
      <c r="AG47" s="242"/>
      <c r="AH47" s="242"/>
      <c r="AI47" s="242"/>
      <c r="AJ47" s="242"/>
      <c r="AK47" s="242"/>
      <c r="AL47" s="242"/>
      <c r="AM47" s="242"/>
      <c r="AN47" s="242"/>
      <c r="AO47" s="242"/>
      <c r="AP47" s="242"/>
      <c r="AQ47" s="242"/>
      <c r="AR47" s="242"/>
      <c r="AS47" s="242"/>
      <c r="AT47" s="242"/>
      <c r="AU47" s="242"/>
      <c r="AV47" s="242"/>
      <c r="AW47" s="242"/>
      <c r="AX47" s="249"/>
      <c r="AY47" s="26" t="s">
        <v>68</v>
      </c>
      <c r="AZ47" s="167"/>
      <c r="BA47" s="245"/>
      <c r="BB47" s="54" t="s">
        <v>61</v>
      </c>
      <c r="BC47" s="214"/>
      <c r="BD47" s="197"/>
      <c r="BE47" s="238"/>
      <c r="BF47" s="238"/>
      <c r="BG47" s="245"/>
      <c r="BH47" s="238"/>
      <c r="BI47" s="214"/>
    </row>
    <row r="48" spans="1:61" s="161" customFormat="1" ht="21" customHeight="1" thickBot="1">
      <c r="A48" s="245"/>
      <c r="B48" s="250" t="s">
        <v>69</v>
      </c>
      <c r="C48" s="245"/>
      <c r="D48" s="245"/>
      <c r="E48" s="245"/>
      <c r="F48" s="245"/>
      <c r="G48" s="245"/>
      <c r="H48" s="245"/>
      <c r="I48" s="245"/>
      <c r="J48" s="245"/>
      <c r="K48" s="245"/>
      <c r="L48" s="245"/>
      <c r="M48" s="245"/>
      <c r="N48" s="196"/>
      <c r="O48" s="196"/>
      <c r="P48" s="196"/>
      <c r="Q48" s="196"/>
      <c r="R48" s="196"/>
      <c r="S48" s="196"/>
      <c r="T48" s="196"/>
      <c r="U48" s="196"/>
      <c r="V48" s="196"/>
      <c r="W48" s="196"/>
      <c r="X48" s="196"/>
      <c r="Y48" s="196"/>
      <c r="Z48" s="196"/>
      <c r="AA48" s="196"/>
      <c r="AB48" s="196"/>
      <c r="AC48" s="196"/>
      <c r="AD48" s="196"/>
      <c r="AE48" s="196"/>
      <c r="AF48" s="196"/>
      <c r="AG48" s="196"/>
      <c r="AH48" s="196"/>
      <c r="AI48" s="196"/>
      <c r="AJ48" s="196"/>
      <c r="AK48" s="196"/>
      <c r="AL48" s="196"/>
      <c r="AM48" s="196"/>
      <c r="AN48" s="196"/>
      <c r="AO48" s="196"/>
      <c r="AP48" s="196"/>
      <c r="AQ48" s="196"/>
      <c r="AR48" s="196"/>
      <c r="AS48" s="196"/>
      <c r="AT48" s="196"/>
      <c r="AU48" s="196"/>
      <c r="AV48" s="196"/>
      <c r="AW48" s="196"/>
      <c r="AX48" s="178"/>
      <c r="AY48" s="157">
        <f>AY44-AY46</f>
        <v>-8.3423142857143091</v>
      </c>
      <c r="AZ48" s="179"/>
      <c r="BA48" s="245"/>
      <c r="BB48" s="155">
        <f>SUM(BD9:BD39)</f>
        <v>9</v>
      </c>
      <c r="BC48" s="180"/>
      <c r="BD48" s="197"/>
      <c r="BE48" s="240"/>
      <c r="BF48" s="240"/>
      <c r="BG48" s="245"/>
      <c r="BH48" s="242"/>
      <c r="BI48" s="214"/>
    </row>
    <row r="49" spans="1:61" ht="24" customHeight="1">
      <c r="A49" s="1"/>
      <c r="B49" s="251" t="s">
        <v>71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245"/>
      <c r="AX49" s="1"/>
      <c r="AY49" s="1"/>
      <c r="AZ49" s="1"/>
      <c r="BA49" s="1"/>
      <c r="BB49" s="1"/>
      <c r="BC49" s="17"/>
      <c r="BD49" s="197"/>
      <c r="BE49" s="1"/>
      <c r="BF49" s="1"/>
      <c r="BG49" s="1"/>
      <c r="BH49" s="1"/>
      <c r="BI49" s="17"/>
    </row>
    <row r="50" spans="1:61" ht="23.25">
      <c r="A50" s="252"/>
      <c r="B50" s="252"/>
      <c r="C50" s="252"/>
      <c r="D50" s="252"/>
      <c r="E50" s="252"/>
      <c r="F50" s="252"/>
      <c r="G50" s="252"/>
      <c r="H50" s="252"/>
      <c r="I50" s="252"/>
      <c r="J50" s="252"/>
      <c r="K50" s="252"/>
      <c r="L50" s="252"/>
      <c r="M50" s="252"/>
      <c r="N50" s="252"/>
      <c r="O50" s="252"/>
      <c r="P50" s="252"/>
      <c r="Q50" s="252"/>
      <c r="R50" s="252"/>
      <c r="S50" s="252"/>
      <c r="T50" s="252"/>
      <c r="U50" s="252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61" s="189" customFormat="1" ht="18">
      <c r="A51" s="188"/>
      <c r="B51" s="188"/>
      <c r="C51" s="188"/>
      <c r="D51" s="188"/>
      <c r="E51" s="188"/>
      <c r="F51" s="188"/>
      <c r="G51" s="188"/>
      <c r="H51" s="188"/>
      <c r="I51" s="188"/>
      <c r="J51" s="188"/>
      <c r="K51" s="188"/>
      <c r="L51" s="188"/>
      <c r="M51" s="188"/>
      <c r="N51" s="188"/>
      <c r="O51" s="188"/>
      <c r="P51" s="188"/>
      <c r="Q51" s="188"/>
      <c r="R51" s="188"/>
      <c r="S51" s="188"/>
      <c r="T51" s="188"/>
      <c r="U51" s="188"/>
      <c r="V51" s="188"/>
      <c r="W51" s="188"/>
      <c r="X51" s="188"/>
      <c r="Y51" s="188"/>
      <c r="Z51" s="188"/>
      <c r="AA51" s="188"/>
      <c r="AB51" s="188"/>
      <c r="AC51" s="188"/>
      <c r="AD51" s="188"/>
      <c r="AE51" s="188"/>
      <c r="AF51" s="188"/>
      <c r="AG51" s="188"/>
      <c r="AH51" s="188"/>
      <c r="AI51" s="188"/>
      <c r="AJ51" s="188"/>
      <c r="AK51" s="188"/>
      <c r="AL51" s="188"/>
      <c r="AM51" s="188"/>
      <c r="AN51" s="188"/>
      <c r="AO51" s="188"/>
      <c r="AP51" s="188"/>
      <c r="AQ51" s="188"/>
      <c r="AR51" s="188"/>
      <c r="AS51" s="188"/>
      <c r="AT51" s="188"/>
      <c r="AU51" s="188"/>
      <c r="AV51" s="188"/>
      <c r="BD51" s="191"/>
    </row>
    <row r="52" spans="1:61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61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1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1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1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12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1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1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</sheetData>
  <sheetProtection selectLockedCells="1" selectUnlockedCells="1"/>
  <mergeCells count="52">
    <mergeCell ref="AL41:AM41"/>
    <mergeCell ref="AN41:AO41"/>
    <mergeCell ref="AP41:AQ41"/>
    <mergeCell ref="AR41:AS41"/>
    <mergeCell ref="AT41:AU41"/>
    <mergeCell ref="AV41:AW41"/>
    <mergeCell ref="Z41:AA41"/>
    <mergeCell ref="AB41:AC41"/>
    <mergeCell ref="AD41:AE41"/>
    <mergeCell ref="AF41:AG41"/>
    <mergeCell ref="AH41:AI41"/>
    <mergeCell ref="AJ41:AK41"/>
    <mergeCell ref="N41:O41"/>
    <mergeCell ref="P41:Q41"/>
    <mergeCell ref="R41:S41"/>
    <mergeCell ref="T41:U41"/>
    <mergeCell ref="V41:W41"/>
    <mergeCell ref="X41:Y41"/>
    <mergeCell ref="B41:C41"/>
    <mergeCell ref="D41:E41"/>
    <mergeCell ref="F41:G41"/>
    <mergeCell ref="H41:I41"/>
    <mergeCell ref="J41:K41"/>
    <mergeCell ref="L41:M41"/>
    <mergeCell ref="AL7:AM7"/>
    <mergeCell ref="AN7:AO7"/>
    <mergeCell ref="AP7:AQ7"/>
    <mergeCell ref="AR7:AS7"/>
    <mergeCell ref="AT7:AU7"/>
    <mergeCell ref="AV7:AW7"/>
    <mergeCell ref="Z7:AA7"/>
    <mergeCell ref="AB7:AC7"/>
    <mergeCell ref="AD7:AE7"/>
    <mergeCell ref="AF7:AG7"/>
    <mergeCell ref="AH7:AI7"/>
    <mergeCell ref="AJ7:AK7"/>
    <mergeCell ref="N7:O7"/>
    <mergeCell ref="P7:Q7"/>
    <mergeCell ref="R7:S7"/>
    <mergeCell ref="T7:U7"/>
    <mergeCell ref="V7:W7"/>
    <mergeCell ref="X7:Y7"/>
    <mergeCell ref="G1:I1"/>
    <mergeCell ref="AY4:BB4"/>
    <mergeCell ref="BE4:BH4"/>
    <mergeCell ref="AY5:BB5"/>
    <mergeCell ref="B7:C7"/>
    <mergeCell ref="D7:E7"/>
    <mergeCell ref="F7:G7"/>
    <mergeCell ref="H7:I7"/>
    <mergeCell ref="J7:K7"/>
    <mergeCell ref="L7:M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BI59"/>
  <sheetViews>
    <sheetView showGridLines="0" defaultGridColor="0" colorId="8" zoomScale="60" zoomScaleNormal="60" workbookViewId="0">
      <selection activeCell="B5" sqref="B5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193" customWidth="1"/>
    <col min="57" max="58" width="13.140625" customWidth="1"/>
    <col min="59" max="59" width="12.42578125" customWidth="1"/>
    <col min="60" max="60" width="14.42578125" customWidth="1"/>
  </cols>
  <sheetData>
    <row r="1" spans="1:61" s="6" customFormat="1" ht="21" customHeight="1">
      <c r="A1" s="1"/>
      <c r="B1" s="2" t="s">
        <v>81</v>
      </c>
      <c r="C1" s="3"/>
      <c r="D1" s="1"/>
      <c r="E1" s="1"/>
      <c r="F1" s="1"/>
      <c r="G1" s="1"/>
      <c r="H1" s="290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1"/>
      <c r="B2" s="7" t="s">
        <v>77</v>
      </c>
      <c r="C2" s="8"/>
      <c r="D2" s="8"/>
      <c r="E2" s="8"/>
      <c r="F2" s="9"/>
      <c r="G2" s="9"/>
      <c r="H2" s="288"/>
      <c r="I2" s="288"/>
      <c r="J2" s="288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</row>
    <row r="3" spans="1:61" s="6" customFormat="1" ht="21" customHeight="1" thickBot="1">
      <c r="A3" s="1"/>
      <c r="B3" s="194" t="s">
        <v>80</v>
      </c>
      <c r="C3" s="8"/>
      <c r="D3" s="8"/>
      <c r="E3" s="8"/>
      <c r="F3" s="9"/>
      <c r="G3" s="9"/>
      <c r="H3" s="1"/>
      <c r="I3" s="1"/>
      <c r="J3" s="1"/>
      <c r="K3" s="1"/>
      <c r="L3" s="1"/>
      <c r="M3" s="3" t="s">
        <v>8</v>
      </c>
      <c r="N3" s="1"/>
      <c r="O3" s="1"/>
      <c r="P3" s="1"/>
      <c r="Q3" s="1"/>
      <c r="R3" s="1"/>
      <c r="S3" s="1"/>
      <c r="T3" s="1"/>
      <c r="U3" s="1"/>
      <c r="V3" s="1"/>
      <c r="W3" s="13"/>
      <c r="X3" s="13"/>
      <c r="Y3" s="13"/>
      <c r="Z3" s="13"/>
      <c r="AA3" s="13"/>
      <c r="AB3" s="13"/>
      <c r="AC3" s="13"/>
      <c r="AD3" s="13"/>
      <c r="AE3" s="10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</row>
    <row r="4" spans="1:61" ht="21" customHeight="1" thickBot="1">
      <c r="A4" s="195"/>
      <c r="B4" s="196"/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  <c r="X4" s="196"/>
      <c r="Y4" s="196"/>
      <c r="Z4" s="196"/>
      <c r="AA4" s="196"/>
      <c r="AB4" s="196"/>
      <c r="AC4" s="196"/>
      <c r="AD4" s="196"/>
      <c r="AE4" s="196"/>
      <c r="AF4" s="196"/>
      <c r="AG4" s="196"/>
      <c r="AH4" s="196"/>
      <c r="AI4" s="196"/>
      <c r="AJ4" s="196"/>
      <c r="AK4" s="196"/>
      <c r="AL4" s="196"/>
      <c r="AM4" s="196"/>
      <c r="AN4" s="196"/>
      <c r="AO4" s="196"/>
      <c r="AP4" s="196"/>
      <c r="AQ4" s="196"/>
      <c r="AR4" s="196"/>
      <c r="AS4" s="196"/>
      <c r="AT4" s="196"/>
      <c r="AU4" s="196"/>
      <c r="AV4" s="196"/>
      <c r="AW4" s="196"/>
      <c r="AX4" s="196"/>
      <c r="AY4" s="18" t="s">
        <v>9</v>
      </c>
      <c r="AZ4" s="18"/>
      <c r="BA4" s="18"/>
      <c r="BB4" s="18"/>
      <c r="BC4" s="17"/>
      <c r="BD4" s="19"/>
      <c r="BE4" s="18" t="s">
        <v>9</v>
      </c>
      <c r="BF4" s="18"/>
      <c r="BG4" s="18"/>
      <c r="BH4" s="18"/>
    </row>
    <row r="5" spans="1:61" ht="21" customHeight="1" thickBo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"/>
      <c r="AS5" s="1"/>
      <c r="AT5" s="1"/>
      <c r="AU5" s="1"/>
      <c r="AV5" s="1"/>
      <c r="AW5" s="1"/>
      <c r="AX5" s="17"/>
      <c r="AY5" s="25" t="s">
        <v>11</v>
      </c>
      <c r="AZ5" s="25"/>
      <c r="BA5" s="25"/>
      <c r="BB5" s="25"/>
      <c r="BC5" s="17"/>
      <c r="BD5" s="19"/>
      <c r="BE5" s="26" t="s">
        <v>12</v>
      </c>
      <c r="BF5" s="27" t="s">
        <v>13</v>
      </c>
      <c r="BG5" s="28" t="s">
        <v>14</v>
      </c>
      <c r="BH5" s="29"/>
    </row>
    <row r="6" spans="1:61" ht="21" customHeight="1" thickBot="1">
      <c r="A6" s="30"/>
      <c r="B6" s="31"/>
      <c r="C6" s="32"/>
      <c r="D6" s="31"/>
      <c r="E6" s="32"/>
      <c r="F6" s="31"/>
      <c r="G6" s="32"/>
      <c r="H6" s="31"/>
      <c r="I6" s="32"/>
      <c r="J6" s="31"/>
      <c r="K6" s="32"/>
      <c r="L6" s="31"/>
      <c r="M6" s="32"/>
      <c r="N6" s="31"/>
      <c r="O6" s="32"/>
      <c r="P6" s="31"/>
      <c r="Q6" s="32"/>
      <c r="R6" s="31"/>
      <c r="S6" s="32"/>
      <c r="T6" s="31"/>
      <c r="U6" s="32"/>
      <c r="V6" s="31"/>
      <c r="W6" s="32"/>
      <c r="X6" s="31"/>
      <c r="Y6" s="32"/>
      <c r="Z6" s="31"/>
      <c r="AA6" s="32"/>
      <c r="AB6" s="31"/>
      <c r="AC6" s="32"/>
      <c r="AD6" s="31"/>
      <c r="AE6" s="32"/>
      <c r="AF6" s="31"/>
      <c r="AG6" s="32"/>
      <c r="AH6" s="31"/>
      <c r="AI6" s="32"/>
      <c r="AJ6" s="31"/>
      <c r="AK6" s="32"/>
      <c r="AL6" s="31"/>
      <c r="AM6" s="32"/>
      <c r="AN6" s="31"/>
      <c r="AO6" s="32"/>
      <c r="AP6" s="31"/>
      <c r="AQ6" s="32"/>
      <c r="AR6" s="31"/>
      <c r="AS6" s="32"/>
      <c r="AT6" s="31"/>
      <c r="AU6" s="32"/>
      <c r="AV6" s="31"/>
      <c r="AW6" s="32"/>
      <c r="AX6" s="31"/>
      <c r="AY6" s="33" t="s">
        <v>15</v>
      </c>
      <c r="AZ6" s="33" t="s">
        <v>16</v>
      </c>
      <c r="BA6" s="34" t="s">
        <v>17</v>
      </c>
      <c r="BB6" s="34"/>
      <c r="BC6" s="17"/>
      <c r="BD6" s="19"/>
      <c r="BE6" s="35" t="s">
        <v>15</v>
      </c>
      <c r="BF6" s="35"/>
      <c r="BG6" s="35" t="s">
        <v>17</v>
      </c>
      <c r="BH6" s="35"/>
    </row>
    <row r="7" spans="1:61" ht="21" customHeight="1" thickBot="1">
      <c r="A7" s="36" t="s">
        <v>18</v>
      </c>
      <c r="B7" s="37" t="s">
        <v>19</v>
      </c>
      <c r="C7" s="37"/>
      <c r="D7" s="38" t="s">
        <v>20</v>
      </c>
      <c r="E7" s="38"/>
      <c r="F7" s="37" t="s">
        <v>21</v>
      </c>
      <c r="G7" s="37"/>
      <c r="H7" s="37" t="s">
        <v>22</v>
      </c>
      <c r="I7" s="37"/>
      <c r="J7" s="39" t="s">
        <v>23</v>
      </c>
      <c r="K7" s="39"/>
      <c r="L7" s="37" t="s">
        <v>24</v>
      </c>
      <c r="M7" s="37"/>
      <c r="N7" s="37" t="s">
        <v>25</v>
      </c>
      <c r="O7" s="37"/>
      <c r="P7" s="37" t="s">
        <v>26</v>
      </c>
      <c r="Q7" s="37"/>
      <c r="R7" s="37" t="s">
        <v>27</v>
      </c>
      <c r="S7" s="37"/>
      <c r="T7" s="37" t="s">
        <v>28</v>
      </c>
      <c r="U7" s="37"/>
      <c r="V7" s="37" t="s">
        <v>29</v>
      </c>
      <c r="W7" s="37"/>
      <c r="X7" s="37" t="s">
        <v>30</v>
      </c>
      <c r="Y7" s="37"/>
      <c r="Z7" s="40" t="s">
        <v>31</v>
      </c>
      <c r="AA7" s="40"/>
      <c r="AB7" s="37" t="s">
        <v>32</v>
      </c>
      <c r="AC7" s="37"/>
      <c r="AD7" s="37" t="s">
        <v>33</v>
      </c>
      <c r="AE7" s="37"/>
      <c r="AF7" s="37" t="s">
        <v>34</v>
      </c>
      <c r="AG7" s="37"/>
      <c r="AH7" s="37" t="s">
        <v>35</v>
      </c>
      <c r="AI7" s="37"/>
      <c r="AJ7" s="37" t="s">
        <v>36</v>
      </c>
      <c r="AK7" s="37"/>
      <c r="AL7" s="37" t="s">
        <v>37</v>
      </c>
      <c r="AM7" s="37"/>
      <c r="AN7" s="37" t="s">
        <v>38</v>
      </c>
      <c r="AO7" s="37"/>
      <c r="AP7" s="37" t="s">
        <v>39</v>
      </c>
      <c r="AQ7" s="37"/>
      <c r="AR7" s="37" t="s">
        <v>40</v>
      </c>
      <c r="AS7" s="37"/>
      <c r="AT7" s="37" t="s">
        <v>41</v>
      </c>
      <c r="AU7" s="37"/>
      <c r="AV7" s="37" t="s">
        <v>42</v>
      </c>
      <c r="AW7" s="37"/>
      <c r="AX7" s="41" t="s">
        <v>18</v>
      </c>
      <c r="AY7" s="35" t="s">
        <v>43</v>
      </c>
      <c r="AZ7" s="35" t="s">
        <v>43</v>
      </c>
      <c r="BA7" s="35" t="s">
        <v>44</v>
      </c>
      <c r="BB7" s="35" t="s">
        <v>45</v>
      </c>
      <c r="BC7" s="42"/>
      <c r="BD7" s="197"/>
      <c r="BE7" s="35" t="s">
        <v>43</v>
      </c>
      <c r="BF7" s="35"/>
      <c r="BG7" s="35" t="s">
        <v>44</v>
      </c>
      <c r="BH7" s="35"/>
    </row>
    <row r="8" spans="1:61" ht="21" customHeight="1" thickBot="1">
      <c r="A8" s="43" t="s">
        <v>46</v>
      </c>
      <c r="B8" s="198" t="s">
        <v>47</v>
      </c>
      <c r="C8" s="199" t="s">
        <v>48</v>
      </c>
      <c r="D8" s="200" t="s">
        <v>47</v>
      </c>
      <c r="E8" s="201" t="s">
        <v>48</v>
      </c>
      <c r="F8" s="200" t="s">
        <v>47</v>
      </c>
      <c r="G8" s="202" t="s">
        <v>48</v>
      </c>
      <c r="H8" s="200" t="s">
        <v>47</v>
      </c>
      <c r="I8" s="202" t="s">
        <v>48</v>
      </c>
      <c r="J8" s="200" t="s">
        <v>47</v>
      </c>
      <c r="K8" s="202" t="s">
        <v>48</v>
      </c>
      <c r="L8" s="200" t="s">
        <v>47</v>
      </c>
      <c r="M8" s="202" t="s">
        <v>48</v>
      </c>
      <c r="N8" s="200" t="s">
        <v>47</v>
      </c>
      <c r="O8" s="202" t="s">
        <v>48</v>
      </c>
      <c r="P8" s="200" t="s">
        <v>47</v>
      </c>
      <c r="Q8" s="202" t="s">
        <v>48</v>
      </c>
      <c r="R8" s="200" t="s">
        <v>47</v>
      </c>
      <c r="S8" s="202" t="s">
        <v>48</v>
      </c>
      <c r="T8" s="200" t="s">
        <v>47</v>
      </c>
      <c r="U8" s="202" t="s">
        <v>48</v>
      </c>
      <c r="V8" s="200" t="s">
        <v>47</v>
      </c>
      <c r="W8" s="202" t="s">
        <v>48</v>
      </c>
      <c r="X8" s="200" t="s">
        <v>47</v>
      </c>
      <c r="Y8" s="202" t="s">
        <v>48</v>
      </c>
      <c r="Z8" s="200" t="s">
        <v>47</v>
      </c>
      <c r="AA8" s="202" t="s">
        <v>48</v>
      </c>
      <c r="AB8" s="200" t="s">
        <v>47</v>
      </c>
      <c r="AC8" s="202" t="s">
        <v>48</v>
      </c>
      <c r="AD8" s="200" t="s">
        <v>47</v>
      </c>
      <c r="AE8" s="202" t="s">
        <v>48</v>
      </c>
      <c r="AF8" s="200" t="s">
        <v>47</v>
      </c>
      <c r="AG8" s="202" t="s">
        <v>48</v>
      </c>
      <c r="AH8" s="200" t="s">
        <v>47</v>
      </c>
      <c r="AI8" s="202" t="s">
        <v>48</v>
      </c>
      <c r="AJ8" s="200" t="s">
        <v>47</v>
      </c>
      <c r="AK8" s="203" t="s">
        <v>48</v>
      </c>
      <c r="AL8" s="200" t="s">
        <v>47</v>
      </c>
      <c r="AM8" s="202" t="s">
        <v>48</v>
      </c>
      <c r="AN8" s="200" t="s">
        <v>47</v>
      </c>
      <c r="AO8" s="202" t="s">
        <v>48</v>
      </c>
      <c r="AP8" s="200" t="s">
        <v>47</v>
      </c>
      <c r="AQ8" s="203" t="s">
        <v>48</v>
      </c>
      <c r="AR8" s="200" t="s">
        <v>47</v>
      </c>
      <c r="AS8" s="202" t="s">
        <v>48</v>
      </c>
      <c r="AT8" s="204" t="s">
        <v>47</v>
      </c>
      <c r="AU8" s="205" t="s">
        <v>48</v>
      </c>
      <c r="AV8" s="204" t="s">
        <v>47</v>
      </c>
      <c r="AW8" s="205" t="s">
        <v>48</v>
      </c>
      <c r="AX8" s="52" t="s">
        <v>46</v>
      </c>
      <c r="AY8" s="53" t="s">
        <v>49</v>
      </c>
      <c r="AZ8" s="53" t="s">
        <v>50</v>
      </c>
      <c r="BA8" s="54" t="s">
        <v>51</v>
      </c>
      <c r="BB8" s="54" t="s">
        <v>52</v>
      </c>
      <c r="BC8" s="206"/>
      <c r="BD8" s="197"/>
      <c r="BE8" s="54" t="s">
        <v>49</v>
      </c>
      <c r="BF8" s="54"/>
      <c r="BG8" s="54" t="s">
        <v>51</v>
      </c>
      <c r="BH8" s="54" t="s">
        <v>52</v>
      </c>
    </row>
    <row r="9" spans="1:61" ht="21" customHeight="1" thickBot="1">
      <c r="A9" s="71">
        <v>1</v>
      </c>
      <c r="B9" s="256"/>
      <c r="C9" s="257"/>
      <c r="D9" s="258"/>
      <c r="E9" s="257"/>
      <c r="F9" s="258"/>
      <c r="G9" s="257"/>
      <c r="H9" s="258"/>
      <c r="I9" s="257"/>
      <c r="J9" s="258"/>
      <c r="K9" s="257"/>
      <c r="L9" s="258"/>
      <c r="M9" s="257"/>
      <c r="N9" s="258"/>
      <c r="O9" s="257"/>
      <c r="P9" s="258"/>
      <c r="Q9" s="257"/>
      <c r="R9" s="258"/>
      <c r="S9" s="257"/>
      <c r="T9" s="258"/>
      <c r="U9" s="257"/>
      <c r="V9" s="258"/>
      <c r="W9" s="257"/>
      <c r="X9" s="258"/>
      <c r="Y9" s="257"/>
      <c r="Z9" s="258"/>
      <c r="AA9" s="257"/>
      <c r="AB9" s="258"/>
      <c r="AC9" s="257"/>
      <c r="AD9" s="258"/>
      <c r="AE9" s="257"/>
      <c r="AF9" s="259"/>
      <c r="AG9" s="257"/>
      <c r="AH9" s="258"/>
      <c r="AI9" s="257"/>
      <c r="AJ9" s="258"/>
      <c r="AK9" s="262"/>
      <c r="AL9" s="256"/>
      <c r="AM9" s="261"/>
      <c r="AN9" s="256"/>
      <c r="AO9" s="261"/>
      <c r="AP9" s="256"/>
      <c r="AQ9" s="262"/>
      <c r="AR9" s="256"/>
      <c r="AS9" s="263"/>
      <c r="AT9" s="256"/>
      <c r="AU9" s="262"/>
      <c r="AV9" s="256"/>
      <c r="AW9" s="262"/>
      <c r="AX9" s="91">
        <v>1</v>
      </c>
      <c r="AY9" s="92">
        <f t="shared" ref="AY9:AZ38" si="0">B9+D9+F9+H9+J9+L9+N9+P9+R9+T9+V9+X9+Z9+AB9+AD9+AF9+AH9+AJ9+AL9+AN9+AP9+AR9+AT9+AV9</f>
        <v>0</v>
      </c>
      <c r="AZ9" s="93">
        <f t="shared" si="0"/>
        <v>0</v>
      </c>
      <c r="BA9" s="94">
        <f t="shared" ref="BA9:BA38" si="1">MAX(B9,D9,F9,H9,J9,L9,N9,P9,R9,T9,V9,X9,Z9,AB9,AD9,AF9,AH9,AJ9,AL9,AN9,AP9,AR9,AT9,AV9)</f>
        <v>0</v>
      </c>
      <c r="BB9" s="95">
        <f t="shared" ref="BB9:BB38" si="2">COUNT(B9,D9,F9,H9,J9,L9,N9,P9,R9,T9,V9,X9,Z9,AB9,AD9,AF9,AH9,AJ9,AL9,AN9,AP9,AR9,AT9,AV9)</f>
        <v>0</v>
      </c>
      <c r="BC9" s="214"/>
      <c r="BD9" s="197">
        <f t="shared" ref="BD9:BD38" si="3">IF(BB9&gt;0,1,0)</f>
        <v>0</v>
      </c>
      <c r="BE9" s="264">
        <f>maio!$BH40</f>
        <v>0</v>
      </c>
      <c r="BF9" s="85">
        <v>39233</v>
      </c>
      <c r="BG9" s="86">
        <f>junho!$BE10</f>
        <v>0.1</v>
      </c>
      <c r="BH9" s="87"/>
      <c r="BI9" s="197">
        <f>IF(BH9&gt;0,1,0)</f>
        <v>0</v>
      </c>
    </row>
    <row r="10" spans="1:61" ht="21" customHeight="1" thickBot="1">
      <c r="A10" s="71">
        <v>2</v>
      </c>
      <c r="B10" s="258"/>
      <c r="C10" s="257"/>
      <c r="D10" s="258"/>
      <c r="E10" s="257"/>
      <c r="F10" s="258"/>
      <c r="G10" s="257"/>
      <c r="H10" s="258"/>
      <c r="I10" s="257"/>
      <c r="J10" s="258"/>
      <c r="K10" s="257"/>
      <c r="L10" s="258"/>
      <c r="M10" s="257"/>
      <c r="N10" s="258">
        <v>0.1</v>
      </c>
      <c r="O10" s="257">
        <v>60</v>
      </c>
      <c r="P10" s="258"/>
      <c r="Q10" s="257"/>
      <c r="R10" s="258"/>
      <c r="S10" s="257"/>
      <c r="T10" s="258"/>
      <c r="U10" s="257"/>
      <c r="V10" s="258"/>
      <c r="W10" s="257"/>
      <c r="X10" s="258"/>
      <c r="Y10" s="257"/>
      <c r="Z10" s="258"/>
      <c r="AA10" s="257"/>
      <c r="AB10" s="258"/>
      <c r="AC10" s="257"/>
      <c r="AD10" s="258"/>
      <c r="AE10" s="257"/>
      <c r="AF10" s="258"/>
      <c r="AG10" s="257"/>
      <c r="AH10" s="258"/>
      <c r="AI10" s="257"/>
      <c r="AJ10" s="258"/>
      <c r="AK10" s="265"/>
      <c r="AL10" s="258"/>
      <c r="AM10" s="257"/>
      <c r="AN10" s="258"/>
      <c r="AO10" s="257"/>
      <c r="AP10" s="258"/>
      <c r="AQ10" s="265"/>
      <c r="AR10" s="258"/>
      <c r="AS10" s="257"/>
      <c r="AT10" s="258"/>
      <c r="AU10" s="265"/>
      <c r="AV10" s="258"/>
      <c r="AW10" s="265"/>
      <c r="AX10" s="91">
        <v>2</v>
      </c>
      <c r="AY10" s="92">
        <f t="shared" si="0"/>
        <v>0.1</v>
      </c>
      <c r="AZ10" s="93">
        <f t="shared" si="0"/>
        <v>60</v>
      </c>
      <c r="BA10" s="94">
        <f t="shared" si="1"/>
        <v>0.1</v>
      </c>
      <c r="BB10" s="95">
        <f t="shared" si="2"/>
        <v>1</v>
      </c>
      <c r="BC10" s="214"/>
      <c r="BD10" s="197">
        <f t="shared" si="3"/>
        <v>1</v>
      </c>
      <c r="BE10" s="84">
        <f>P9+R9+T9+V9+X9+Z9+AB9+AD9+AF9+AH9+AJ9+AL9+AN9+AP9+AR9+AT9+AV9+B10+D10+F10+H10+J10+L10+N10</f>
        <v>0.1</v>
      </c>
      <c r="BF10" s="96"/>
      <c r="BG10" s="86">
        <f>junho!$BE11</f>
        <v>0</v>
      </c>
      <c r="BH10" s="97"/>
      <c r="BI10" s="197">
        <f>IF(BH10&gt;0,1,0)</f>
        <v>0</v>
      </c>
    </row>
    <row r="11" spans="1:61" ht="21" customHeight="1">
      <c r="A11" s="71">
        <v>3</v>
      </c>
      <c r="B11" s="258"/>
      <c r="C11" s="257"/>
      <c r="D11" s="258"/>
      <c r="E11" s="257"/>
      <c r="F11" s="258"/>
      <c r="G11" s="257"/>
      <c r="H11" s="258"/>
      <c r="I11" s="257"/>
      <c r="J11" s="258"/>
      <c r="K11" s="257"/>
      <c r="L11" s="258"/>
      <c r="M11" s="257"/>
      <c r="N11" s="258"/>
      <c r="O11" s="257"/>
      <c r="P11" s="258"/>
      <c r="Q11" s="257"/>
      <c r="R11" s="258"/>
      <c r="S11" s="257"/>
      <c r="T11" s="258"/>
      <c r="U11" s="257"/>
      <c r="V11" s="258"/>
      <c r="W11" s="257"/>
      <c r="X11" s="258"/>
      <c r="Y11" s="257"/>
      <c r="Z11" s="258"/>
      <c r="AA11" s="257"/>
      <c r="AB11" s="258"/>
      <c r="AC11" s="257"/>
      <c r="AD11" s="258"/>
      <c r="AE11" s="257"/>
      <c r="AF11" s="258"/>
      <c r="AG11" s="257"/>
      <c r="AH11" s="258"/>
      <c r="AI11" s="257"/>
      <c r="AJ11" s="258"/>
      <c r="AK11" s="265"/>
      <c r="AL11" s="258"/>
      <c r="AM11" s="257"/>
      <c r="AN11" s="258"/>
      <c r="AO11" s="257"/>
      <c r="AP11" s="258"/>
      <c r="AQ11" s="265"/>
      <c r="AR11" s="258"/>
      <c r="AS11" s="257"/>
      <c r="AT11" s="258"/>
      <c r="AU11" s="265"/>
      <c r="AV11" s="258"/>
      <c r="AW11" s="265"/>
      <c r="AX11" s="91">
        <v>3</v>
      </c>
      <c r="AY11" s="92">
        <f t="shared" si="0"/>
        <v>0</v>
      </c>
      <c r="AZ11" s="93">
        <f t="shared" si="0"/>
        <v>0</v>
      </c>
      <c r="BA11" s="94">
        <f t="shared" si="1"/>
        <v>0</v>
      </c>
      <c r="BB11" s="95">
        <f t="shared" si="2"/>
        <v>0</v>
      </c>
      <c r="BC11" s="214"/>
      <c r="BD11" s="197">
        <f t="shared" si="3"/>
        <v>0</v>
      </c>
      <c r="BE11" s="98">
        <f t="shared" ref="BE11:BF38" si="4">P10+R10+T10+V10+X10+Z10+AB10+AD10+AF10+AH10+AJ10+AL10+AN10+AP10+AR10+AT10+AV10+B11+D11+F11+H11+J11+L11+N11</f>
        <v>0</v>
      </c>
      <c r="BF11" s="99">
        <f t="shared" si="4"/>
        <v>0</v>
      </c>
      <c r="BG11" s="86">
        <f>junho!$BE12</f>
        <v>0</v>
      </c>
      <c r="BH11" s="97"/>
      <c r="BI11" s="197">
        <f t="shared" ref="BI11:BI38" si="5">IF(BH11&gt;0,1,0)</f>
        <v>0</v>
      </c>
    </row>
    <row r="12" spans="1:61" ht="21" customHeight="1">
      <c r="A12" s="71">
        <v>4</v>
      </c>
      <c r="B12" s="258"/>
      <c r="C12" s="257"/>
      <c r="D12" s="258"/>
      <c r="E12" s="257"/>
      <c r="F12" s="258"/>
      <c r="G12" s="257"/>
      <c r="H12" s="258"/>
      <c r="I12" s="257"/>
      <c r="J12" s="258"/>
      <c r="K12" s="257"/>
      <c r="L12" s="258"/>
      <c r="M12" s="257"/>
      <c r="N12" s="258"/>
      <c r="O12" s="257"/>
      <c r="P12" s="258">
        <v>0.1</v>
      </c>
      <c r="Q12" s="257">
        <v>10</v>
      </c>
      <c r="R12" s="258"/>
      <c r="S12" s="257"/>
      <c r="T12" s="266"/>
      <c r="U12" s="257"/>
      <c r="V12" s="258">
        <v>0.3</v>
      </c>
      <c r="W12" s="257">
        <v>25</v>
      </c>
      <c r="X12" s="258"/>
      <c r="Y12" s="257"/>
      <c r="Z12" s="258">
        <v>0.1</v>
      </c>
      <c r="AA12" s="257">
        <v>5</v>
      </c>
      <c r="AB12" s="258"/>
      <c r="AC12" s="257"/>
      <c r="AD12" s="258"/>
      <c r="AE12" s="257"/>
      <c r="AF12" s="258"/>
      <c r="AG12" s="257"/>
      <c r="AH12" s="258"/>
      <c r="AI12" s="257"/>
      <c r="AJ12" s="258"/>
      <c r="AK12" s="265"/>
      <c r="AL12" s="258"/>
      <c r="AM12" s="257"/>
      <c r="AN12" s="258"/>
      <c r="AO12" s="257"/>
      <c r="AP12" s="258"/>
      <c r="AQ12" s="265"/>
      <c r="AR12" s="258"/>
      <c r="AS12" s="257"/>
      <c r="AT12" s="258"/>
      <c r="AU12" s="265"/>
      <c r="AV12" s="258"/>
      <c r="AW12" s="265"/>
      <c r="AX12" s="91">
        <v>4</v>
      </c>
      <c r="AY12" s="92">
        <f t="shared" si="0"/>
        <v>0.5</v>
      </c>
      <c r="AZ12" s="93">
        <f t="shared" si="0"/>
        <v>40</v>
      </c>
      <c r="BA12" s="94">
        <f t="shared" si="1"/>
        <v>0.3</v>
      </c>
      <c r="BB12" s="95">
        <f t="shared" si="2"/>
        <v>3</v>
      </c>
      <c r="BC12" s="214"/>
      <c r="BD12" s="197">
        <f t="shared" si="3"/>
        <v>1</v>
      </c>
      <c r="BE12" s="98">
        <f t="shared" si="4"/>
        <v>0</v>
      </c>
      <c r="BF12" s="99">
        <f t="shared" si="4"/>
        <v>0</v>
      </c>
      <c r="BG12" s="86">
        <f>junho!$BE13</f>
        <v>0.5</v>
      </c>
      <c r="BH12" s="97"/>
      <c r="BI12" s="197">
        <f t="shared" si="5"/>
        <v>0</v>
      </c>
    </row>
    <row r="13" spans="1:61" ht="21" customHeight="1">
      <c r="A13" s="71">
        <v>5</v>
      </c>
      <c r="B13" s="258"/>
      <c r="C13" s="257"/>
      <c r="D13" s="258"/>
      <c r="E13" s="257"/>
      <c r="F13" s="258"/>
      <c r="G13" s="257"/>
      <c r="H13" s="258"/>
      <c r="I13" s="257"/>
      <c r="J13" s="258"/>
      <c r="K13" s="257"/>
      <c r="L13" s="258"/>
      <c r="M13" s="257"/>
      <c r="N13" s="258"/>
      <c r="O13" s="257"/>
      <c r="P13" s="258"/>
      <c r="Q13" s="257"/>
      <c r="R13" s="258"/>
      <c r="S13" s="257"/>
      <c r="T13" s="258"/>
      <c r="U13" s="257"/>
      <c r="V13" s="258"/>
      <c r="W13" s="257"/>
      <c r="X13" s="258"/>
      <c r="Y13" s="257"/>
      <c r="Z13" s="258"/>
      <c r="AA13" s="257"/>
      <c r="AB13" s="258"/>
      <c r="AC13" s="257"/>
      <c r="AD13" s="258"/>
      <c r="AE13" s="257"/>
      <c r="AF13" s="258"/>
      <c r="AG13" s="257"/>
      <c r="AH13" s="258"/>
      <c r="AI13" s="257"/>
      <c r="AJ13" s="258"/>
      <c r="AK13" s="265"/>
      <c r="AL13" s="258"/>
      <c r="AM13" s="257"/>
      <c r="AN13" s="258"/>
      <c r="AO13" s="257"/>
      <c r="AP13" s="258"/>
      <c r="AQ13" s="265"/>
      <c r="AR13" s="258"/>
      <c r="AS13" s="257"/>
      <c r="AT13" s="258"/>
      <c r="AU13" s="265"/>
      <c r="AV13" s="258"/>
      <c r="AW13" s="265"/>
      <c r="AX13" s="91">
        <v>5</v>
      </c>
      <c r="AY13" s="92">
        <f t="shared" si="0"/>
        <v>0</v>
      </c>
      <c r="AZ13" s="93">
        <f t="shared" si="0"/>
        <v>0</v>
      </c>
      <c r="BA13" s="94">
        <f t="shared" si="1"/>
        <v>0</v>
      </c>
      <c r="BB13" s="95">
        <f t="shared" si="2"/>
        <v>0</v>
      </c>
      <c r="BC13" s="214"/>
      <c r="BD13" s="197">
        <f t="shared" si="3"/>
        <v>0</v>
      </c>
      <c r="BE13" s="98">
        <f t="shared" si="4"/>
        <v>0.5</v>
      </c>
      <c r="BF13" s="99">
        <f t="shared" si="4"/>
        <v>40</v>
      </c>
      <c r="BG13" s="86">
        <f>junho!$BE14</f>
        <v>0.2</v>
      </c>
      <c r="BH13" s="97"/>
      <c r="BI13" s="197">
        <f t="shared" si="5"/>
        <v>0</v>
      </c>
    </row>
    <row r="14" spans="1:61" ht="21" customHeight="1">
      <c r="A14" s="71">
        <v>6</v>
      </c>
      <c r="B14" s="258">
        <v>0.1</v>
      </c>
      <c r="C14" s="257">
        <v>60</v>
      </c>
      <c r="D14" s="258"/>
      <c r="E14" s="257"/>
      <c r="F14" s="258"/>
      <c r="G14" s="257"/>
      <c r="H14" s="258"/>
      <c r="I14" s="257"/>
      <c r="J14" s="258"/>
      <c r="K14" s="257"/>
      <c r="L14" s="258">
        <v>0.1</v>
      </c>
      <c r="M14" s="257">
        <v>60</v>
      </c>
      <c r="N14" s="258"/>
      <c r="O14" s="257"/>
      <c r="P14" s="258"/>
      <c r="Q14" s="257"/>
      <c r="R14" s="258"/>
      <c r="S14" s="257"/>
      <c r="T14" s="258"/>
      <c r="U14" s="257"/>
      <c r="V14" s="258"/>
      <c r="W14" s="257"/>
      <c r="X14" s="258"/>
      <c r="Y14" s="257"/>
      <c r="Z14" s="258"/>
      <c r="AA14" s="257"/>
      <c r="AB14" s="258"/>
      <c r="AC14" s="257"/>
      <c r="AD14" s="258"/>
      <c r="AE14" s="257"/>
      <c r="AF14" s="258"/>
      <c r="AG14" s="257"/>
      <c r="AH14" s="258"/>
      <c r="AI14" s="257"/>
      <c r="AJ14" s="258"/>
      <c r="AK14" s="265"/>
      <c r="AL14" s="258"/>
      <c r="AM14" s="257"/>
      <c r="AN14" s="258"/>
      <c r="AO14" s="257"/>
      <c r="AP14" s="258"/>
      <c r="AQ14" s="265"/>
      <c r="AR14" s="258"/>
      <c r="AS14" s="257"/>
      <c r="AT14" s="258"/>
      <c r="AU14" s="265"/>
      <c r="AV14" s="258"/>
      <c r="AW14" s="265"/>
      <c r="AX14" s="91">
        <v>6</v>
      </c>
      <c r="AY14" s="92">
        <f t="shared" si="0"/>
        <v>0.2</v>
      </c>
      <c r="AZ14" s="93">
        <f t="shared" si="0"/>
        <v>120</v>
      </c>
      <c r="BA14" s="94">
        <f t="shared" si="1"/>
        <v>0.1</v>
      </c>
      <c r="BB14" s="95">
        <f t="shared" si="2"/>
        <v>2</v>
      </c>
      <c r="BC14" s="214"/>
      <c r="BD14" s="197">
        <f t="shared" si="3"/>
        <v>1</v>
      </c>
      <c r="BE14" s="98">
        <f t="shared" si="4"/>
        <v>0.2</v>
      </c>
      <c r="BF14" s="99">
        <f t="shared" si="4"/>
        <v>120</v>
      </c>
      <c r="BG14" s="86">
        <f>junho!$BE15</f>
        <v>0.1</v>
      </c>
      <c r="BH14" s="97"/>
      <c r="BI14" s="197">
        <f t="shared" si="5"/>
        <v>0</v>
      </c>
    </row>
    <row r="15" spans="1:61" ht="21" customHeight="1">
      <c r="A15" s="71">
        <v>7</v>
      </c>
      <c r="B15" s="258"/>
      <c r="C15" s="257"/>
      <c r="D15" s="258"/>
      <c r="E15" s="257"/>
      <c r="F15" s="258"/>
      <c r="G15" s="257"/>
      <c r="H15" s="258"/>
      <c r="I15" s="257"/>
      <c r="J15" s="258"/>
      <c r="K15" s="257"/>
      <c r="L15" s="258"/>
      <c r="M15" s="257"/>
      <c r="N15" s="258">
        <v>0.1</v>
      </c>
      <c r="O15" s="257">
        <v>60</v>
      </c>
      <c r="P15" s="258"/>
      <c r="Q15" s="257"/>
      <c r="R15" s="258"/>
      <c r="S15" s="257"/>
      <c r="T15" s="258"/>
      <c r="U15" s="257"/>
      <c r="V15" s="258"/>
      <c r="W15" s="257"/>
      <c r="X15" s="258"/>
      <c r="Y15" s="257"/>
      <c r="Z15" s="258"/>
      <c r="AA15" s="257"/>
      <c r="AB15" s="258"/>
      <c r="AC15" s="257"/>
      <c r="AD15" s="258"/>
      <c r="AE15" s="257"/>
      <c r="AF15" s="258"/>
      <c r="AG15" s="257"/>
      <c r="AH15" s="258"/>
      <c r="AI15" s="257"/>
      <c r="AJ15" s="258"/>
      <c r="AK15" s="265"/>
      <c r="AL15" s="258"/>
      <c r="AM15" s="257"/>
      <c r="AN15" s="258"/>
      <c r="AO15" s="257"/>
      <c r="AP15" s="258"/>
      <c r="AQ15" s="265"/>
      <c r="AR15" s="258"/>
      <c r="AS15" s="257"/>
      <c r="AT15" s="258"/>
      <c r="AU15" s="265"/>
      <c r="AV15" s="258"/>
      <c r="AW15" s="265"/>
      <c r="AX15" s="91">
        <v>7</v>
      </c>
      <c r="AY15" s="92">
        <f t="shared" si="0"/>
        <v>0.1</v>
      </c>
      <c r="AZ15" s="93">
        <f t="shared" si="0"/>
        <v>60</v>
      </c>
      <c r="BA15" s="94">
        <f t="shared" si="1"/>
        <v>0.1</v>
      </c>
      <c r="BB15" s="95">
        <f t="shared" si="2"/>
        <v>1</v>
      </c>
      <c r="BC15" s="214"/>
      <c r="BD15" s="197">
        <f t="shared" si="3"/>
        <v>1</v>
      </c>
      <c r="BE15" s="98">
        <f t="shared" si="4"/>
        <v>0.1</v>
      </c>
      <c r="BF15" s="99">
        <f t="shared" si="4"/>
        <v>60</v>
      </c>
      <c r="BG15" s="86">
        <f>junho!$BE16</f>
        <v>0</v>
      </c>
      <c r="BH15" s="97"/>
      <c r="BI15" s="197">
        <f t="shared" si="5"/>
        <v>0</v>
      </c>
    </row>
    <row r="16" spans="1:61" ht="21" customHeight="1">
      <c r="A16" s="71">
        <v>8</v>
      </c>
      <c r="B16" s="258"/>
      <c r="C16" s="257"/>
      <c r="D16" s="258"/>
      <c r="E16" s="257"/>
      <c r="F16" s="258"/>
      <c r="G16" s="257"/>
      <c r="H16" s="258"/>
      <c r="I16" s="257"/>
      <c r="J16" s="258"/>
      <c r="K16" s="257"/>
      <c r="L16" s="258"/>
      <c r="M16" s="257"/>
      <c r="N16" s="258"/>
      <c r="O16" s="257"/>
      <c r="P16" s="258"/>
      <c r="Q16" s="257"/>
      <c r="R16" s="258"/>
      <c r="S16" s="257"/>
      <c r="T16" s="258"/>
      <c r="U16" s="257"/>
      <c r="V16" s="258"/>
      <c r="W16" s="257"/>
      <c r="X16" s="258"/>
      <c r="Y16" s="257"/>
      <c r="Z16" s="258"/>
      <c r="AA16" s="257"/>
      <c r="AB16" s="258"/>
      <c r="AC16" s="257"/>
      <c r="AD16" s="258"/>
      <c r="AE16" s="257"/>
      <c r="AF16" s="258"/>
      <c r="AG16" s="257"/>
      <c r="AH16" s="258"/>
      <c r="AI16" s="257"/>
      <c r="AJ16" s="258"/>
      <c r="AK16" s="265"/>
      <c r="AL16" s="258"/>
      <c r="AM16" s="257"/>
      <c r="AN16" s="258"/>
      <c r="AO16" s="257"/>
      <c r="AP16" s="258"/>
      <c r="AQ16" s="265"/>
      <c r="AR16" s="258"/>
      <c r="AS16" s="257"/>
      <c r="AT16" s="258"/>
      <c r="AU16" s="265"/>
      <c r="AV16" s="258"/>
      <c r="AW16" s="265"/>
      <c r="AX16" s="91">
        <v>8</v>
      </c>
      <c r="AY16" s="92">
        <f t="shared" si="0"/>
        <v>0</v>
      </c>
      <c r="AZ16" s="93">
        <f t="shared" si="0"/>
        <v>0</v>
      </c>
      <c r="BA16" s="94">
        <f t="shared" si="1"/>
        <v>0</v>
      </c>
      <c r="BB16" s="95">
        <f t="shared" si="2"/>
        <v>0</v>
      </c>
      <c r="BC16" s="216"/>
      <c r="BD16" s="197">
        <f t="shared" si="3"/>
        <v>0</v>
      </c>
      <c r="BE16" s="98">
        <f t="shared" si="4"/>
        <v>0</v>
      </c>
      <c r="BF16" s="99">
        <f>Q15+S15+U15+W15+Y15+AA15+AC15+AE15+AG15+AI15+AK15+AM15+AO15+AQ15+AS15+AU15+AW15+C16+E16+G16+I16+K16+M16+O16</f>
        <v>0</v>
      </c>
      <c r="BG16" s="86">
        <f>junho!$BE17</f>
        <v>0.1</v>
      </c>
      <c r="BH16" s="97"/>
      <c r="BI16" s="197">
        <f t="shared" si="5"/>
        <v>0</v>
      </c>
    </row>
    <row r="17" spans="1:61" ht="21" customHeight="1">
      <c r="A17" s="71">
        <v>9</v>
      </c>
      <c r="B17" s="258"/>
      <c r="C17" s="257"/>
      <c r="D17" s="258"/>
      <c r="E17" s="257"/>
      <c r="F17" s="258"/>
      <c r="G17" s="257"/>
      <c r="H17" s="258"/>
      <c r="I17" s="257"/>
      <c r="J17" s="258"/>
      <c r="K17" s="257"/>
      <c r="L17" s="258"/>
      <c r="M17" s="257"/>
      <c r="N17" s="258">
        <v>0.1</v>
      </c>
      <c r="O17" s="257">
        <v>60</v>
      </c>
      <c r="P17" s="258"/>
      <c r="Q17" s="257"/>
      <c r="R17" s="258"/>
      <c r="S17" s="257"/>
      <c r="T17" s="258"/>
      <c r="U17" s="257"/>
      <c r="V17" s="258"/>
      <c r="W17" s="257"/>
      <c r="X17" s="258"/>
      <c r="Y17" s="257"/>
      <c r="Z17" s="258"/>
      <c r="AA17" s="257"/>
      <c r="AB17" s="258"/>
      <c r="AC17" s="257"/>
      <c r="AD17" s="258"/>
      <c r="AE17" s="257"/>
      <c r="AF17" s="258"/>
      <c r="AG17" s="257"/>
      <c r="AH17" s="258"/>
      <c r="AI17" s="257"/>
      <c r="AJ17" s="258"/>
      <c r="AK17" s="265"/>
      <c r="AL17" s="258"/>
      <c r="AM17" s="257"/>
      <c r="AN17" s="258"/>
      <c r="AO17" s="257"/>
      <c r="AP17" s="258"/>
      <c r="AQ17" s="265"/>
      <c r="AR17" s="258"/>
      <c r="AS17" s="257"/>
      <c r="AT17" s="258"/>
      <c r="AU17" s="265"/>
      <c r="AV17" s="258"/>
      <c r="AW17" s="265"/>
      <c r="AX17" s="91">
        <v>9</v>
      </c>
      <c r="AY17" s="92">
        <f t="shared" si="0"/>
        <v>0.1</v>
      </c>
      <c r="AZ17" s="93">
        <f t="shared" si="0"/>
        <v>60</v>
      </c>
      <c r="BA17" s="94">
        <f t="shared" si="1"/>
        <v>0.1</v>
      </c>
      <c r="BB17" s="95">
        <f t="shared" si="2"/>
        <v>1</v>
      </c>
      <c r="BC17" s="216"/>
      <c r="BD17" s="197">
        <f t="shared" si="3"/>
        <v>1</v>
      </c>
      <c r="BE17" s="98">
        <f t="shared" si="4"/>
        <v>0.1</v>
      </c>
      <c r="BF17" s="99">
        <f t="shared" si="4"/>
        <v>60</v>
      </c>
      <c r="BG17" s="86">
        <f>junho!$BE18</f>
        <v>0</v>
      </c>
      <c r="BH17" s="97"/>
      <c r="BI17" s="197">
        <f t="shared" si="5"/>
        <v>0</v>
      </c>
    </row>
    <row r="18" spans="1:61" ht="21" customHeight="1">
      <c r="A18" s="71">
        <v>10</v>
      </c>
      <c r="B18" s="258"/>
      <c r="C18" s="257"/>
      <c r="D18" s="258"/>
      <c r="E18" s="257"/>
      <c r="F18" s="258"/>
      <c r="G18" s="257"/>
      <c r="H18" s="258"/>
      <c r="I18" s="257"/>
      <c r="J18" s="258"/>
      <c r="K18" s="257"/>
      <c r="L18" s="258"/>
      <c r="M18" s="257"/>
      <c r="N18" s="258"/>
      <c r="O18" s="257"/>
      <c r="P18" s="258"/>
      <c r="Q18" s="257"/>
      <c r="R18" s="258"/>
      <c r="S18" s="257"/>
      <c r="T18" s="258"/>
      <c r="U18" s="257"/>
      <c r="V18" s="258"/>
      <c r="W18" s="257"/>
      <c r="X18" s="258"/>
      <c r="Y18" s="257"/>
      <c r="Z18" s="258"/>
      <c r="AA18" s="257"/>
      <c r="AB18" s="258"/>
      <c r="AC18" s="257"/>
      <c r="AD18" s="258"/>
      <c r="AE18" s="257"/>
      <c r="AF18" s="258"/>
      <c r="AG18" s="257"/>
      <c r="AH18" s="258"/>
      <c r="AI18" s="257"/>
      <c r="AJ18" s="258"/>
      <c r="AK18" s="265"/>
      <c r="AL18" s="258"/>
      <c r="AM18" s="257"/>
      <c r="AN18" s="258"/>
      <c r="AO18" s="257"/>
      <c r="AP18" s="258"/>
      <c r="AQ18" s="265"/>
      <c r="AR18" s="258"/>
      <c r="AS18" s="257"/>
      <c r="AT18" s="258"/>
      <c r="AU18" s="265"/>
      <c r="AV18" s="258"/>
      <c r="AW18" s="265"/>
      <c r="AX18" s="91">
        <v>10</v>
      </c>
      <c r="AY18" s="92">
        <f t="shared" si="0"/>
        <v>0</v>
      </c>
      <c r="AZ18" s="93">
        <f t="shared" si="0"/>
        <v>0</v>
      </c>
      <c r="BA18" s="94">
        <f t="shared" si="1"/>
        <v>0</v>
      </c>
      <c r="BB18" s="95">
        <f t="shared" si="2"/>
        <v>0</v>
      </c>
      <c r="BC18" s="214"/>
      <c r="BD18" s="197">
        <f t="shared" si="3"/>
        <v>0</v>
      </c>
      <c r="BE18" s="98">
        <f t="shared" si="4"/>
        <v>0</v>
      </c>
      <c r="BF18" s="99">
        <f t="shared" si="4"/>
        <v>0</v>
      </c>
      <c r="BG18" s="86">
        <f>junho!$BE19</f>
        <v>0</v>
      </c>
      <c r="BH18" s="97"/>
      <c r="BI18" s="197">
        <f t="shared" si="5"/>
        <v>0</v>
      </c>
    </row>
    <row r="19" spans="1:61" ht="21" customHeight="1">
      <c r="A19" s="71">
        <v>11</v>
      </c>
      <c r="B19" s="258"/>
      <c r="C19" s="257"/>
      <c r="D19" s="258"/>
      <c r="E19" s="257"/>
      <c r="F19" s="258"/>
      <c r="G19" s="257"/>
      <c r="H19" s="258"/>
      <c r="I19" s="257"/>
      <c r="J19" s="258"/>
      <c r="K19" s="257"/>
      <c r="L19" s="258"/>
      <c r="M19" s="257"/>
      <c r="N19" s="258"/>
      <c r="O19" s="257"/>
      <c r="P19" s="258"/>
      <c r="Q19" s="257"/>
      <c r="R19" s="258"/>
      <c r="S19" s="257"/>
      <c r="T19" s="258"/>
      <c r="U19" s="257"/>
      <c r="V19" s="258"/>
      <c r="W19" s="257"/>
      <c r="X19" s="258"/>
      <c r="Y19" s="257"/>
      <c r="Z19" s="258"/>
      <c r="AA19" s="257"/>
      <c r="AB19" s="258"/>
      <c r="AC19" s="257"/>
      <c r="AD19" s="258"/>
      <c r="AE19" s="257"/>
      <c r="AF19" s="258"/>
      <c r="AG19" s="257"/>
      <c r="AH19" s="258"/>
      <c r="AI19" s="257"/>
      <c r="AJ19" s="258"/>
      <c r="AK19" s="265"/>
      <c r="AL19" s="258"/>
      <c r="AM19" s="257"/>
      <c r="AN19" s="258"/>
      <c r="AO19" s="257"/>
      <c r="AP19" s="258"/>
      <c r="AQ19" s="265"/>
      <c r="AR19" s="258"/>
      <c r="AS19" s="257"/>
      <c r="AT19" s="258"/>
      <c r="AU19" s="265"/>
      <c r="AV19" s="258"/>
      <c r="AW19" s="265"/>
      <c r="AX19" s="91">
        <v>11</v>
      </c>
      <c r="AY19" s="92">
        <f t="shared" si="0"/>
        <v>0</v>
      </c>
      <c r="AZ19" s="93">
        <f t="shared" si="0"/>
        <v>0</v>
      </c>
      <c r="BA19" s="94">
        <f t="shared" si="1"/>
        <v>0</v>
      </c>
      <c r="BB19" s="95">
        <f t="shared" si="2"/>
        <v>0</v>
      </c>
      <c r="BC19" s="214"/>
      <c r="BD19" s="197">
        <f t="shared" si="3"/>
        <v>0</v>
      </c>
      <c r="BE19" s="98">
        <f t="shared" si="4"/>
        <v>0</v>
      </c>
      <c r="BF19" s="99">
        <f t="shared" si="4"/>
        <v>0</v>
      </c>
      <c r="BG19" s="86">
        <f>junho!$BE20</f>
        <v>0</v>
      </c>
      <c r="BH19" s="97"/>
      <c r="BI19" s="197">
        <f t="shared" si="5"/>
        <v>0</v>
      </c>
    </row>
    <row r="20" spans="1:61" ht="21" customHeight="1">
      <c r="A20" s="71">
        <v>12</v>
      </c>
      <c r="B20" s="258"/>
      <c r="C20" s="257"/>
      <c r="D20" s="258"/>
      <c r="E20" s="257"/>
      <c r="F20" s="258"/>
      <c r="G20" s="257"/>
      <c r="H20" s="258"/>
      <c r="I20" s="257"/>
      <c r="J20" s="258"/>
      <c r="K20" s="257"/>
      <c r="L20" s="258"/>
      <c r="M20" s="257"/>
      <c r="N20" s="258"/>
      <c r="O20" s="257"/>
      <c r="P20" s="258"/>
      <c r="Q20" s="257"/>
      <c r="R20" s="258"/>
      <c r="S20" s="257"/>
      <c r="T20" s="258"/>
      <c r="U20" s="257"/>
      <c r="V20" s="258"/>
      <c r="W20" s="257"/>
      <c r="X20" s="258"/>
      <c r="Y20" s="257"/>
      <c r="Z20" s="258"/>
      <c r="AA20" s="257"/>
      <c r="AB20" s="258"/>
      <c r="AC20" s="257"/>
      <c r="AD20" s="258"/>
      <c r="AE20" s="257"/>
      <c r="AF20" s="258"/>
      <c r="AG20" s="257"/>
      <c r="AH20" s="258"/>
      <c r="AI20" s="257"/>
      <c r="AJ20" s="258"/>
      <c r="AK20" s="265"/>
      <c r="AL20" s="258"/>
      <c r="AM20" s="257"/>
      <c r="AN20" s="258"/>
      <c r="AO20" s="257"/>
      <c r="AP20" s="258"/>
      <c r="AQ20" s="265"/>
      <c r="AR20" s="258"/>
      <c r="AS20" s="257"/>
      <c r="AT20" s="258"/>
      <c r="AU20" s="265"/>
      <c r="AV20" s="258"/>
      <c r="AW20" s="265"/>
      <c r="AX20" s="91">
        <v>12</v>
      </c>
      <c r="AY20" s="92">
        <f t="shared" si="0"/>
        <v>0</v>
      </c>
      <c r="AZ20" s="93">
        <f t="shared" si="0"/>
        <v>0</v>
      </c>
      <c r="BA20" s="94">
        <f t="shared" si="1"/>
        <v>0</v>
      </c>
      <c r="BB20" s="95">
        <f t="shared" si="2"/>
        <v>0</v>
      </c>
      <c r="BC20" s="214"/>
      <c r="BD20" s="197">
        <f t="shared" si="3"/>
        <v>0</v>
      </c>
      <c r="BE20" s="98">
        <f t="shared" si="4"/>
        <v>0</v>
      </c>
      <c r="BF20" s="99">
        <f t="shared" si="4"/>
        <v>0</v>
      </c>
      <c r="BG20" s="86">
        <f>junho!$BE21</f>
        <v>0.2</v>
      </c>
      <c r="BH20" s="97"/>
      <c r="BI20" s="197">
        <f t="shared" si="5"/>
        <v>0</v>
      </c>
    </row>
    <row r="21" spans="1:61" ht="21" customHeight="1">
      <c r="A21" s="71">
        <v>13</v>
      </c>
      <c r="B21" s="258"/>
      <c r="C21" s="257"/>
      <c r="D21" s="258"/>
      <c r="E21" s="257"/>
      <c r="F21" s="258"/>
      <c r="G21" s="257"/>
      <c r="H21" s="258"/>
      <c r="I21" s="257"/>
      <c r="J21" s="258">
        <v>0.1</v>
      </c>
      <c r="K21" s="257">
        <v>60</v>
      </c>
      <c r="L21" s="258"/>
      <c r="M21" s="257"/>
      <c r="N21" s="258">
        <v>0.1</v>
      </c>
      <c r="O21" s="257">
        <v>60</v>
      </c>
      <c r="P21" s="258"/>
      <c r="Q21" s="257"/>
      <c r="R21" s="258"/>
      <c r="S21" s="257"/>
      <c r="T21" s="258"/>
      <c r="U21" s="257"/>
      <c r="V21" s="258"/>
      <c r="W21" s="257"/>
      <c r="X21" s="258"/>
      <c r="Y21" s="257"/>
      <c r="Z21" s="258"/>
      <c r="AA21" s="257"/>
      <c r="AB21" s="258"/>
      <c r="AC21" s="257"/>
      <c r="AD21" s="258"/>
      <c r="AE21" s="257"/>
      <c r="AF21" s="258"/>
      <c r="AG21" s="257"/>
      <c r="AH21" s="258"/>
      <c r="AI21" s="257"/>
      <c r="AJ21" s="258"/>
      <c r="AK21" s="265"/>
      <c r="AL21" s="258"/>
      <c r="AM21" s="257"/>
      <c r="AN21" s="258"/>
      <c r="AO21" s="257"/>
      <c r="AP21" s="258"/>
      <c r="AQ21" s="265"/>
      <c r="AR21" s="258"/>
      <c r="AS21" s="257"/>
      <c r="AT21" s="258"/>
      <c r="AU21" s="265"/>
      <c r="AV21" s="258"/>
      <c r="AW21" s="265"/>
      <c r="AX21" s="91">
        <v>13</v>
      </c>
      <c r="AY21" s="92">
        <f t="shared" si="0"/>
        <v>0.2</v>
      </c>
      <c r="AZ21" s="93">
        <f t="shared" si="0"/>
        <v>120</v>
      </c>
      <c r="BA21" s="94">
        <f t="shared" si="1"/>
        <v>0.1</v>
      </c>
      <c r="BB21" s="95">
        <f t="shared" si="2"/>
        <v>2</v>
      </c>
      <c r="BC21" s="214"/>
      <c r="BD21" s="197">
        <f t="shared" si="3"/>
        <v>1</v>
      </c>
      <c r="BE21" s="98">
        <f t="shared" si="4"/>
        <v>0.2</v>
      </c>
      <c r="BF21" s="99">
        <f t="shared" si="4"/>
        <v>120</v>
      </c>
      <c r="BG21" s="86">
        <f>junho!$BE22</f>
        <v>0</v>
      </c>
      <c r="BH21" s="97"/>
      <c r="BI21" s="197">
        <f t="shared" si="5"/>
        <v>0</v>
      </c>
    </row>
    <row r="22" spans="1:61" ht="21" customHeight="1">
      <c r="A22" s="71">
        <v>14</v>
      </c>
      <c r="B22" s="258"/>
      <c r="C22" s="257"/>
      <c r="D22" s="258"/>
      <c r="E22" s="257"/>
      <c r="F22" s="258"/>
      <c r="G22" s="257"/>
      <c r="H22" s="258"/>
      <c r="I22" s="257"/>
      <c r="J22" s="258"/>
      <c r="K22" s="257"/>
      <c r="L22" s="258"/>
      <c r="M22" s="257"/>
      <c r="N22" s="258"/>
      <c r="O22" s="257"/>
      <c r="P22" s="258"/>
      <c r="Q22" s="257"/>
      <c r="R22" s="258"/>
      <c r="S22" s="257"/>
      <c r="T22" s="258"/>
      <c r="U22" s="257"/>
      <c r="V22" s="258"/>
      <c r="W22" s="257"/>
      <c r="X22" s="258"/>
      <c r="Y22" s="257"/>
      <c r="Z22" s="258"/>
      <c r="AA22" s="257"/>
      <c r="AB22" s="258"/>
      <c r="AC22" s="257"/>
      <c r="AD22" s="258"/>
      <c r="AE22" s="257"/>
      <c r="AF22" s="258"/>
      <c r="AG22" s="257"/>
      <c r="AH22" s="258"/>
      <c r="AI22" s="257"/>
      <c r="AJ22" s="258"/>
      <c r="AK22" s="265"/>
      <c r="AL22" s="258"/>
      <c r="AM22" s="257"/>
      <c r="AN22" s="258"/>
      <c r="AO22" s="257"/>
      <c r="AP22" s="258"/>
      <c r="AQ22" s="265"/>
      <c r="AR22" s="258"/>
      <c r="AS22" s="257"/>
      <c r="AT22" s="258"/>
      <c r="AU22" s="265"/>
      <c r="AV22" s="258"/>
      <c r="AW22" s="265"/>
      <c r="AX22" s="91">
        <v>14</v>
      </c>
      <c r="AY22" s="92">
        <f t="shared" si="0"/>
        <v>0</v>
      </c>
      <c r="AZ22" s="93">
        <f t="shared" si="0"/>
        <v>0</v>
      </c>
      <c r="BA22" s="94">
        <f t="shared" si="1"/>
        <v>0</v>
      </c>
      <c r="BB22" s="95">
        <f t="shared" si="2"/>
        <v>0</v>
      </c>
      <c r="BC22" s="214"/>
      <c r="BD22" s="197">
        <f t="shared" si="3"/>
        <v>0</v>
      </c>
      <c r="BE22" s="98">
        <f t="shared" si="4"/>
        <v>0</v>
      </c>
      <c r="BF22" s="99">
        <f t="shared" si="4"/>
        <v>0</v>
      </c>
      <c r="BG22" s="86">
        <f>junho!$BE23</f>
        <v>0</v>
      </c>
      <c r="BH22" s="97"/>
      <c r="BI22" s="197">
        <f t="shared" si="5"/>
        <v>0</v>
      </c>
    </row>
    <row r="23" spans="1:61" ht="21" customHeight="1">
      <c r="A23" s="71">
        <v>15</v>
      </c>
      <c r="B23" s="258"/>
      <c r="C23" s="257"/>
      <c r="D23" s="258"/>
      <c r="E23" s="257"/>
      <c r="F23" s="258"/>
      <c r="G23" s="257"/>
      <c r="H23" s="258"/>
      <c r="I23" s="257"/>
      <c r="J23" s="258"/>
      <c r="K23" s="257"/>
      <c r="L23" s="258"/>
      <c r="M23" s="257"/>
      <c r="N23" s="258"/>
      <c r="O23" s="257"/>
      <c r="P23" s="258"/>
      <c r="Q23" s="257"/>
      <c r="R23" s="258"/>
      <c r="S23" s="257"/>
      <c r="T23" s="258"/>
      <c r="U23" s="257"/>
      <c r="V23" s="258"/>
      <c r="W23" s="257"/>
      <c r="X23" s="258"/>
      <c r="Y23" s="257"/>
      <c r="Z23" s="258"/>
      <c r="AA23" s="257"/>
      <c r="AB23" s="258"/>
      <c r="AC23" s="257"/>
      <c r="AD23" s="258"/>
      <c r="AE23" s="257"/>
      <c r="AF23" s="258"/>
      <c r="AG23" s="257"/>
      <c r="AH23" s="258"/>
      <c r="AI23" s="257"/>
      <c r="AJ23" s="258"/>
      <c r="AK23" s="265"/>
      <c r="AL23" s="258"/>
      <c r="AM23" s="257"/>
      <c r="AN23" s="258"/>
      <c r="AO23" s="257"/>
      <c r="AP23" s="258"/>
      <c r="AQ23" s="265"/>
      <c r="AR23" s="258"/>
      <c r="AS23" s="257"/>
      <c r="AT23" s="258"/>
      <c r="AU23" s="265"/>
      <c r="AV23" s="258"/>
      <c r="AW23" s="265"/>
      <c r="AX23" s="91">
        <v>15</v>
      </c>
      <c r="AY23" s="92">
        <f t="shared" si="0"/>
        <v>0</v>
      </c>
      <c r="AZ23" s="93">
        <f t="shared" si="0"/>
        <v>0</v>
      </c>
      <c r="BA23" s="94">
        <f t="shared" si="1"/>
        <v>0</v>
      </c>
      <c r="BB23" s="95">
        <f t="shared" si="2"/>
        <v>0</v>
      </c>
      <c r="BC23" s="214"/>
      <c r="BD23" s="197">
        <f t="shared" si="3"/>
        <v>0</v>
      </c>
      <c r="BE23" s="98">
        <f t="shared" si="4"/>
        <v>0</v>
      </c>
      <c r="BF23" s="99">
        <f t="shared" si="4"/>
        <v>0</v>
      </c>
      <c r="BG23" s="86">
        <f>junho!$BE24</f>
        <v>0</v>
      </c>
      <c r="BH23" s="97"/>
      <c r="BI23" s="197">
        <f t="shared" si="5"/>
        <v>0</v>
      </c>
    </row>
    <row r="24" spans="1:61" ht="21" customHeight="1">
      <c r="A24" s="71">
        <v>16</v>
      </c>
      <c r="B24" s="258"/>
      <c r="C24" s="257"/>
      <c r="D24" s="258"/>
      <c r="E24" s="257"/>
      <c r="F24" s="258"/>
      <c r="G24" s="257"/>
      <c r="H24" s="258"/>
      <c r="I24" s="257"/>
      <c r="J24" s="258"/>
      <c r="K24" s="257"/>
      <c r="L24" s="258"/>
      <c r="M24" s="257"/>
      <c r="N24" s="258"/>
      <c r="O24" s="257"/>
      <c r="P24" s="258"/>
      <c r="Q24" s="257"/>
      <c r="R24" s="258"/>
      <c r="S24" s="257"/>
      <c r="T24" s="258"/>
      <c r="U24" s="257"/>
      <c r="V24" s="258"/>
      <c r="W24" s="257"/>
      <c r="X24" s="258"/>
      <c r="Y24" s="257"/>
      <c r="Z24" s="258"/>
      <c r="AA24" s="257"/>
      <c r="AB24" s="258"/>
      <c r="AC24" s="257"/>
      <c r="AD24" s="258"/>
      <c r="AE24" s="257"/>
      <c r="AF24" s="258"/>
      <c r="AG24" s="257"/>
      <c r="AH24" s="258"/>
      <c r="AI24" s="257"/>
      <c r="AJ24" s="258"/>
      <c r="AK24" s="265"/>
      <c r="AL24" s="258"/>
      <c r="AM24" s="257"/>
      <c r="AN24" s="258"/>
      <c r="AO24" s="257"/>
      <c r="AP24" s="258"/>
      <c r="AQ24" s="265"/>
      <c r="AR24" s="258"/>
      <c r="AS24" s="257"/>
      <c r="AT24" s="258"/>
      <c r="AU24" s="265"/>
      <c r="AV24" s="258"/>
      <c r="AW24" s="265"/>
      <c r="AX24" s="91">
        <v>16</v>
      </c>
      <c r="AY24" s="92">
        <f t="shared" si="0"/>
        <v>0</v>
      </c>
      <c r="AZ24" s="93">
        <f t="shared" si="0"/>
        <v>0</v>
      </c>
      <c r="BA24" s="94">
        <f t="shared" si="1"/>
        <v>0</v>
      </c>
      <c r="BB24" s="95">
        <f t="shared" si="2"/>
        <v>0</v>
      </c>
      <c r="BC24" s="214"/>
      <c r="BD24" s="197">
        <f t="shared" si="3"/>
        <v>0</v>
      </c>
      <c r="BE24" s="98">
        <f t="shared" si="4"/>
        <v>0</v>
      </c>
      <c r="BF24" s="99">
        <f t="shared" si="4"/>
        <v>0</v>
      </c>
      <c r="BG24" s="86">
        <f>junho!$BE25</f>
        <v>0</v>
      </c>
      <c r="BH24" s="97"/>
      <c r="BI24" s="197">
        <f t="shared" si="5"/>
        <v>0</v>
      </c>
    </row>
    <row r="25" spans="1:61" ht="21" customHeight="1">
      <c r="A25" s="291">
        <v>17</v>
      </c>
      <c r="B25" s="258"/>
      <c r="C25" s="257"/>
      <c r="D25" s="258"/>
      <c r="E25" s="257"/>
      <c r="F25" s="258"/>
      <c r="G25" s="257"/>
      <c r="H25" s="258"/>
      <c r="I25" s="257"/>
      <c r="J25" s="258"/>
      <c r="K25" s="257"/>
      <c r="L25" s="258"/>
      <c r="M25" s="257"/>
      <c r="N25" s="258"/>
      <c r="O25" s="257"/>
      <c r="P25" s="258"/>
      <c r="Q25" s="257"/>
      <c r="R25" s="258"/>
      <c r="S25" s="257"/>
      <c r="T25" s="258"/>
      <c r="U25" s="257"/>
      <c r="V25" s="258"/>
      <c r="W25" s="257"/>
      <c r="X25" s="258"/>
      <c r="Y25" s="257"/>
      <c r="Z25" s="258"/>
      <c r="AA25" s="257"/>
      <c r="AB25" s="258"/>
      <c r="AC25" s="257"/>
      <c r="AD25" s="258"/>
      <c r="AE25" s="257"/>
      <c r="AF25" s="258"/>
      <c r="AG25" s="257"/>
      <c r="AH25" s="258"/>
      <c r="AI25" s="257"/>
      <c r="AJ25" s="258"/>
      <c r="AK25" s="265"/>
      <c r="AL25" s="258"/>
      <c r="AM25" s="257"/>
      <c r="AN25" s="258"/>
      <c r="AO25" s="257"/>
      <c r="AP25" s="258"/>
      <c r="AQ25" s="265"/>
      <c r="AR25" s="258"/>
      <c r="AS25" s="257"/>
      <c r="AT25" s="258"/>
      <c r="AU25" s="265"/>
      <c r="AV25" s="258"/>
      <c r="AW25" s="265"/>
      <c r="AX25" s="91">
        <v>17</v>
      </c>
      <c r="AY25" s="92">
        <f t="shared" si="0"/>
        <v>0</v>
      </c>
      <c r="AZ25" s="93">
        <f t="shared" si="0"/>
        <v>0</v>
      </c>
      <c r="BA25" s="94">
        <f t="shared" si="1"/>
        <v>0</v>
      </c>
      <c r="BB25" s="95">
        <f t="shared" si="2"/>
        <v>0</v>
      </c>
      <c r="BC25" s="214"/>
      <c r="BD25" s="197">
        <f t="shared" si="3"/>
        <v>0</v>
      </c>
      <c r="BE25" s="98">
        <f t="shared" si="4"/>
        <v>0</v>
      </c>
      <c r="BF25" s="99">
        <f t="shared" si="4"/>
        <v>0</v>
      </c>
      <c r="BG25" s="86">
        <f>junho!$BE26</f>
        <v>0</v>
      </c>
      <c r="BH25" s="97"/>
      <c r="BI25" s="197">
        <f t="shared" si="5"/>
        <v>0</v>
      </c>
    </row>
    <row r="26" spans="1:61" ht="21" customHeight="1">
      <c r="A26" s="71">
        <v>18</v>
      </c>
      <c r="B26" s="258"/>
      <c r="C26" s="257"/>
      <c r="D26" s="258"/>
      <c r="E26" s="257"/>
      <c r="F26" s="258"/>
      <c r="G26" s="257"/>
      <c r="H26" s="258"/>
      <c r="I26" s="257"/>
      <c r="J26" s="258"/>
      <c r="K26" s="257"/>
      <c r="L26" s="258"/>
      <c r="M26" s="257"/>
      <c r="N26" s="258"/>
      <c r="O26" s="257"/>
      <c r="P26" s="258"/>
      <c r="Q26" s="257"/>
      <c r="R26" s="258"/>
      <c r="S26" s="257"/>
      <c r="T26" s="258"/>
      <c r="U26" s="257"/>
      <c r="V26" s="258"/>
      <c r="W26" s="257"/>
      <c r="X26" s="258"/>
      <c r="Y26" s="257"/>
      <c r="Z26" s="258"/>
      <c r="AA26" s="257"/>
      <c r="AB26" s="258"/>
      <c r="AC26" s="257"/>
      <c r="AD26" s="258"/>
      <c r="AE26" s="257"/>
      <c r="AF26" s="258"/>
      <c r="AG26" s="257"/>
      <c r="AH26" s="258"/>
      <c r="AI26" s="257"/>
      <c r="AJ26" s="258"/>
      <c r="AK26" s="265"/>
      <c r="AL26" s="258"/>
      <c r="AM26" s="257"/>
      <c r="AN26" s="258"/>
      <c r="AO26" s="257"/>
      <c r="AP26" s="258"/>
      <c r="AQ26" s="265"/>
      <c r="AR26" s="258"/>
      <c r="AS26" s="257"/>
      <c r="AT26" s="258"/>
      <c r="AU26" s="265"/>
      <c r="AV26" s="258"/>
      <c r="AW26" s="265"/>
      <c r="AX26" s="91">
        <v>18</v>
      </c>
      <c r="AY26" s="92">
        <f t="shared" si="0"/>
        <v>0</v>
      </c>
      <c r="AZ26" s="93">
        <f t="shared" si="0"/>
        <v>0</v>
      </c>
      <c r="BA26" s="94">
        <f t="shared" si="1"/>
        <v>0</v>
      </c>
      <c r="BB26" s="95">
        <f t="shared" si="2"/>
        <v>0</v>
      </c>
      <c r="BC26" s="214"/>
      <c r="BD26" s="197">
        <f t="shared" si="3"/>
        <v>0</v>
      </c>
      <c r="BE26" s="98">
        <f t="shared" si="4"/>
        <v>0</v>
      </c>
      <c r="BF26" s="99">
        <f t="shared" si="4"/>
        <v>0</v>
      </c>
      <c r="BG26" s="86">
        <f>junho!$BE27</f>
        <v>0</v>
      </c>
      <c r="BH26" s="97"/>
      <c r="BI26" s="197">
        <f t="shared" si="5"/>
        <v>0</v>
      </c>
    </row>
    <row r="27" spans="1:61" ht="21" customHeight="1">
      <c r="A27" s="71">
        <v>19</v>
      </c>
      <c r="B27" s="258"/>
      <c r="C27" s="257"/>
      <c r="D27" s="258"/>
      <c r="E27" s="257"/>
      <c r="F27" s="258"/>
      <c r="G27" s="257"/>
      <c r="H27" s="258"/>
      <c r="I27" s="257"/>
      <c r="J27" s="258"/>
      <c r="K27" s="257"/>
      <c r="L27" s="258"/>
      <c r="M27" s="257"/>
      <c r="N27" s="258"/>
      <c r="O27" s="257"/>
      <c r="P27" s="258"/>
      <c r="Q27" s="257"/>
      <c r="R27" s="258"/>
      <c r="S27" s="257"/>
      <c r="T27" s="258"/>
      <c r="U27" s="257"/>
      <c r="V27" s="258"/>
      <c r="W27" s="257"/>
      <c r="X27" s="258"/>
      <c r="Y27" s="257"/>
      <c r="Z27" s="258"/>
      <c r="AA27" s="257"/>
      <c r="AB27" s="258"/>
      <c r="AC27" s="257"/>
      <c r="AD27" s="258"/>
      <c r="AE27" s="257"/>
      <c r="AF27" s="258"/>
      <c r="AG27" s="257"/>
      <c r="AH27" s="258"/>
      <c r="AI27" s="257"/>
      <c r="AJ27" s="258"/>
      <c r="AK27" s="265"/>
      <c r="AL27" s="258"/>
      <c r="AM27" s="257"/>
      <c r="AN27" s="258"/>
      <c r="AO27" s="257"/>
      <c r="AP27" s="258"/>
      <c r="AQ27" s="265"/>
      <c r="AR27" s="258"/>
      <c r="AS27" s="257"/>
      <c r="AT27" s="258"/>
      <c r="AU27" s="265"/>
      <c r="AV27" s="258"/>
      <c r="AW27" s="265"/>
      <c r="AX27" s="91">
        <v>19</v>
      </c>
      <c r="AY27" s="92">
        <f t="shared" si="0"/>
        <v>0</v>
      </c>
      <c r="AZ27" s="93">
        <f t="shared" si="0"/>
        <v>0</v>
      </c>
      <c r="BA27" s="94">
        <f t="shared" si="1"/>
        <v>0</v>
      </c>
      <c r="BB27" s="95">
        <f t="shared" si="2"/>
        <v>0</v>
      </c>
      <c r="BC27" s="214"/>
      <c r="BD27" s="197">
        <f t="shared" si="3"/>
        <v>0</v>
      </c>
      <c r="BE27" s="98">
        <f t="shared" si="4"/>
        <v>0</v>
      </c>
      <c r="BF27" s="99">
        <f t="shared" si="4"/>
        <v>0</v>
      </c>
      <c r="BG27" s="86">
        <f>junho!$BE28</f>
        <v>0</v>
      </c>
      <c r="BH27" s="97"/>
      <c r="BI27" s="197">
        <f t="shared" si="5"/>
        <v>0</v>
      </c>
    </row>
    <row r="28" spans="1:61" ht="21" customHeight="1">
      <c r="A28" s="71">
        <v>20</v>
      </c>
      <c r="B28" s="258"/>
      <c r="C28" s="257"/>
      <c r="D28" s="258"/>
      <c r="E28" s="257"/>
      <c r="F28" s="258"/>
      <c r="G28" s="257"/>
      <c r="H28" s="258"/>
      <c r="I28" s="257"/>
      <c r="J28" s="258"/>
      <c r="K28" s="257"/>
      <c r="L28" s="258"/>
      <c r="M28" s="257"/>
      <c r="N28" s="258"/>
      <c r="O28" s="257"/>
      <c r="P28" s="258"/>
      <c r="Q28" s="257"/>
      <c r="R28" s="258"/>
      <c r="S28" s="257"/>
      <c r="T28" s="258"/>
      <c r="U28" s="257"/>
      <c r="V28" s="258"/>
      <c r="W28" s="257"/>
      <c r="X28" s="258"/>
      <c r="Y28" s="257"/>
      <c r="Z28" s="258"/>
      <c r="AA28" s="257"/>
      <c r="AB28" s="258"/>
      <c r="AC28" s="257"/>
      <c r="AD28" s="258"/>
      <c r="AE28" s="257"/>
      <c r="AF28" s="258"/>
      <c r="AG28" s="257"/>
      <c r="AH28" s="258"/>
      <c r="AI28" s="257"/>
      <c r="AJ28" s="258"/>
      <c r="AK28" s="265"/>
      <c r="AL28" s="258"/>
      <c r="AM28" s="257"/>
      <c r="AN28" s="258"/>
      <c r="AO28" s="257"/>
      <c r="AP28" s="258"/>
      <c r="AQ28" s="265"/>
      <c r="AR28" s="258"/>
      <c r="AS28" s="257"/>
      <c r="AT28" s="258"/>
      <c r="AU28" s="265"/>
      <c r="AV28" s="258"/>
      <c r="AW28" s="265"/>
      <c r="AX28" s="91">
        <v>20</v>
      </c>
      <c r="AY28" s="92">
        <f t="shared" si="0"/>
        <v>0</v>
      </c>
      <c r="AZ28" s="93">
        <f t="shared" si="0"/>
        <v>0</v>
      </c>
      <c r="BA28" s="94">
        <f t="shared" si="1"/>
        <v>0</v>
      </c>
      <c r="BB28" s="95">
        <f t="shared" si="2"/>
        <v>0</v>
      </c>
      <c r="BC28" s="214"/>
      <c r="BD28" s="197">
        <f t="shared" si="3"/>
        <v>0</v>
      </c>
      <c r="BE28" s="98">
        <f t="shared" si="4"/>
        <v>0</v>
      </c>
      <c r="BF28" s="99">
        <f t="shared" si="4"/>
        <v>0</v>
      </c>
      <c r="BG28" s="86">
        <f>junho!$BE29</f>
        <v>0</v>
      </c>
      <c r="BH28" s="97"/>
      <c r="BI28" s="197">
        <f t="shared" si="5"/>
        <v>0</v>
      </c>
    </row>
    <row r="29" spans="1:61" ht="21" customHeight="1">
      <c r="A29" s="71">
        <v>21</v>
      </c>
      <c r="B29" s="258"/>
      <c r="C29" s="257"/>
      <c r="D29" s="258"/>
      <c r="E29" s="257"/>
      <c r="F29" s="258"/>
      <c r="G29" s="257"/>
      <c r="H29" s="258"/>
      <c r="I29" s="257"/>
      <c r="J29" s="258"/>
      <c r="K29" s="257"/>
      <c r="L29" s="258"/>
      <c r="M29" s="257"/>
      <c r="N29" s="258"/>
      <c r="O29" s="257"/>
      <c r="P29" s="258"/>
      <c r="Q29" s="257"/>
      <c r="R29" s="258"/>
      <c r="S29" s="257"/>
      <c r="T29" s="258"/>
      <c r="U29" s="257"/>
      <c r="V29" s="258"/>
      <c r="W29" s="257"/>
      <c r="X29" s="258"/>
      <c r="Y29" s="257"/>
      <c r="Z29" s="256"/>
      <c r="AA29" s="257"/>
      <c r="AB29" s="258"/>
      <c r="AC29" s="257"/>
      <c r="AD29" s="258"/>
      <c r="AE29" s="257"/>
      <c r="AF29" s="258"/>
      <c r="AG29" s="257"/>
      <c r="AH29" s="258"/>
      <c r="AI29" s="257"/>
      <c r="AJ29" s="258"/>
      <c r="AK29" s="265"/>
      <c r="AL29" s="258"/>
      <c r="AM29" s="257"/>
      <c r="AN29" s="258"/>
      <c r="AO29" s="257"/>
      <c r="AP29" s="258"/>
      <c r="AQ29" s="265"/>
      <c r="AR29" s="258"/>
      <c r="AS29" s="257"/>
      <c r="AT29" s="258"/>
      <c r="AU29" s="265"/>
      <c r="AV29" s="258"/>
      <c r="AW29" s="265"/>
      <c r="AX29" s="91">
        <v>21</v>
      </c>
      <c r="AY29" s="92">
        <f t="shared" si="0"/>
        <v>0</v>
      </c>
      <c r="AZ29" s="93">
        <f t="shared" si="0"/>
        <v>0</v>
      </c>
      <c r="BA29" s="94">
        <f t="shared" si="1"/>
        <v>0</v>
      </c>
      <c r="BB29" s="95">
        <f t="shared" si="2"/>
        <v>0</v>
      </c>
      <c r="BC29" s="214"/>
      <c r="BD29" s="197">
        <f t="shared" si="3"/>
        <v>0</v>
      </c>
      <c r="BE29" s="98">
        <f t="shared" si="4"/>
        <v>0</v>
      </c>
      <c r="BF29" s="99">
        <f t="shared" si="4"/>
        <v>0</v>
      </c>
      <c r="BG29" s="86">
        <f>junho!$BE30</f>
        <v>0</v>
      </c>
      <c r="BH29" s="97"/>
      <c r="BI29" s="197">
        <f t="shared" si="5"/>
        <v>0</v>
      </c>
    </row>
    <row r="30" spans="1:61" ht="21" customHeight="1">
      <c r="A30" s="71">
        <v>22</v>
      </c>
      <c r="B30" s="258"/>
      <c r="C30" s="257"/>
      <c r="D30" s="258"/>
      <c r="E30" s="257"/>
      <c r="F30" s="258"/>
      <c r="G30" s="257"/>
      <c r="H30" s="258"/>
      <c r="I30" s="257"/>
      <c r="J30" s="258"/>
      <c r="K30" s="257"/>
      <c r="L30" s="258"/>
      <c r="M30" s="257"/>
      <c r="N30" s="258"/>
      <c r="O30" s="257"/>
      <c r="P30" s="258"/>
      <c r="Q30" s="257"/>
      <c r="R30" s="258"/>
      <c r="S30" s="257"/>
      <c r="T30" s="258"/>
      <c r="U30" s="257"/>
      <c r="V30" s="258"/>
      <c r="W30" s="257"/>
      <c r="X30" s="258"/>
      <c r="Y30" s="257"/>
      <c r="Z30" s="258"/>
      <c r="AA30" s="257"/>
      <c r="AB30" s="258"/>
      <c r="AC30" s="257"/>
      <c r="AD30" s="258"/>
      <c r="AE30" s="257"/>
      <c r="AF30" s="258"/>
      <c r="AG30" s="257"/>
      <c r="AH30" s="258"/>
      <c r="AI30" s="257"/>
      <c r="AJ30" s="258"/>
      <c r="AK30" s="265"/>
      <c r="AL30" s="258"/>
      <c r="AM30" s="257"/>
      <c r="AN30" s="258"/>
      <c r="AO30" s="257"/>
      <c r="AP30" s="258"/>
      <c r="AQ30" s="265"/>
      <c r="AR30" s="258"/>
      <c r="AS30" s="257"/>
      <c r="AT30" s="258"/>
      <c r="AU30" s="265"/>
      <c r="AV30" s="258"/>
      <c r="AW30" s="265"/>
      <c r="AX30" s="91">
        <v>22</v>
      </c>
      <c r="AY30" s="92">
        <f t="shared" si="0"/>
        <v>0</v>
      </c>
      <c r="AZ30" s="93">
        <f t="shared" si="0"/>
        <v>0</v>
      </c>
      <c r="BA30" s="94">
        <f t="shared" si="1"/>
        <v>0</v>
      </c>
      <c r="BB30" s="95">
        <f t="shared" si="2"/>
        <v>0</v>
      </c>
      <c r="BC30" s="214"/>
      <c r="BD30" s="197">
        <f t="shared" si="3"/>
        <v>0</v>
      </c>
      <c r="BE30" s="98">
        <f t="shared" si="4"/>
        <v>0</v>
      </c>
      <c r="BF30" s="99">
        <f t="shared" si="4"/>
        <v>0</v>
      </c>
      <c r="BG30" s="86">
        <f>junho!$BE31</f>
        <v>0</v>
      </c>
      <c r="BH30" s="97"/>
      <c r="BI30" s="197">
        <f t="shared" si="5"/>
        <v>0</v>
      </c>
    </row>
    <row r="31" spans="1:61" ht="21" customHeight="1">
      <c r="A31" s="71">
        <v>23</v>
      </c>
      <c r="B31" s="258"/>
      <c r="C31" s="257"/>
      <c r="D31" s="258"/>
      <c r="E31" s="257"/>
      <c r="F31" s="258"/>
      <c r="G31" s="257"/>
      <c r="H31" s="258"/>
      <c r="I31" s="257"/>
      <c r="J31" s="258"/>
      <c r="K31" s="257"/>
      <c r="L31" s="258"/>
      <c r="M31" s="257"/>
      <c r="N31" s="258"/>
      <c r="O31" s="257"/>
      <c r="P31" s="258"/>
      <c r="Q31" s="257"/>
      <c r="R31" s="258"/>
      <c r="S31" s="257"/>
      <c r="T31" s="258"/>
      <c r="U31" s="257"/>
      <c r="V31" s="258"/>
      <c r="W31" s="257"/>
      <c r="X31" s="258"/>
      <c r="Y31" s="257"/>
      <c r="Z31" s="258"/>
      <c r="AA31" s="257"/>
      <c r="AB31" s="258"/>
      <c r="AC31" s="257"/>
      <c r="AD31" s="258"/>
      <c r="AE31" s="257"/>
      <c r="AF31" s="258"/>
      <c r="AG31" s="257"/>
      <c r="AH31" s="258"/>
      <c r="AI31" s="257"/>
      <c r="AJ31" s="258"/>
      <c r="AK31" s="265"/>
      <c r="AL31" s="258"/>
      <c r="AM31" s="257"/>
      <c r="AN31" s="258"/>
      <c r="AO31" s="257"/>
      <c r="AP31" s="258"/>
      <c r="AQ31" s="265"/>
      <c r="AR31" s="269"/>
      <c r="AS31" s="257"/>
      <c r="AT31" s="258"/>
      <c r="AU31" s="265"/>
      <c r="AV31" s="258"/>
      <c r="AW31" s="265"/>
      <c r="AX31" s="91">
        <v>23</v>
      </c>
      <c r="AY31" s="92">
        <f t="shared" si="0"/>
        <v>0</v>
      </c>
      <c r="AZ31" s="93">
        <f t="shared" si="0"/>
        <v>0</v>
      </c>
      <c r="BA31" s="94">
        <f t="shared" si="1"/>
        <v>0</v>
      </c>
      <c r="BB31" s="95">
        <f t="shared" si="2"/>
        <v>0</v>
      </c>
      <c r="BC31" s="214"/>
      <c r="BD31" s="197">
        <f t="shared" si="3"/>
        <v>0</v>
      </c>
      <c r="BE31" s="98">
        <f t="shared" si="4"/>
        <v>0</v>
      </c>
      <c r="BF31" s="99">
        <f t="shared" si="4"/>
        <v>0</v>
      </c>
      <c r="BG31" s="86">
        <f>junho!$BE32</f>
        <v>0</v>
      </c>
      <c r="BH31" s="97"/>
      <c r="BI31" s="197">
        <f t="shared" si="5"/>
        <v>0</v>
      </c>
    </row>
    <row r="32" spans="1:61" ht="21" customHeight="1">
      <c r="A32" s="71">
        <v>24</v>
      </c>
      <c r="B32" s="258"/>
      <c r="C32" s="257"/>
      <c r="D32" s="258"/>
      <c r="E32" s="257"/>
      <c r="F32" s="258"/>
      <c r="G32" s="257"/>
      <c r="H32" s="258"/>
      <c r="I32" s="257"/>
      <c r="J32" s="258"/>
      <c r="K32" s="257"/>
      <c r="L32" s="258"/>
      <c r="M32" s="257"/>
      <c r="N32" s="258"/>
      <c r="O32" s="257"/>
      <c r="P32" s="258"/>
      <c r="Q32" s="257"/>
      <c r="R32" s="258"/>
      <c r="S32" s="257"/>
      <c r="T32" s="258"/>
      <c r="U32" s="257"/>
      <c r="V32" s="258"/>
      <c r="W32" s="257"/>
      <c r="X32" s="258"/>
      <c r="Y32" s="257"/>
      <c r="Z32" s="258"/>
      <c r="AA32" s="257"/>
      <c r="AB32" s="258"/>
      <c r="AC32" s="257"/>
      <c r="AD32" s="258"/>
      <c r="AE32" s="257"/>
      <c r="AF32" s="258"/>
      <c r="AG32" s="257"/>
      <c r="AH32" s="258"/>
      <c r="AI32" s="257"/>
      <c r="AJ32" s="258"/>
      <c r="AK32" s="265"/>
      <c r="AL32" s="258"/>
      <c r="AM32" s="257"/>
      <c r="AN32" s="258"/>
      <c r="AO32" s="257"/>
      <c r="AP32" s="258"/>
      <c r="AQ32" s="265"/>
      <c r="AR32" s="269"/>
      <c r="AS32" s="257"/>
      <c r="AT32" s="258"/>
      <c r="AU32" s="265"/>
      <c r="AV32" s="258"/>
      <c r="AW32" s="265"/>
      <c r="AX32" s="91">
        <v>24</v>
      </c>
      <c r="AY32" s="92">
        <f t="shared" si="0"/>
        <v>0</v>
      </c>
      <c r="AZ32" s="93">
        <f t="shared" si="0"/>
        <v>0</v>
      </c>
      <c r="BA32" s="94">
        <f t="shared" si="1"/>
        <v>0</v>
      </c>
      <c r="BB32" s="95">
        <f t="shared" si="2"/>
        <v>0</v>
      </c>
      <c r="BC32" s="214"/>
      <c r="BD32" s="197">
        <f t="shared" si="3"/>
        <v>0</v>
      </c>
      <c r="BE32" s="98">
        <f t="shared" si="4"/>
        <v>0</v>
      </c>
      <c r="BF32" s="99">
        <f t="shared" si="4"/>
        <v>0</v>
      </c>
      <c r="BG32" s="86">
        <f>junho!$BE33</f>
        <v>0</v>
      </c>
      <c r="BH32" s="97"/>
      <c r="BI32" s="197">
        <f t="shared" si="5"/>
        <v>0</v>
      </c>
    </row>
    <row r="33" spans="1:61" ht="21" customHeight="1">
      <c r="A33" s="71">
        <v>25</v>
      </c>
      <c r="B33" s="258"/>
      <c r="C33" s="257"/>
      <c r="D33" s="258"/>
      <c r="E33" s="257"/>
      <c r="F33" s="258"/>
      <c r="G33" s="257"/>
      <c r="H33" s="258"/>
      <c r="I33" s="257"/>
      <c r="J33" s="258"/>
      <c r="K33" s="257"/>
      <c r="L33" s="258"/>
      <c r="M33" s="257"/>
      <c r="N33" s="258"/>
      <c r="O33" s="257"/>
      <c r="P33" s="258">
        <v>0.1</v>
      </c>
      <c r="Q33" s="257">
        <v>30</v>
      </c>
      <c r="R33" s="258"/>
      <c r="S33" s="257"/>
      <c r="T33" s="258"/>
      <c r="U33" s="257"/>
      <c r="V33" s="258"/>
      <c r="W33" s="257"/>
      <c r="X33" s="258"/>
      <c r="Y33" s="257"/>
      <c r="Z33" s="258"/>
      <c r="AA33" s="257"/>
      <c r="AB33" s="258">
        <v>0.1</v>
      </c>
      <c r="AC33" s="257">
        <v>25</v>
      </c>
      <c r="AD33" s="258">
        <v>0.1</v>
      </c>
      <c r="AE33" s="257">
        <v>10</v>
      </c>
      <c r="AF33" s="258"/>
      <c r="AG33" s="257"/>
      <c r="AH33" s="258"/>
      <c r="AI33" s="257"/>
      <c r="AJ33" s="258"/>
      <c r="AK33" s="265"/>
      <c r="AL33" s="258"/>
      <c r="AM33" s="257"/>
      <c r="AN33" s="258"/>
      <c r="AO33" s="257"/>
      <c r="AP33" s="258"/>
      <c r="AQ33" s="265"/>
      <c r="AR33" s="269"/>
      <c r="AS33" s="257"/>
      <c r="AT33" s="258"/>
      <c r="AU33" s="265"/>
      <c r="AV33" s="258"/>
      <c r="AW33" s="265"/>
      <c r="AX33" s="91">
        <v>25</v>
      </c>
      <c r="AY33" s="92">
        <f t="shared" si="0"/>
        <v>0.30000000000000004</v>
      </c>
      <c r="AZ33" s="93">
        <f t="shared" si="0"/>
        <v>65</v>
      </c>
      <c r="BA33" s="94">
        <f t="shared" si="1"/>
        <v>0.1</v>
      </c>
      <c r="BB33" s="95">
        <f t="shared" si="2"/>
        <v>3</v>
      </c>
      <c r="BC33" s="214"/>
      <c r="BD33" s="197">
        <f t="shared" si="3"/>
        <v>1</v>
      </c>
      <c r="BE33" s="98">
        <f t="shared" si="4"/>
        <v>0</v>
      </c>
      <c r="BF33" s="99">
        <f t="shared" si="4"/>
        <v>0</v>
      </c>
      <c r="BG33" s="86">
        <f>junho!$BE34</f>
        <v>0.30000000000000004</v>
      </c>
      <c r="BH33" s="97"/>
      <c r="BI33" s="197">
        <f t="shared" si="5"/>
        <v>0</v>
      </c>
    </row>
    <row r="34" spans="1:61" ht="21" customHeight="1">
      <c r="A34" s="102">
        <v>26</v>
      </c>
      <c r="B34" s="258"/>
      <c r="C34" s="257"/>
      <c r="D34" s="258"/>
      <c r="E34" s="257"/>
      <c r="F34" s="258"/>
      <c r="G34" s="257"/>
      <c r="H34" s="258"/>
      <c r="I34" s="257"/>
      <c r="J34" s="258"/>
      <c r="K34" s="257"/>
      <c r="L34" s="258"/>
      <c r="M34" s="257"/>
      <c r="N34" s="258"/>
      <c r="O34" s="257"/>
      <c r="P34" s="258"/>
      <c r="Q34" s="257"/>
      <c r="R34" s="258"/>
      <c r="S34" s="257"/>
      <c r="T34" s="258"/>
      <c r="U34" s="257"/>
      <c r="V34" s="258"/>
      <c r="W34" s="257"/>
      <c r="X34" s="258"/>
      <c r="Y34" s="257"/>
      <c r="Z34" s="258"/>
      <c r="AA34" s="257"/>
      <c r="AB34" s="258"/>
      <c r="AC34" s="257"/>
      <c r="AD34" s="258"/>
      <c r="AE34" s="257"/>
      <c r="AF34" s="258"/>
      <c r="AG34" s="257"/>
      <c r="AH34" s="258"/>
      <c r="AI34" s="257"/>
      <c r="AJ34" s="258"/>
      <c r="AK34" s="265"/>
      <c r="AL34" s="258"/>
      <c r="AM34" s="257"/>
      <c r="AN34" s="258"/>
      <c r="AO34" s="257"/>
      <c r="AP34" s="258"/>
      <c r="AQ34" s="265"/>
      <c r="AR34" s="258"/>
      <c r="AS34" s="257"/>
      <c r="AT34" s="258"/>
      <c r="AU34" s="265"/>
      <c r="AV34" s="258"/>
      <c r="AW34" s="265"/>
      <c r="AX34" s="91">
        <v>26</v>
      </c>
      <c r="AY34" s="92">
        <f t="shared" si="0"/>
        <v>0</v>
      </c>
      <c r="AZ34" s="93">
        <f t="shared" si="0"/>
        <v>0</v>
      </c>
      <c r="BA34" s="94">
        <f t="shared" si="1"/>
        <v>0</v>
      </c>
      <c r="BB34" s="95">
        <f t="shared" si="2"/>
        <v>0</v>
      </c>
      <c r="BC34" s="214"/>
      <c r="BD34" s="197">
        <f t="shared" si="3"/>
        <v>0</v>
      </c>
      <c r="BE34" s="98">
        <f t="shared" si="4"/>
        <v>0.30000000000000004</v>
      </c>
      <c r="BF34" s="99">
        <f t="shared" si="4"/>
        <v>65</v>
      </c>
      <c r="BG34" s="86">
        <f>junho!$BE35</f>
        <v>0</v>
      </c>
      <c r="BH34" s="97"/>
      <c r="BI34" s="197">
        <f t="shared" si="5"/>
        <v>0</v>
      </c>
    </row>
    <row r="35" spans="1:61" ht="21" customHeight="1">
      <c r="A35" s="71">
        <v>27</v>
      </c>
      <c r="B35" s="258"/>
      <c r="C35" s="257"/>
      <c r="D35" s="258"/>
      <c r="E35" s="257"/>
      <c r="F35" s="258"/>
      <c r="G35" s="257"/>
      <c r="H35" s="258"/>
      <c r="I35" s="257"/>
      <c r="J35" s="258"/>
      <c r="K35" s="257"/>
      <c r="L35" s="258"/>
      <c r="M35" s="257"/>
      <c r="N35" s="258"/>
      <c r="O35" s="257"/>
      <c r="P35" s="258"/>
      <c r="Q35" s="257"/>
      <c r="R35" s="258"/>
      <c r="S35" s="257"/>
      <c r="T35" s="258"/>
      <c r="U35" s="257"/>
      <c r="V35" s="258"/>
      <c r="W35" s="257"/>
      <c r="X35" s="258"/>
      <c r="Y35" s="257"/>
      <c r="Z35" s="258"/>
      <c r="AA35" s="257"/>
      <c r="AB35" s="258"/>
      <c r="AC35" s="257"/>
      <c r="AD35" s="258"/>
      <c r="AE35" s="257"/>
      <c r="AF35" s="258"/>
      <c r="AG35" s="257"/>
      <c r="AH35" s="258"/>
      <c r="AI35" s="257"/>
      <c r="AJ35" s="258"/>
      <c r="AK35" s="265"/>
      <c r="AL35" s="258"/>
      <c r="AM35" s="257"/>
      <c r="AN35" s="258"/>
      <c r="AO35" s="257"/>
      <c r="AP35" s="258"/>
      <c r="AQ35" s="265"/>
      <c r="AR35" s="258"/>
      <c r="AS35" s="257"/>
      <c r="AT35" s="258"/>
      <c r="AU35" s="265"/>
      <c r="AV35" s="258"/>
      <c r="AW35" s="265"/>
      <c r="AX35" s="91">
        <v>27</v>
      </c>
      <c r="AY35" s="92">
        <f t="shared" si="0"/>
        <v>0</v>
      </c>
      <c r="AZ35" s="93">
        <f>C35+E35+G35+I35+K35+M35+O35+Q35+S35+U35+W35+Y35+AA35+AC35+AE35+AG35+AI35+AK35+AM35+AO35+AQ35+AS35+AU35+AW35</f>
        <v>0</v>
      </c>
      <c r="BA35" s="94">
        <f t="shared" si="1"/>
        <v>0</v>
      </c>
      <c r="BB35" s="95">
        <f t="shared" si="2"/>
        <v>0</v>
      </c>
      <c r="BC35" s="214"/>
      <c r="BD35" s="197">
        <f t="shared" si="3"/>
        <v>0</v>
      </c>
      <c r="BE35" s="98">
        <f t="shared" si="4"/>
        <v>0</v>
      </c>
      <c r="BF35" s="99">
        <f>Q34+S34+U34+W34+Y34+AA34+AC34+AE34+AG34+AI34+AK34+AM34+AO34+AQ34+AS34+AU34+AW34+C35+E35+G35+I35+K35+M35+O35</f>
        <v>0</v>
      </c>
      <c r="BG35" s="86">
        <f>junho!$BE36</f>
        <v>0</v>
      </c>
      <c r="BH35" s="97"/>
      <c r="BI35" s="197">
        <f t="shared" si="5"/>
        <v>0</v>
      </c>
    </row>
    <row r="36" spans="1:61" ht="21" customHeight="1">
      <c r="A36" s="71">
        <v>28</v>
      </c>
      <c r="B36" s="258"/>
      <c r="C36" s="257"/>
      <c r="D36" s="258"/>
      <c r="E36" s="257"/>
      <c r="F36" s="258"/>
      <c r="G36" s="257"/>
      <c r="H36" s="258"/>
      <c r="I36" s="257"/>
      <c r="J36" s="258"/>
      <c r="K36" s="257"/>
      <c r="L36" s="258"/>
      <c r="M36" s="257"/>
      <c r="N36" s="258"/>
      <c r="O36" s="257"/>
      <c r="P36" s="258"/>
      <c r="Q36" s="257"/>
      <c r="R36" s="258"/>
      <c r="S36" s="257"/>
      <c r="T36" s="258"/>
      <c r="U36" s="257"/>
      <c r="V36" s="258"/>
      <c r="W36" s="257"/>
      <c r="X36" s="258"/>
      <c r="Y36" s="257"/>
      <c r="Z36" s="258"/>
      <c r="AA36" s="257"/>
      <c r="AB36" s="258"/>
      <c r="AC36" s="257"/>
      <c r="AD36" s="258"/>
      <c r="AE36" s="257"/>
      <c r="AF36" s="258"/>
      <c r="AG36" s="257"/>
      <c r="AH36" s="258"/>
      <c r="AI36" s="257"/>
      <c r="AJ36" s="258"/>
      <c r="AK36" s="265"/>
      <c r="AL36" s="258"/>
      <c r="AM36" s="257"/>
      <c r="AN36" s="258"/>
      <c r="AO36" s="257"/>
      <c r="AP36" s="258"/>
      <c r="AQ36" s="265"/>
      <c r="AR36" s="258"/>
      <c r="AS36" s="257"/>
      <c r="AT36" s="258"/>
      <c r="AU36" s="265"/>
      <c r="AV36" s="258"/>
      <c r="AW36" s="265"/>
      <c r="AX36" s="91">
        <v>28</v>
      </c>
      <c r="AY36" s="92">
        <f t="shared" si="0"/>
        <v>0</v>
      </c>
      <c r="AZ36" s="93">
        <f t="shared" si="0"/>
        <v>0</v>
      </c>
      <c r="BA36" s="94">
        <f t="shared" si="1"/>
        <v>0</v>
      </c>
      <c r="BB36" s="95">
        <f t="shared" si="2"/>
        <v>0</v>
      </c>
      <c r="BC36" s="214"/>
      <c r="BD36" s="197">
        <f t="shared" si="3"/>
        <v>0</v>
      </c>
      <c r="BE36" s="98">
        <f t="shared" si="4"/>
        <v>0</v>
      </c>
      <c r="BF36" s="99">
        <f>Q35+S35+U35+W35+Y35+AA35+AC35+AE35+AG35+AI35+AK35+AM35+AO35+AQ35+AS35+AU35+AW35+C36+E36+G36+I36+K36+M36+O36</f>
        <v>0</v>
      </c>
      <c r="BG36" s="86">
        <f>junho!$BE37</f>
        <v>0</v>
      </c>
      <c r="BH36" s="97"/>
      <c r="BI36" s="197">
        <f t="shared" si="5"/>
        <v>0</v>
      </c>
    </row>
    <row r="37" spans="1:61" ht="21" customHeight="1">
      <c r="A37" s="71">
        <v>29</v>
      </c>
      <c r="B37" s="258"/>
      <c r="C37" s="257"/>
      <c r="D37" s="258"/>
      <c r="E37" s="257"/>
      <c r="F37" s="258"/>
      <c r="G37" s="257"/>
      <c r="H37" s="258"/>
      <c r="I37" s="257"/>
      <c r="J37" s="258"/>
      <c r="K37" s="257"/>
      <c r="L37" s="258"/>
      <c r="M37" s="257"/>
      <c r="N37" s="258"/>
      <c r="O37" s="257"/>
      <c r="P37" s="258"/>
      <c r="Q37" s="257"/>
      <c r="R37" s="258"/>
      <c r="S37" s="257"/>
      <c r="T37" s="258"/>
      <c r="U37" s="257"/>
      <c r="V37" s="258"/>
      <c r="W37" s="257"/>
      <c r="X37" s="258"/>
      <c r="Y37" s="257"/>
      <c r="Z37" s="258"/>
      <c r="AA37" s="257"/>
      <c r="AB37" s="258"/>
      <c r="AC37" s="257"/>
      <c r="AD37" s="258"/>
      <c r="AE37" s="257"/>
      <c r="AF37" s="258"/>
      <c r="AG37" s="257"/>
      <c r="AH37" s="258"/>
      <c r="AI37" s="257"/>
      <c r="AJ37" s="258"/>
      <c r="AK37" s="265"/>
      <c r="AL37" s="258"/>
      <c r="AM37" s="257"/>
      <c r="AN37" s="258"/>
      <c r="AO37" s="257"/>
      <c r="AP37" s="258">
        <v>0.1</v>
      </c>
      <c r="AQ37" s="265">
        <v>40</v>
      </c>
      <c r="AR37" s="258"/>
      <c r="AS37" s="257"/>
      <c r="AT37" s="258"/>
      <c r="AU37" s="270"/>
      <c r="AV37" s="258"/>
      <c r="AW37" s="265"/>
      <c r="AX37" s="111">
        <v>29</v>
      </c>
      <c r="AY37" s="92">
        <f t="shared" si="0"/>
        <v>0.1</v>
      </c>
      <c r="AZ37" s="93">
        <f t="shared" si="0"/>
        <v>40</v>
      </c>
      <c r="BA37" s="94">
        <f t="shared" si="1"/>
        <v>0.1</v>
      </c>
      <c r="BB37" s="95">
        <f t="shared" si="2"/>
        <v>1</v>
      </c>
      <c r="BC37" s="214"/>
      <c r="BD37" s="197">
        <f t="shared" si="3"/>
        <v>1</v>
      </c>
      <c r="BE37" s="98">
        <f t="shared" si="4"/>
        <v>0</v>
      </c>
      <c r="BF37" s="99">
        <f>Q36+S36+U36+W36+Y36+AA36+AC36+AE36+AG36+AI36+AK36+AM36+AO36+AQ36+AS36+AU36+AW36+C37+E37+G37+I37+K37+M37+O37</f>
        <v>0</v>
      </c>
      <c r="BG37" s="86">
        <f>junho!$BE38</f>
        <v>0.4</v>
      </c>
      <c r="BH37" s="97"/>
      <c r="BI37" s="197">
        <f t="shared" si="5"/>
        <v>0</v>
      </c>
    </row>
    <row r="38" spans="1:61" ht="21" customHeight="1" thickBot="1">
      <c r="A38" s="71">
        <v>30</v>
      </c>
      <c r="B38" s="283">
        <v>0.2</v>
      </c>
      <c r="C38" s="128">
        <v>25</v>
      </c>
      <c r="D38" s="276">
        <v>0.1</v>
      </c>
      <c r="E38" s="128">
        <v>60</v>
      </c>
      <c r="F38" s="276"/>
      <c r="G38" s="128"/>
      <c r="H38" s="276"/>
      <c r="I38" s="128"/>
      <c r="J38" s="276"/>
      <c r="K38" s="128"/>
      <c r="L38" s="276"/>
      <c r="M38" s="128"/>
      <c r="N38" s="276"/>
      <c r="O38" s="257"/>
      <c r="P38" s="258"/>
      <c r="Q38" s="257"/>
      <c r="R38" s="258"/>
      <c r="S38" s="257"/>
      <c r="T38" s="258"/>
      <c r="U38" s="257"/>
      <c r="V38" s="258"/>
      <c r="W38" s="257"/>
      <c r="X38" s="258"/>
      <c r="Y38" s="257"/>
      <c r="Z38" s="258"/>
      <c r="AA38" s="257"/>
      <c r="AB38" s="258"/>
      <c r="AC38" s="257"/>
      <c r="AD38" s="258"/>
      <c r="AE38" s="257"/>
      <c r="AF38" s="258"/>
      <c r="AG38" s="257"/>
      <c r="AH38" s="258"/>
      <c r="AI38" s="257"/>
      <c r="AJ38" s="258"/>
      <c r="AK38" s="265"/>
      <c r="AL38" s="258"/>
      <c r="AM38" s="257"/>
      <c r="AN38" s="258"/>
      <c r="AO38" s="257"/>
      <c r="AP38" s="258"/>
      <c r="AQ38" s="265"/>
      <c r="AR38" s="271"/>
      <c r="AS38" s="272"/>
      <c r="AT38" s="258"/>
      <c r="AU38" s="265"/>
      <c r="AV38" s="258"/>
      <c r="AW38" s="265"/>
      <c r="AX38" s="111">
        <v>30</v>
      </c>
      <c r="AY38" s="92">
        <f t="shared" si="0"/>
        <v>0.30000000000000004</v>
      </c>
      <c r="AZ38" s="93">
        <f t="shared" si="0"/>
        <v>85</v>
      </c>
      <c r="BA38" s="94">
        <f t="shared" si="1"/>
        <v>0.2</v>
      </c>
      <c r="BB38" s="95">
        <f t="shared" si="2"/>
        <v>2</v>
      </c>
      <c r="BC38" s="214"/>
      <c r="BD38" s="197">
        <f t="shared" si="3"/>
        <v>1</v>
      </c>
      <c r="BE38" s="98">
        <f t="shared" si="4"/>
        <v>0.4</v>
      </c>
      <c r="BF38" s="99">
        <f>Q37+S37+U37+W37+Y37+AA37+AC37+AE37+AG37+AI37+AK37+AM37+AO37+AQ37+AS37+AU37+AW37+C38+E38+G38+I38+K38+M38+O38</f>
        <v>125</v>
      </c>
      <c r="BG38" s="86">
        <f>junho!$BH40</f>
        <v>0</v>
      </c>
      <c r="BH38" s="97"/>
      <c r="BI38" s="197">
        <f t="shared" si="5"/>
        <v>0</v>
      </c>
    </row>
    <row r="39" spans="1:61" ht="21" customHeight="1" thickBot="1">
      <c r="A39" s="284">
        <v>1</v>
      </c>
      <c r="B39" s="221"/>
      <c r="C39" s="222"/>
      <c r="D39" s="223"/>
      <c r="E39" s="222"/>
      <c r="F39" s="223"/>
      <c r="G39" s="222"/>
      <c r="H39" s="223"/>
      <c r="I39" s="222"/>
      <c r="J39" s="223"/>
      <c r="K39" s="222"/>
      <c r="L39" s="223"/>
      <c r="M39" s="222"/>
      <c r="N39" s="223"/>
      <c r="O39" s="274"/>
      <c r="P39" s="292"/>
      <c r="Q39" s="274"/>
      <c r="R39" s="275"/>
      <c r="S39" s="274"/>
      <c r="T39" s="275"/>
      <c r="U39" s="274"/>
      <c r="V39" s="275"/>
      <c r="W39" s="274"/>
      <c r="X39" s="275"/>
      <c r="Y39" s="274"/>
      <c r="Z39" s="275"/>
      <c r="AA39" s="274"/>
      <c r="AB39" s="275"/>
      <c r="AC39" s="274"/>
      <c r="AD39" s="275"/>
      <c r="AE39" s="274"/>
      <c r="AF39" s="275"/>
      <c r="AG39" s="274"/>
      <c r="AH39" s="275"/>
      <c r="AI39" s="274"/>
      <c r="AJ39" s="275"/>
      <c r="AK39" s="277"/>
      <c r="AL39" s="278"/>
      <c r="AM39" s="274"/>
      <c r="AN39" s="275"/>
      <c r="AO39" s="274"/>
      <c r="AP39" s="275"/>
      <c r="AQ39" s="279"/>
      <c r="AR39" s="275"/>
      <c r="AS39" s="274"/>
      <c r="AT39" s="275"/>
      <c r="AU39" s="279"/>
      <c r="AV39" s="280"/>
      <c r="AW39" s="279"/>
      <c r="AX39" s="123"/>
      <c r="AY39" s="92"/>
      <c r="AZ39" s="93"/>
      <c r="BA39" s="94"/>
      <c r="BB39" s="95"/>
      <c r="BC39" s="214"/>
      <c r="BD39" s="197"/>
      <c r="BE39" s="98"/>
      <c r="BF39" s="99"/>
      <c r="BG39" s="228"/>
      <c r="BH39" s="125">
        <v>44013</v>
      </c>
      <c r="BI39" s="197"/>
    </row>
    <row r="40" spans="1:61" ht="21" customHeight="1" thickBot="1">
      <c r="A40" s="229"/>
      <c r="B40" s="230"/>
      <c r="C40" s="32"/>
      <c r="D40" s="31"/>
      <c r="E40" s="32"/>
      <c r="F40" s="31"/>
      <c r="G40" s="32"/>
      <c r="H40" s="31"/>
      <c r="I40" s="32"/>
      <c r="J40" s="31"/>
      <c r="K40" s="32"/>
      <c r="L40" s="31"/>
      <c r="M40" s="32"/>
      <c r="N40" s="31"/>
      <c r="O40" s="31"/>
      <c r="P40" s="230"/>
      <c r="Q40" s="32"/>
      <c r="R40" s="31"/>
      <c r="S40" s="32"/>
      <c r="T40" s="31"/>
      <c r="U40" s="32"/>
      <c r="V40" s="31"/>
      <c r="W40" s="32"/>
      <c r="X40" s="31"/>
      <c r="Y40" s="32"/>
      <c r="Z40" s="31"/>
      <c r="AA40" s="32"/>
      <c r="AB40" s="31"/>
      <c r="AC40" s="32"/>
      <c r="AD40" s="31"/>
      <c r="AE40" s="32"/>
      <c r="AF40" s="31"/>
      <c r="AG40" s="32"/>
      <c r="AH40" s="31"/>
      <c r="AI40" s="32"/>
      <c r="AJ40" s="31"/>
      <c r="AK40" s="32"/>
      <c r="AL40" s="31"/>
      <c r="AM40" s="32"/>
      <c r="AN40" s="31"/>
      <c r="AO40" s="32"/>
      <c r="AP40" s="31"/>
      <c r="AQ40" s="32"/>
      <c r="AR40" s="31"/>
      <c r="AS40" s="32"/>
      <c r="AT40" s="31"/>
      <c r="AU40" s="32"/>
      <c r="AV40" s="31"/>
      <c r="AW40" s="32"/>
      <c r="AX40" s="132"/>
      <c r="AY40" s="231" t="s">
        <v>53</v>
      </c>
      <c r="AZ40" s="232"/>
      <c r="BA40" s="233"/>
      <c r="BB40" s="136"/>
      <c r="BC40" s="214"/>
      <c r="BD40" s="137" t="s">
        <v>54</v>
      </c>
      <c r="BE40" s="138">
        <f>SUM(BE9:BE39)</f>
        <v>1.9</v>
      </c>
      <c r="BF40" s="232"/>
      <c r="BG40" s="139"/>
      <c r="BH40" s="140">
        <f>P38+R38+T38+V38+X38+Z38+AB38+AD38+AF38+AH38+AJ38+AL38+AN38+AP38+AR38+AT38+AV38+B39+D39+F39+H39+J39+L39+N39</f>
        <v>0</v>
      </c>
      <c r="BI40" s="214"/>
    </row>
    <row r="41" spans="1:61" ht="21" customHeight="1" thickBot="1">
      <c r="A41" s="142"/>
      <c r="B41" s="37" t="s">
        <v>19</v>
      </c>
      <c r="C41" s="37"/>
      <c r="D41" s="38" t="s">
        <v>20</v>
      </c>
      <c r="E41" s="38"/>
      <c r="F41" s="37" t="s">
        <v>21</v>
      </c>
      <c r="G41" s="37"/>
      <c r="H41" s="37" t="s">
        <v>22</v>
      </c>
      <c r="I41" s="37"/>
      <c r="J41" s="39" t="s">
        <v>23</v>
      </c>
      <c r="K41" s="39"/>
      <c r="L41" s="37" t="s">
        <v>24</v>
      </c>
      <c r="M41" s="37"/>
      <c r="N41" s="37" t="s">
        <v>25</v>
      </c>
      <c r="O41" s="37"/>
      <c r="P41" s="37" t="s">
        <v>26</v>
      </c>
      <c r="Q41" s="37"/>
      <c r="R41" s="37" t="s">
        <v>27</v>
      </c>
      <c r="S41" s="37"/>
      <c r="T41" s="37" t="s">
        <v>28</v>
      </c>
      <c r="U41" s="37"/>
      <c r="V41" s="37" t="s">
        <v>29</v>
      </c>
      <c r="W41" s="37"/>
      <c r="X41" s="37" t="s">
        <v>30</v>
      </c>
      <c r="Y41" s="37"/>
      <c r="Z41" s="40" t="s">
        <v>31</v>
      </c>
      <c r="AA41" s="40"/>
      <c r="AB41" s="37" t="s">
        <v>32</v>
      </c>
      <c r="AC41" s="37"/>
      <c r="AD41" s="37" t="s">
        <v>33</v>
      </c>
      <c r="AE41" s="37"/>
      <c r="AF41" s="37" t="s">
        <v>34</v>
      </c>
      <c r="AG41" s="37"/>
      <c r="AH41" s="37" t="s">
        <v>35</v>
      </c>
      <c r="AI41" s="37"/>
      <c r="AJ41" s="37" t="s">
        <v>36</v>
      </c>
      <c r="AK41" s="37"/>
      <c r="AL41" s="37" t="s">
        <v>37</v>
      </c>
      <c r="AM41" s="37"/>
      <c r="AN41" s="37" t="s">
        <v>38</v>
      </c>
      <c r="AO41" s="37"/>
      <c r="AP41" s="37" t="s">
        <v>39</v>
      </c>
      <c r="AQ41" s="37"/>
      <c r="AR41" s="37" t="s">
        <v>40</v>
      </c>
      <c r="AS41" s="37"/>
      <c r="AT41" s="37" t="s">
        <v>41</v>
      </c>
      <c r="AU41" s="37"/>
      <c r="AV41" s="37" t="s">
        <v>42</v>
      </c>
      <c r="AW41" s="37"/>
      <c r="AX41" s="146"/>
      <c r="AY41" s="33" t="s">
        <v>15</v>
      </c>
      <c r="AZ41" s="33" t="s">
        <v>16</v>
      </c>
      <c r="BA41" s="34" t="s">
        <v>17</v>
      </c>
      <c r="BB41" s="34" t="s">
        <v>55</v>
      </c>
      <c r="BC41" s="214"/>
      <c r="BD41" s="137" t="s">
        <v>56</v>
      </c>
      <c r="BE41" s="147">
        <f>MAX(BE9:BE39)</f>
        <v>0.5</v>
      </c>
      <c r="BF41" s="148"/>
      <c r="BG41" s="148"/>
      <c r="BH41" s="148"/>
      <c r="BI41" s="214"/>
    </row>
    <row r="42" spans="1:61" ht="21" customHeight="1" thickBot="1">
      <c r="A42" s="142"/>
      <c r="B42" s="234" t="s">
        <v>47</v>
      </c>
      <c r="C42" s="235" t="s">
        <v>48</v>
      </c>
      <c r="D42" s="204" t="s">
        <v>47</v>
      </c>
      <c r="E42" s="236" t="s">
        <v>48</v>
      </c>
      <c r="F42" s="204" t="s">
        <v>47</v>
      </c>
      <c r="G42" s="237" t="s">
        <v>48</v>
      </c>
      <c r="H42" s="204" t="s">
        <v>47</v>
      </c>
      <c r="I42" s="237" t="s">
        <v>48</v>
      </c>
      <c r="J42" s="204" t="s">
        <v>47</v>
      </c>
      <c r="K42" s="237" t="s">
        <v>48</v>
      </c>
      <c r="L42" s="204" t="s">
        <v>47</v>
      </c>
      <c r="M42" s="237" t="s">
        <v>48</v>
      </c>
      <c r="N42" s="204" t="s">
        <v>47</v>
      </c>
      <c r="O42" s="237" t="s">
        <v>48</v>
      </c>
      <c r="P42" s="204" t="s">
        <v>47</v>
      </c>
      <c r="Q42" s="237" t="s">
        <v>48</v>
      </c>
      <c r="R42" s="204" t="s">
        <v>47</v>
      </c>
      <c r="S42" s="237" t="s">
        <v>48</v>
      </c>
      <c r="T42" s="204" t="s">
        <v>47</v>
      </c>
      <c r="U42" s="237" t="s">
        <v>48</v>
      </c>
      <c r="V42" s="204" t="s">
        <v>47</v>
      </c>
      <c r="W42" s="237" t="s">
        <v>48</v>
      </c>
      <c r="X42" s="204" t="s">
        <v>47</v>
      </c>
      <c r="Y42" s="237" t="s">
        <v>48</v>
      </c>
      <c r="Z42" s="204" t="s">
        <v>47</v>
      </c>
      <c r="AA42" s="237" t="s">
        <v>48</v>
      </c>
      <c r="AB42" s="204" t="s">
        <v>47</v>
      </c>
      <c r="AC42" s="237" t="s">
        <v>48</v>
      </c>
      <c r="AD42" s="204" t="s">
        <v>47</v>
      </c>
      <c r="AE42" s="237" t="s">
        <v>48</v>
      </c>
      <c r="AF42" s="204" t="s">
        <v>47</v>
      </c>
      <c r="AG42" s="237" t="s">
        <v>48</v>
      </c>
      <c r="AH42" s="204" t="s">
        <v>47</v>
      </c>
      <c r="AI42" s="237" t="s">
        <v>48</v>
      </c>
      <c r="AJ42" s="204" t="s">
        <v>47</v>
      </c>
      <c r="AK42" s="205" t="s">
        <v>48</v>
      </c>
      <c r="AL42" s="204" t="s">
        <v>47</v>
      </c>
      <c r="AM42" s="237" t="s">
        <v>48</v>
      </c>
      <c r="AN42" s="204" t="s">
        <v>47</v>
      </c>
      <c r="AO42" s="237" t="s">
        <v>48</v>
      </c>
      <c r="AP42" s="204" t="s">
        <v>47</v>
      </c>
      <c r="AQ42" s="205" t="s">
        <v>48</v>
      </c>
      <c r="AR42" s="204" t="s">
        <v>47</v>
      </c>
      <c r="AS42" s="237" t="s">
        <v>48</v>
      </c>
      <c r="AT42" s="204" t="s">
        <v>47</v>
      </c>
      <c r="AU42" s="205" t="s">
        <v>48</v>
      </c>
      <c r="AV42" s="204" t="s">
        <v>47</v>
      </c>
      <c r="AW42" s="205" t="s">
        <v>48</v>
      </c>
      <c r="AX42" s="146"/>
      <c r="AY42" s="35" t="s">
        <v>57</v>
      </c>
      <c r="AZ42" s="35" t="s">
        <v>43</v>
      </c>
      <c r="BA42" s="35" t="s">
        <v>44</v>
      </c>
      <c r="BB42" s="35" t="s">
        <v>58</v>
      </c>
      <c r="BC42" s="214"/>
      <c r="BD42" s="137" t="s">
        <v>59</v>
      </c>
      <c r="BE42" s="70">
        <f>COUNTIF(BE9:BE39,"&gt;=1")</f>
        <v>0</v>
      </c>
      <c r="BF42" s="238"/>
      <c r="BG42" s="238"/>
      <c r="BH42" s="238"/>
      <c r="BI42" s="214"/>
    </row>
    <row r="43" spans="1:61" ht="21" customHeight="1" thickBot="1">
      <c r="A43" s="238" t="s">
        <v>60</v>
      </c>
      <c r="B43" s="154">
        <f>SUM(B9:B38)</f>
        <v>0.30000000000000004</v>
      </c>
      <c r="C43" s="154"/>
      <c r="D43" s="154">
        <f>SUM(D9:D38)</f>
        <v>0.1</v>
      </c>
      <c r="E43" s="154"/>
      <c r="F43" s="154">
        <f>SUM(F9:F38)</f>
        <v>0</v>
      </c>
      <c r="G43" s="154"/>
      <c r="H43" s="154">
        <f>SUM(H9:H38)</f>
        <v>0</v>
      </c>
      <c r="I43" s="154"/>
      <c r="J43" s="154">
        <f>SUM(J9:J38)</f>
        <v>0.1</v>
      </c>
      <c r="K43" s="154"/>
      <c r="L43" s="154">
        <f>SUM(L9:L38)</f>
        <v>0.1</v>
      </c>
      <c r="M43" s="154"/>
      <c r="N43" s="154">
        <f>SUM(N9:N38)</f>
        <v>0.4</v>
      </c>
      <c r="O43" s="154"/>
      <c r="P43" s="154">
        <f>SUM(P9:P38)</f>
        <v>0.2</v>
      </c>
      <c r="Q43" s="154"/>
      <c r="R43" s="154">
        <f>SUM(R9:R38)</f>
        <v>0</v>
      </c>
      <c r="S43" s="154"/>
      <c r="T43" s="154">
        <f>SUM(T9:T38)</f>
        <v>0</v>
      </c>
      <c r="U43" s="154"/>
      <c r="V43" s="154">
        <f>SUM(V9:V38)</f>
        <v>0.3</v>
      </c>
      <c r="W43" s="154"/>
      <c r="X43" s="154">
        <f>SUM(X9:X38)</f>
        <v>0</v>
      </c>
      <c r="Y43" s="154"/>
      <c r="Z43" s="154">
        <f>SUM(Z9:Z38)</f>
        <v>0.1</v>
      </c>
      <c r="AA43" s="154"/>
      <c r="AB43" s="154">
        <f>SUM(AB9:AB38)</f>
        <v>0.1</v>
      </c>
      <c r="AC43" s="154"/>
      <c r="AD43" s="293">
        <f>SUM(AD9:AD38)</f>
        <v>0.1</v>
      </c>
      <c r="AE43" s="154"/>
      <c r="AF43" s="154">
        <f>SUM(AF9:AF38)</f>
        <v>0</v>
      </c>
      <c r="AG43" s="154"/>
      <c r="AH43" s="154">
        <f>SUM(AH9:AH38)</f>
        <v>0</v>
      </c>
      <c r="AI43" s="154"/>
      <c r="AJ43" s="154">
        <f>SUM(AJ9:AJ38)</f>
        <v>0</v>
      </c>
      <c r="AK43" s="154"/>
      <c r="AL43" s="154">
        <f>SUM(AL9:AL38)</f>
        <v>0</v>
      </c>
      <c r="AM43" s="154"/>
      <c r="AN43" s="154">
        <f>SUM(AN9:AN38)</f>
        <v>0</v>
      </c>
      <c r="AO43" s="154"/>
      <c r="AP43" s="154">
        <f>SUM(AP9:AP38)</f>
        <v>0.1</v>
      </c>
      <c r="AQ43" s="154"/>
      <c r="AR43" s="154">
        <f>SUM(AR9:AR38)</f>
        <v>0</v>
      </c>
      <c r="AS43" s="154"/>
      <c r="AT43" s="154">
        <f>SUM(AT9:AT38)</f>
        <v>0</v>
      </c>
      <c r="AU43" s="154"/>
      <c r="AV43" s="154">
        <f>SUM(AV9:AV38)</f>
        <v>0</v>
      </c>
      <c r="AW43" s="154"/>
      <c r="AX43" s="146"/>
      <c r="AY43" s="53" t="s">
        <v>49</v>
      </c>
      <c r="AZ43" s="53" t="s">
        <v>50</v>
      </c>
      <c r="BA43" s="54" t="s">
        <v>51</v>
      </c>
      <c r="BB43" s="54" t="s">
        <v>61</v>
      </c>
      <c r="BC43" s="214"/>
      <c r="BD43" s="137"/>
      <c r="BE43" s="70"/>
      <c r="BF43" s="238"/>
      <c r="BG43" s="238"/>
      <c r="BH43" s="238"/>
      <c r="BI43" s="214"/>
    </row>
    <row r="44" spans="1:61" s="161" customFormat="1" ht="21" customHeight="1" thickBot="1">
      <c r="A44" s="238" t="s">
        <v>62</v>
      </c>
      <c r="B44" s="155"/>
      <c r="C44" s="155">
        <f>SUM(C9:C38)</f>
        <v>85</v>
      </c>
      <c r="D44" s="155"/>
      <c r="E44" s="155">
        <f>SUM(E9:E38)</f>
        <v>60</v>
      </c>
      <c r="F44" s="155"/>
      <c r="G44" s="155">
        <f>SUM(G9:G38)</f>
        <v>0</v>
      </c>
      <c r="H44" s="155"/>
      <c r="I44" s="155">
        <f>SUM(I9:I38)</f>
        <v>0</v>
      </c>
      <c r="J44" s="155"/>
      <c r="K44" s="155">
        <f>SUM(K9:K38)</f>
        <v>60</v>
      </c>
      <c r="L44" s="155"/>
      <c r="M44" s="155">
        <f>SUM(M9:M38)</f>
        <v>60</v>
      </c>
      <c r="N44" s="155"/>
      <c r="O44" s="155">
        <f>SUM(O9:O38)</f>
        <v>240</v>
      </c>
      <c r="P44" s="155"/>
      <c r="Q44" s="155">
        <f>SUM(Q9:Q38)</f>
        <v>40</v>
      </c>
      <c r="R44" s="155"/>
      <c r="S44" s="155">
        <f>SUM(S9:S38)</f>
        <v>0</v>
      </c>
      <c r="T44" s="155"/>
      <c r="U44" s="155">
        <f>SUM(U9:U38)</f>
        <v>0</v>
      </c>
      <c r="V44" s="155"/>
      <c r="W44" s="155">
        <f>SUM(W9:W38)</f>
        <v>25</v>
      </c>
      <c r="X44" s="155"/>
      <c r="Y44" s="155">
        <f>SUM(Y9:Y38)</f>
        <v>0</v>
      </c>
      <c r="Z44" s="155"/>
      <c r="AA44" s="155">
        <f>SUM(AA9:AA38)</f>
        <v>5</v>
      </c>
      <c r="AB44" s="155"/>
      <c r="AC44" s="155">
        <f>SUM(AC9:AC38)</f>
        <v>25</v>
      </c>
      <c r="AD44" s="155"/>
      <c r="AE44" s="155">
        <f>SUM(AE9:AE38)</f>
        <v>10</v>
      </c>
      <c r="AF44" s="155"/>
      <c r="AG44" s="155">
        <f>SUM(AG9:AG38)</f>
        <v>0</v>
      </c>
      <c r="AH44" s="155"/>
      <c r="AI44" s="155">
        <f>SUM(AI9:AI38)</f>
        <v>0</v>
      </c>
      <c r="AJ44" s="155"/>
      <c r="AK44" s="155">
        <f>SUM(AK9:AK38)</f>
        <v>0</v>
      </c>
      <c r="AL44" s="155"/>
      <c r="AM44" s="155">
        <f>SUM(AM9:AM38)</f>
        <v>0</v>
      </c>
      <c r="AN44" s="155"/>
      <c r="AO44" s="155">
        <f>SUM(AO9:AO38)</f>
        <v>0</v>
      </c>
      <c r="AP44" s="155"/>
      <c r="AQ44" s="155">
        <f>SUM(AQ9:AQ38)</f>
        <v>40</v>
      </c>
      <c r="AR44" s="155"/>
      <c r="AS44" s="155">
        <f>SUM(AS9:AS38)</f>
        <v>0</v>
      </c>
      <c r="AT44" s="155"/>
      <c r="AU44" s="155">
        <f>SUM(AU9:AU38)</f>
        <v>0</v>
      </c>
      <c r="AV44" s="155"/>
      <c r="AW44" s="155">
        <f>SUM(AW9:AW38)</f>
        <v>0</v>
      </c>
      <c r="AX44" s="239"/>
      <c r="AY44" s="157">
        <f>AY9+AY10+AY11+AY12+AY13+AY14+AY15+AY16+AY17+AY18+AY19+AY20+AY21+AY22+AY23+AY24+AY25+AY26+AY27+AY28+AY29+AY30+AY31+AY32+AY33+AY34+AY35+AY36+AY37+AY38</f>
        <v>1.9000000000000001</v>
      </c>
      <c r="AZ44" s="158">
        <f>AZ9+AZ10+AZ11+AZ12+AZ13+AZ14+AZ15+AZ16+AZ17+AZ18+AZ19+AZ20+AZ21+AZ22+AZ23+AZ24+AZ25+AZ26+AZ27+AZ28+AZ29+AZ30+AZ31+AZ32+AZ33+AZ34+AZ35+AZ36+AZ37+AZ38</f>
        <v>650</v>
      </c>
      <c r="BA44" s="154">
        <f>MAX(BA9:BA38)</f>
        <v>0.3</v>
      </c>
      <c r="BB44" s="155">
        <f>SUM(BB8:BB38)</f>
        <v>16</v>
      </c>
      <c r="BC44" s="42"/>
      <c r="BD44" s="197"/>
      <c r="BE44" s="240"/>
      <c r="BF44" s="241"/>
      <c r="BG44" s="240"/>
      <c r="BH44" s="242"/>
      <c r="BI44" s="214"/>
    </row>
    <row r="45" spans="1:61" s="161" customFormat="1" ht="21" customHeight="1" thickBot="1">
      <c r="A45" s="238" t="s">
        <v>63</v>
      </c>
      <c r="B45" s="155">
        <f>COUNT(B9:B38)</f>
        <v>2</v>
      </c>
      <c r="C45" s="155"/>
      <c r="D45" s="155">
        <f>COUNT(D9:D38)</f>
        <v>1</v>
      </c>
      <c r="E45" s="155"/>
      <c r="F45" s="155">
        <f>COUNT(F9:F38)</f>
        <v>0</v>
      </c>
      <c r="G45" s="155"/>
      <c r="H45" s="155">
        <f>COUNT(H9:H38)</f>
        <v>0</v>
      </c>
      <c r="I45" s="155"/>
      <c r="J45" s="155">
        <f>COUNT(J9:J38)</f>
        <v>1</v>
      </c>
      <c r="K45" s="155"/>
      <c r="L45" s="155">
        <f>COUNT(L9:L38)</f>
        <v>1</v>
      </c>
      <c r="M45" s="155"/>
      <c r="N45" s="155">
        <f>COUNT(N9:N38)</f>
        <v>4</v>
      </c>
      <c r="O45" s="155"/>
      <c r="P45" s="155">
        <f>COUNT(P9:P38)</f>
        <v>2</v>
      </c>
      <c r="Q45" s="155"/>
      <c r="R45" s="155">
        <f>COUNT(R9:R38)</f>
        <v>0</v>
      </c>
      <c r="S45" s="155"/>
      <c r="T45" s="155">
        <f>COUNT(T9:T38)</f>
        <v>0</v>
      </c>
      <c r="U45" s="155"/>
      <c r="V45" s="155">
        <f>COUNT(V9:V38)</f>
        <v>1</v>
      </c>
      <c r="W45" s="155"/>
      <c r="X45" s="155">
        <f>COUNT(X9:X38)</f>
        <v>0</v>
      </c>
      <c r="Y45" s="155"/>
      <c r="Z45" s="155">
        <f>COUNT(Z9:Z38)</f>
        <v>1</v>
      </c>
      <c r="AA45" s="155"/>
      <c r="AB45" s="155">
        <f>COUNT(AB9:AB38)</f>
        <v>1</v>
      </c>
      <c r="AC45" s="155"/>
      <c r="AD45" s="155">
        <f>COUNT(AD9:AD38)</f>
        <v>1</v>
      </c>
      <c r="AE45" s="155"/>
      <c r="AF45" s="155">
        <f>COUNT(AF9:AF38)</f>
        <v>0</v>
      </c>
      <c r="AG45" s="155"/>
      <c r="AH45" s="155">
        <f>COUNT(AH9:AH38)</f>
        <v>0</v>
      </c>
      <c r="AI45" s="155"/>
      <c r="AJ45" s="155">
        <f>COUNT(AJ9:AJ38)</f>
        <v>0</v>
      </c>
      <c r="AK45" s="155"/>
      <c r="AL45" s="155">
        <f>COUNT(AL9:AL38)</f>
        <v>0</v>
      </c>
      <c r="AM45" s="155"/>
      <c r="AN45" s="155">
        <f>COUNT(AN9:AN38)</f>
        <v>0</v>
      </c>
      <c r="AO45" s="162"/>
      <c r="AP45" s="155">
        <f>COUNT(AP9:AP38)</f>
        <v>1</v>
      </c>
      <c r="AQ45" s="155"/>
      <c r="AR45" s="155">
        <f>COUNT(AR9:AR38)</f>
        <v>0</v>
      </c>
      <c r="AS45" s="155"/>
      <c r="AT45" s="155">
        <f>COUNT(AT9:AT38)</f>
        <v>0</v>
      </c>
      <c r="AU45" s="155"/>
      <c r="AV45" s="155">
        <f>COUNT(AV9:AV38)</f>
        <v>0</v>
      </c>
      <c r="AW45" s="155"/>
      <c r="AX45" s="243"/>
      <c r="AY45" s="164" t="s">
        <v>64</v>
      </c>
      <c r="AZ45" s="165" t="s">
        <v>65</v>
      </c>
      <c r="BA45" s="240"/>
      <c r="BB45" s="34" t="s">
        <v>66</v>
      </c>
      <c r="BC45" s="214"/>
      <c r="BD45" s="197"/>
      <c r="BE45" s="238"/>
      <c r="BF45" s="241"/>
      <c r="BG45" s="240"/>
      <c r="BH45" s="238"/>
      <c r="BI45" s="214"/>
    </row>
    <row r="46" spans="1:61" s="161" customFormat="1" ht="21" customHeight="1" thickBot="1">
      <c r="A46" s="196"/>
      <c r="B46" s="196"/>
      <c r="C46" s="196"/>
      <c r="D46" s="196"/>
      <c r="E46" s="196"/>
      <c r="F46" s="196"/>
      <c r="G46" s="196"/>
      <c r="H46" s="196"/>
      <c r="I46" s="196"/>
      <c r="J46" s="196"/>
      <c r="K46" s="196"/>
      <c r="L46" s="196"/>
      <c r="M46" s="196"/>
      <c r="N46" s="196"/>
      <c r="O46" s="196"/>
      <c r="P46" s="196"/>
      <c r="Q46" s="196"/>
      <c r="R46" s="196"/>
      <c r="S46" s="196"/>
      <c r="T46" s="196"/>
      <c r="U46" s="196"/>
      <c r="V46" s="196"/>
      <c r="W46" s="196"/>
      <c r="X46" s="196"/>
      <c r="Y46" s="196"/>
      <c r="Z46" s="196"/>
      <c r="AA46" s="196"/>
      <c r="AB46" s="196"/>
      <c r="AC46" s="196"/>
      <c r="AD46" s="196"/>
      <c r="AE46" s="196"/>
      <c r="AF46" s="196"/>
      <c r="AG46" s="196"/>
      <c r="AH46" s="196"/>
      <c r="AI46" s="196"/>
      <c r="AJ46" s="196"/>
      <c r="AK46" s="196"/>
      <c r="AL46" s="196"/>
      <c r="AM46" s="196"/>
      <c r="AN46" s="196"/>
      <c r="AO46" s="196"/>
      <c r="AP46" s="196"/>
      <c r="AQ46" s="196"/>
      <c r="AR46" s="196"/>
      <c r="AS46" s="196"/>
      <c r="AT46" s="196"/>
      <c r="AU46" s="196"/>
      <c r="AV46" s="196"/>
      <c r="AW46" s="31"/>
      <c r="AX46" s="244"/>
      <c r="AY46" s="157">
        <f>[1]ano!H44</f>
        <v>50.681571428571417</v>
      </c>
      <c r="AZ46" s="167"/>
      <c r="BA46" s="245"/>
      <c r="BB46" s="35" t="s">
        <v>58</v>
      </c>
      <c r="BC46" s="214"/>
      <c r="BD46" s="197"/>
      <c r="BE46" s="240"/>
      <c r="BF46" s="238"/>
      <c r="BG46" s="245"/>
      <c r="BH46" s="238"/>
      <c r="BI46" s="214"/>
    </row>
    <row r="47" spans="1:61" s="161" customFormat="1" ht="21" customHeight="1" thickBot="1">
      <c r="A47" s="246"/>
      <c r="B47" s="247" t="s">
        <v>67</v>
      </c>
      <c r="C47" s="248"/>
      <c r="D47" s="248"/>
      <c r="E47" s="248"/>
      <c r="F47" s="248"/>
      <c r="G47" s="248"/>
      <c r="H47" s="248"/>
      <c r="I47" s="248"/>
      <c r="J47" s="248"/>
      <c r="K47" s="248"/>
      <c r="L47" s="248"/>
      <c r="M47" s="248"/>
      <c r="N47" s="242"/>
      <c r="O47" s="242"/>
      <c r="P47" s="242"/>
      <c r="Q47" s="242"/>
      <c r="R47" s="242"/>
      <c r="S47" s="242"/>
      <c r="T47" s="242"/>
      <c r="U47" s="242"/>
      <c r="V47" s="242"/>
      <c r="W47" s="242"/>
      <c r="X47" s="242"/>
      <c r="Y47" s="242"/>
      <c r="Z47" s="242"/>
      <c r="AA47" s="242"/>
      <c r="AB47" s="242"/>
      <c r="AC47" s="242"/>
      <c r="AD47" s="242"/>
      <c r="AE47" s="242"/>
      <c r="AF47" s="242"/>
      <c r="AG47" s="242"/>
      <c r="AH47" s="242"/>
      <c r="AI47" s="242"/>
      <c r="AJ47" s="242"/>
      <c r="AK47" s="242"/>
      <c r="AL47" s="242"/>
      <c r="AM47" s="242"/>
      <c r="AN47" s="242"/>
      <c r="AO47" s="242"/>
      <c r="AP47" s="242"/>
      <c r="AQ47" s="242"/>
      <c r="AR47" s="242"/>
      <c r="AS47" s="242"/>
      <c r="AT47" s="242"/>
      <c r="AU47" s="242"/>
      <c r="AV47" s="242"/>
      <c r="AW47" s="242"/>
      <c r="AX47" s="249"/>
      <c r="AY47" s="26" t="s">
        <v>68</v>
      </c>
      <c r="AZ47" s="167"/>
      <c r="BA47" s="245"/>
      <c r="BB47" s="54" t="s">
        <v>61</v>
      </c>
      <c r="BC47" s="214"/>
      <c r="BD47" s="197"/>
      <c r="BE47" s="238"/>
      <c r="BF47" s="238"/>
      <c r="BG47" s="245"/>
      <c r="BH47" s="238"/>
      <c r="BI47" s="214"/>
    </row>
    <row r="48" spans="1:61" s="161" customFormat="1" ht="21" customHeight="1" thickBot="1">
      <c r="A48" s="245"/>
      <c r="B48" s="250" t="s">
        <v>69</v>
      </c>
      <c r="C48" s="245"/>
      <c r="D48" s="245"/>
      <c r="E48" s="245"/>
      <c r="F48" s="245"/>
      <c r="G48" s="245"/>
      <c r="H48" s="245"/>
      <c r="I48" s="245"/>
      <c r="J48" s="245"/>
      <c r="K48" s="245"/>
      <c r="L48" s="245"/>
      <c r="M48" s="245"/>
      <c r="N48" s="196"/>
      <c r="O48" s="196"/>
      <c r="P48" s="196"/>
      <c r="Q48" s="196"/>
      <c r="R48" s="196"/>
      <c r="S48" s="196"/>
      <c r="T48" s="196"/>
      <c r="U48" s="196"/>
      <c r="V48" s="196"/>
      <c r="W48" s="196"/>
      <c r="X48" s="196"/>
      <c r="Y48" s="196"/>
      <c r="Z48" s="196"/>
      <c r="AA48" s="196"/>
      <c r="AB48" s="196"/>
      <c r="AC48" s="196"/>
      <c r="AD48" s="196"/>
      <c r="AE48" s="196"/>
      <c r="AF48" s="196"/>
      <c r="AG48" s="196"/>
      <c r="AH48" s="196"/>
      <c r="AI48" s="196"/>
      <c r="AJ48" s="196"/>
      <c r="AK48" s="196"/>
      <c r="AL48" s="196"/>
      <c r="AM48" s="196"/>
      <c r="AN48" s="196"/>
      <c r="AO48" s="196"/>
      <c r="AP48" s="196"/>
      <c r="AQ48" s="196"/>
      <c r="AR48" s="196"/>
      <c r="AS48" s="196"/>
      <c r="AT48" s="196"/>
      <c r="AU48" s="196"/>
      <c r="AV48" s="196"/>
      <c r="AW48" s="196"/>
      <c r="AX48" s="178"/>
      <c r="AY48" s="157">
        <f>AY44-AY46</f>
        <v>-48.781571428571418</v>
      </c>
      <c r="AZ48" s="179"/>
      <c r="BA48" s="245"/>
      <c r="BB48" s="155">
        <f>SUM(BD9:BD38)</f>
        <v>9</v>
      </c>
      <c r="BC48" s="180"/>
      <c r="BD48" s="197"/>
      <c r="BE48" s="240"/>
      <c r="BF48" s="240"/>
      <c r="BG48" s="245"/>
      <c r="BH48" s="242"/>
      <c r="BI48" s="214"/>
    </row>
    <row r="49" spans="1:61" ht="24" customHeight="1">
      <c r="A49" s="1"/>
      <c r="B49" s="251" t="s">
        <v>71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245"/>
      <c r="AX49" s="1"/>
      <c r="AY49" s="1"/>
      <c r="AZ49" s="1"/>
      <c r="BA49" s="1"/>
      <c r="BB49" s="1"/>
      <c r="BC49" s="17"/>
      <c r="BD49" s="197"/>
      <c r="BE49" s="1"/>
      <c r="BF49" s="1"/>
      <c r="BG49" s="1"/>
      <c r="BH49" s="1"/>
      <c r="BI49" s="17"/>
    </row>
    <row r="50" spans="1:61" ht="23.25">
      <c r="A50" s="294"/>
      <c r="B50" s="252"/>
      <c r="C50" s="252"/>
      <c r="D50" s="252"/>
      <c r="E50" s="252"/>
      <c r="F50" s="252"/>
      <c r="G50" s="252"/>
      <c r="H50" s="252"/>
      <c r="I50" s="252"/>
      <c r="J50" s="252"/>
      <c r="K50" s="252"/>
      <c r="L50" s="252"/>
      <c r="M50" s="252"/>
      <c r="N50" s="252"/>
      <c r="O50" s="252"/>
      <c r="P50" s="252"/>
      <c r="Q50" s="252"/>
      <c r="R50" s="252"/>
      <c r="S50" s="252"/>
      <c r="T50" s="252"/>
      <c r="U50" s="252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61" s="189" customFormat="1" ht="18">
      <c r="A51" s="188"/>
      <c r="B51" s="188"/>
      <c r="C51" s="188"/>
      <c r="D51" s="188"/>
      <c r="E51" s="188"/>
      <c r="F51" s="188"/>
      <c r="G51" s="188"/>
      <c r="H51" s="188"/>
      <c r="I51" s="188"/>
      <c r="J51" s="188"/>
      <c r="K51" s="188"/>
      <c r="L51" s="188"/>
      <c r="M51" s="188"/>
      <c r="N51" s="188"/>
      <c r="O51" s="188"/>
      <c r="P51" s="188"/>
      <c r="Q51" s="188"/>
      <c r="R51" s="188"/>
      <c r="S51" s="188"/>
      <c r="T51" s="188"/>
      <c r="U51" s="188"/>
      <c r="V51" s="188"/>
      <c r="W51" s="188"/>
      <c r="X51" s="188"/>
      <c r="Y51" s="188"/>
      <c r="Z51" s="188"/>
      <c r="AA51" s="188"/>
      <c r="AB51" s="188"/>
      <c r="AC51" s="188"/>
      <c r="AD51" s="188"/>
      <c r="AE51" s="188"/>
      <c r="AF51" s="188"/>
      <c r="AG51" s="188"/>
      <c r="AH51" s="188"/>
      <c r="AI51" s="188"/>
      <c r="AJ51" s="188"/>
      <c r="AK51" s="188"/>
      <c r="AL51" s="188"/>
      <c r="AM51" s="188"/>
      <c r="AN51" s="188"/>
      <c r="AO51" s="188"/>
      <c r="AP51" s="188"/>
      <c r="AQ51" s="188"/>
      <c r="AR51" s="188"/>
      <c r="AS51" s="188"/>
      <c r="AT51" s="188"/>
      <c r="AU51" s="188"/>
      <c r="AV51" s="188"/>
      <c r="BD51" s="191"/>
    </row>
    <row r="52" spans="1:61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61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1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1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1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12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1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1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295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  <row r="59" spans="1:61">
      <c r="AN59" s="8"/>
    </row>
  </sheetData>
  <sheetProtection selectLockedCells="1" selectUnlockedCells="1"/>
  <mergeCells count="52">
    <mergeCell ref="AL41:AM41"/>
    <mergeCell ref="AN41:AO41"/>
    <mergeCell ref="AP41:AQ41"/>
    <mergeCell ref="AR41:AS41"/>
    <mergeCell ref="AT41:AU41"/>
    <mergeCell ref="AV41:AW41"/>
    <mergeCell ref="Z41:AA41"/>
    <mergeCell ref="AB41:AC41"/>
    <mergeCell ref="AD41:AE41"/>
    <mergeCell ref="AF41:AG41"/>
    <mergeCell ref="AH41:AI41"/>
    <mergeCell ref="AJ41:AK41"/>
    <mergeCell ref="N41:O41"/>
    <mergeCell ref="P41:Q41"/>
    <mergeCell ref="R41:S41"/>
    <mergeCell ref="T41:U41"/>
    <mergeCell ref="V41:W41"/>
    <mergeCell ref="X41:Y41"/>
    <mergeCell ref="B41:C41"/>
    <mergeCell ref="D41:E41"/>
    <mergeCell ref="F41:G41"/>
    <mergeCell ref="H41:I41"/>
    <mergeCell ref="J41:K41"/>
    <mergeCell ref="L41:M41"/>
    <mergeCell ref="AL7:AM7"/>
    <mergeCell ref="AN7:AO7"/>
    <mergeCell ref="AP7:AQ7"/>
    <mergeCell ref="AR7:AS7"/>
    <mergeCell ref="AT7:AU7"/>
    <mergeCell ref="AV7:AW7"/>
    <mergeCell ref="Z7:AA7"/>
    <mergeCell ref="AB7:AC7"/>
    <mergeCell ref="AD7:AE7"/>
    <mergeCell ref="AF7:AG7"/>
    <mergeCell ref="AH7:AI7"/>
    <mergeCell ref="AJ7:AK7"/>
    <mergeCell ref="N7:O7"/>
    <mergeCell ref="P7:Q7"/>
    <mergeCell ref="R7:S7"/>
    <mergeCell ref="T7:U7"/>
    <mergeCell ref="V7:W7"/>
    <mergeCell ref="X7:Y7"/>
    <mergeCell ref="H2:J2"/>
    <mergeCell ref="AY4:BB4"/>
    <mergeCell ref="BE4:BH4"/>
    <mergeCell ref="AY5:BB5"/>
    <mergeCell ref="B7:C7"/>
    <mergeCell ref="D7:E7"/>
    <mergeCell ref="F7:G7"/>
    <mergeCell ref="H7:I7"/>
    <mergeCell ref="J7:K7"/>
    <mergeCell ref="L7:M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BI72"/>
  <sheetViews>
    <sheetView showGridLines="0" defaultGridColor="0" colorId="8" zoomScale="60" zoomScaleNormal="60" workbookViewId="0">
      <selection activeCell="B5" sqref="B5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193" customWidth="1"/>
    <col min="57" max="58" width="13.140625" customWidth="1"/>
    <col min="59" max="59" width="12.42578125" customWidth="1"/>
    <col min="60" max="60" width="14.42578125" customWidth="1"/>
  </cols>
  <sheetData>
    <row r="1" spans="1:61" s="6" customFormat="1" ht="21" customHeight="1">
      <c r="A1" s="1"/>
      <c r="B1" s="2" t="s">
        <v>82</v>
      </c>
      <c r="C1" s="3"/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1"/>
      <c r="B2" s="7" t="s">
        <v>77</v>
      </c>
      <c r="C2" s="8"/>
      <c r="D2" s="8"/>
      <c r="E2" s="8"/>
      <c r="F2" s="9"/>
      <c r="G2" s="296"/>
      <c r="H2" s="296"/>
      <c r="I2" s="296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</row>
    <row r="3" spans="1:61" s="6" customFormat="1" ht="21" customHeight="1" thickBot="1">
      <c r="A3" s="1"/>
      <c r="B3" s="194" t="s">
        <v>78</v>
      </c>
      <c r="C3" s="8"/>
      <c r="D3" s="8"/>
      <c r="E3" s="8"/>
      <c r="F3" s="9"/>
      <c r="G3" s="9"/>
      <c r="H3" s="1"/>
      <c r="I3" s="1"/>
      <c r="J3" s="1"/>
      <c r="K3" s="1"/>
      <c r="L3" s="1"/>
      <c r="M3" s="3" t="s">
        <v>8</v>
      </c>
      <c r="N3" s="1"/>
      <c r="O3" s="1"/>
      <c r="P3" s="1"/>
      <c r="Q3" s="1"/>
      <c r="R3" s="1"/>
      <c r="S3" s="1"/>
      <c r="T3" s="1"/>
      <c r="U3" s="1"/>
      <c r="V3" s="1"/>
      <c r="W3" s="13"/>
      <c r="X3" s="13"/>
      <c r="Y3" s="13"/>
      <c r="Z3" s="13"/>
      <c r="AA3" s="13"/>
      <c r="AB3" s="13"/>
      <c r="AC3" s="13"/>
      <c r="AD3" s="13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</row>
    <row r="4" spans="1:61" ht="21" customHeight="1" thickBot="1">
      <c r="A4" s="195"/>
      <c r="B4" s="196"/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  <c r="X4" s="196"/>
      <c r="Y4" s="196"/>
      <c r="Z4" s="196"/>
      <c r="AA4" s="196"/>
      <c r="AB4" s="196"/>
      <c r="AC4" s="196"/>
      <c r="AD4" s="297"/>
      <c r="AE4" s="196"/>
      <c r="AF4" s="196"/>
      <c r="AG4" s="196"/>
      <c r="AH4" s="196"/>
      <c r="AI4" s="196"/>
      <c r="AJ4" s="196"/>
      <c r="AK4" s="196"/>
      <c r="AL4" s="196"/>
      <c r="AM4" s="196"/>
      <c r="AN4" s="196"/>
      <c r="AO4" s="196"/>
      <c r="AP4" s="196"/>
      <c r="AQ4" s="196"/>
      <c r="AR4" s="196"/>
      <c r="AS4" s="196"/>
      <c r="AT4" s="196"/>
      <c r="AU4" s="196"/>
      <c r="AV4" s="196"/>
      <c r="AW4" s="196"/>
      <c r="AX4" s="196"/>
      <c r="AY4" s="18" t="s">
        <v>9</v>
      </c>
      <c r="AZ4" s="18"/>
      <c r="BA4" s="18"/>
      <c r="BB4" s="18"/>
      <c r="BC4" s="17"/>
      <c r="BD4" s="19"/>
      <c r="BE4" s="18" t="s">
        <v>9</v>
      </c>
      <c r="BF4" s="18"/>
      <c r="BG4" s="18"/>
      <c r="BH4" s="18"/>
    </row>
    <row r="5" spans="1:61" ht="21" customHeight="1" thickBo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"/>
      <c r="AS5" s="1"/>
      <c r="AT5" s="1"/>
      <c r="AU5" s="1"/>
      <c r="AV5" s="1"/>
      <c r="AW5" s="1"/>
      <c r="AX5" s="17"/>
      <c r="AY5" s="25" t="s">
        <v>11</v>
      </c>
      <c r="AZ5" s="25"/>
      <c r="BA5" s="25"/>
      <c r="BB5" s="25"/>
      <c r="BC5" s="17"/>
      <c r="BD5" s="19"/>
      <c r="BE5" s="26" t="s">
        <v>12</v>
      </c>
      <c r="BF5" s="27" t="s">
        <v>13</v>
      </c>
      <c r="BG5" s="28" t="s">
        <v>14</v>
      </c>
      <c r="BH5" s="29"/>
    </row>
    <row r="6" spans="1:61" ht="21" customHeight="1" thickBot="1">
      <c r="A6" s="30"/>
      <c r="B6" s="31"/>
      <c r="C6" s="32"/>
      <c r="D6" s="31"/>
      <c r="E6" s="32"/>
      <c r="F6" s="31"/>
      <c r="G6" s="32"/>
      <c r="H6" s="31"/>
      <c r="I6" s="32"/>
      <c r="J6" s="31"/>
      <c r="K6" s="32"/>
      <c r="L6" s="31"/>
      <c r="M6" s="32"/>
      <c r="N6" s="31"/>
      <c r="O6" s="32"/>
      <c r="P6" s="31"/>
      <c r="Q6" s="32"/>
      <c r="R6" s="31"/>
      <c r="S6" s="32"/>
      <c r="T6" s="31"/>
      <c r="U6" s="32"/>
      <c r="V6" s="31"/>
      <c r="W6" s="32"/>
      <c r="X6" s="31"/>
      <c r="Y6" s="32"/>
      <c r="Z6" s="31"/>
      <c r="AA6" s="32"/>
      <c r="AB6" s="31"/>
      <c r="AC6" s="32"/>
      <c r="AD6" s="31"/>
      <c r="AE6" s="32"/>
      <c r="AF6" s="31"/>
      <c r="AG6" s="32"/>
      <c r="AH6" s="31"/>
      <c r="AI6" s="32"/>
      <c r="AJ6" s="31"/>
      <c r="AK6" s="32"/>
      <c r="AL6" s="31"/>
      <c r="AM6" s="32"/>
      <c r="AN6" s="31"/>
      <c r="AO6" s="32"/>
      <c r="AP6" s="31"/>
      <c r="AQ6" s="32"/>
      <c r="AR6" s="31"/>
      <c r="AS6" s="32"/>
      <c r="AT6" s="31"/>
      <c r="AU6" s="32"/>
      <c r="AV6" s="31"/>
      <c r="AW6" s="32"/>
      <c r="AX6" s="31"/>
      <c r="AY6" s="33" t="s">
        <v>15</v>
      </c>
      <c r="AZ6" s="33" t="s">
        <v>16</v>
      </c>
      <c r="BA6" s="34" t="s">
        <v>17</v>
      </c>
      <c r="BB6" s="34"/>
      <c r="BC6" s="17"/>
      <c r="BD6" s="19"/>
      <c r="BE6" s="35" t="s">
        <v>15</v>
      </c>
      <c r="BF6" s="35"/>
      <c r="BG6" s="35" t="s">
        <v>17</v>
      </c>
      <c r="BH6" s="35"/>
    </row>
    <row r="7" spans="1:61" ht="21" customHeight="1" thickBot="1">
      <c r="A7" s="36" t="s">
        <v>18</v>
      </c>
      <c r="B7" s="37" t="s">
        <v>19</v>
      </c>
      <c r="C7" s="37"/>
      <c r="D7" s="38" t="s">
        <v>20</v>
      </c>
      <c r="E7" s="38"/>
      <c r="F7" s="37" t="s">
        <v>21</v>
      </c>
      <c r="G7" s="37"/>
      <c r="H7" s="37" t="s">
        <v>22</v>
      </c>
      <c r="I7" s="37"/>
      <c r="J7" s="39" t="s">
        <v>23</v>
      </c>
      <c r="K7" s="39"/>
      <c r="L7" s="37" t="s">
        <v>24</v>
      </c>
      <c r="M7" s="37"/>
      <c r="N7" s="37" t="s">
        <v>25</v>
      </c>
      <c r="O7" s="37"/>
      <c r="P7" s="37" t="s">
        <v>26</v>
      </c>
      <c r="Q7" s="37"/>
      <c r="R7" s="37" t="s">
        <v>27</v>
      </c>
      <c r="S7" s="37"/>
      <c r="T7" s="37" t="s">
        <v>28</v>
      </c>
      <c r="U7" s="37"/>
      <c r="V7" s="37" t="s">
        <v>29</v>
      </c>
      <c r="W7" s="37"/>
      <c r="X7" s="37" t="s">
        <v>30</v>
      </c>
      <c r="Y7" s="37"/>
      <c r="Z7" s="40" t="s">
        <v>31</v>
      </c>
      <c r="AA7" s="40"/>
      <c r="AB7" s="37" t="s">
        <v>32</v>
      </c>
      <c r="AC7" s="37"/>
      <c r="AD7" s="37" t="s">
        <v>33</v>
      </c>
      <c r="AE7" s="37"/>
      <c r="AF7" s="37" t="s">
        <v>34</v>
      </c>
      <c r="AG7" s="37"/>
      <c r="AH7" s="37" t="s">
        <v>35</v>
      </c>
      <c r="AI7" s="37"/>
      <c r="AJ7" s="37" t="s">
        <v>36</v>
      </c>
      <c r="AK7" s="37"/>
      <c r="AL7" s="37" t="s">
        <v>37</v>
      </c>
      <c r="AM7" s="37"/>
      <c r="AN7" s="37" t="s">
        <v>38</v>
      </c>
      <c r="AO7" s="37"/>
      <c r="AP7" s="37" t="s">
        <v>39</v>
      </c>
      <c r="AQ7" s="37"/>
      <c r="AR7" s="37" t="s">
        <v>40</v>
      </c>
      <c r="AS7" s="37"/>
      <c r="AT7" s="37" t="s">
        <v>41</v>
      </c>
      <c r="AU7" s="37"/>
      <c r="AV7" s="37" t="s">
        <v>42</v>
      </c>
      <c r="AW7" s="37"/>
      <c r="AX7" s="41" t="s">
        <v>18</v>
      </c>
      <c r="AY7" s="35" t="s">
        <v>43</v>
      </c>
      <c r="AZ7" s="35" t="s">
        <v>43</v>
      </c>
      <c r="BA7" s="35" t="s">
        <v>44</v>
      </c>
      <c r="BB7" s="35" t="s">
        <v>45</v>
      </c>
      <c r="BC7" s="42"/>
      <c r="BD7" s="197"/>
      <c r="BE7" s="35" t="s">
        <v>43</v>
      </c>
      <c r="BF7" s="35"/>
      <c r="BG7" s="35" t="s">
        <v>44</v>
      </c>
      <c r="BH7" s="35"/>
    </row>
    <row r="8" spans="1:61" ht="21" customHeight="1" thickBot="1">
      <c r="A8" s="43" t="s">
        <v>46</v>
      </c>
      <c r="B8" s="198" t="s">
        <v>47</v>
      </c>
      <c r="C8" s="199" t="s">
        <v>48</v>
      </c>
      <c r="D8" s="200" t="s">
        <v>47</v>
      </c>
      <c r="E8" s="201" t="s">
        <v>48</v>
      </c>
      <c r="F8" s="200" t="s">
        <v>47</v>
      </c>
      <c r="G8" s="202" t="s">
        <v>48</v>
      </c>
      <c r="H8" s="200" t="s">
        <v>47</v>
      </c>
      <c r="I8" s="202" t="s">
        <v>48</v>
      </c>
      <c r="J8" s="200" t="s">
        <v>47</v>
      </c>
      <c r="K8" s="202" t="s">
        <v>48</v>
      </c>
      <c r="L8" s="200" t="s">
        <v>47</v>
      </c>
      <c r="M8" s="202" t="s">
        <v>48</v>
      </c>
      <c r="N8" s="200" t="s">
        <v>47</v>
      </c>
      <c r="O8" s="202" t="s">
        <v>48</v>
      </c>
      <c r="P8" s="200" t="s">
        <v>47</v>
      </c>
      <c r="Q8" s="202" t="s">
        <v>48</v>
      </c>
      <c r="R8" s="200" t="s">
        <v>47</v>
      </c>
      <c r="S8" s="202" t="s">
        <v>48</v>
      </c>
      <c r="T8" s="200" t="s">
        <v>47</v>
      </c>
      <c r="U8" s="202" t="s">
        <v>48</v>
      </c>
      <c r="V8" s="200" t="s">
        <v>47</v>
      </c>
      <c r="W8" s="202" t="s">
        <v>48</v>
      </c>
      <c r="X8" s="200" t="s">
        <v>47</v>
      </c>
      <c r="Y8" s="202" t="s">
        <v>48</v>
      </c>
      <c r="Z8" s="200" t="s">
        <v>47</v>
      </c>
      <c r="AA8" s="202" t="s">
        <v>48</v>
      </c>
      <c r="AB8" s="200" t="s">
        <v>47</v>
      </c>
      <c r="AC8" s="202" t="s">
        <v>48</v>
      </c>
      <c r="AD8" s="200" t="s">
        <v>47</v>
      </c>
      <c r="AE8" s="202" t="s">
        <v>48</v>
      </c>
      <c r="AF8" s="200" t="s">
        <v>47</v>
      </c>
      <c r="AG8" s="202" t="s">
        <v>48</v>
      </c>
      <c r="AH8" s="200" t="s">
        <v>47</v>
      </c>
      <c r="AI8" s="202" t="s">
        <v>48</v>
      </c>
      <c r="AJ8" s="200" t="s">
        <v>47</v>
      </c>
      <c r="AK8" s="203" t="s">
        <v>48</v>
      </c>
      <c r="AL8" s="200" t="s">
        <v>47</v>
      </c>
      <c r="AM8" s="202" t="s">
        <v>48</v>
      </c>
      <c r="AN8" s="200" t="s">
        <v>47</v>
      </c>
      <c r="AO8" s="202" t="s">
        <v>48</v>
      </c>
      <c r="AP8" s="200" t="s">
        <v>47</v>
      </c>
      <c r="AQ8" s="203" t="s">
        <v>48</v>
      </c>
      <c r="AR8" s="200" t="s">
        <v>47</v>
      </c>
      <c r="AS8" s="202" t="s">
        <v>48</v>
      </c>
      <c r="AT8" s="204" t="s">
        <v>47</v>
      </c>
      <c r="AU8" s="205" t="s">
        <v>48</v>
      </c>
      <c r="AV8" s="204" t="s">
        <v>47</v>
      </c>
      <c r="AW8" s="205" t="s">
        <v>48</v>
      </c>
      <c r="AX8" s="52" t="s">
        <v>46</v>
      </c>
      <c r="AY8" s="53" t="s">
        <v>49</v>
      </c>
      <c r="AZ8" s="53" t="s">
        <v>50</v>
      </c>
      <c r="BA8" s="54" t="s">
        <v>51</v>
      </c>
      <c r="BB8" s="54" t="s">
        <v>52</v>
      </c>
      <c r="BC8" s="206"/>
      <c r="BD8" s="197"/>
      <c r="BE8" s="54" t="s">
        <v>49</v>
      </c>
      <c r="BF8" s="54"/>
      <c r="BG8" s="54" t="s">
        <v>51</v>
      </c>
      <c r="BH8" s="54" t="s">
        <v>52</v>
      </c>
    </row>
    <row r="9" spans="1:61" ht="21" customHeight="1" thickBot="1">
      <c r="A9" s="71">
        <v>1</v>
      </c>
      <c r="B9" s="298"/>
      <c r="C9" s="299"/>
      <c r="D9" s="300"/>
      <c r="E9" s="301"/>
      <c r="F9" s="258"/>
      <c r="G9" s="257"/>
      <c r="H9" s="258"/>
      <c r="I9" s="257"/>
      <c r="J9" s="258"/>
      <c r="K9" s="257"/>
      <c r="L9" s="258"/>
      <c r="M9" s="257"/>
      <c r="N9" s="258"/>
      <c r="O9" s="257"/>
      <c r="P9" s="258"/>
      <c r="Q9" s="257"/>
      <c r="R9" s="258"/>
      <c r="S9" s="257"/>
      <c r="T9" s="258"/>
      <c r="U9" s="257"/>
      <c r="V9" s="258"/>
      <c r="W9" s="257"/>
      <c r="X9" s="258"/>
      <c r="Y9" s="257"/>
      <c r="Z9" s="258"/>
      <c r="AA9" s="257"/>
      <c r="AB9" s="258"/>
      <c r="AC9" s="257"/>
      <c r="AD9" s="258"/>
      <c r="AE9" s="257"/>
      <c r="AF9" s="259"/>
      <c r="AG9" s="257"/>
      <c r="AH9" s="258"/>
      <c r="AI9" s="257"/>
      <c r="AJ9" s="258"/>
      <c r="AK9" s="260"/>
      <c r="AL9" s="256"/>
      <c r="AM9" s="261"/>
      <c r="AN9" s="256"/>
      <c r="AO9" s="261"/>
      <c r="AP9" s="256"/>
      <c r="AQ9" s="262"/>
      <c r="AR9" s="256"/>
      <c r="AS9" s="263"/>
      <c r="AT9" s="256"/>
      <c r="AU9" s="262"/>
      <c r="AV9" s="256"/>
      <c r="AW9" s="262"/>
      <c r="AX9" s="91">
        <v>1</v>
      </c>
      <c r="AY9" s="92">
        <f t="shared" ref="AY9:AZ39" si="0">B9+D9+F9+H9+J9+L9+N9+P9+R9+T9+V9+X9+Z9+AB9+AD9+AF9+AH9+AJ9+AL9+AN9+AP9+AR9+AT9+AV9</f>
        <v>0</v>
      </c>
      <c r="AZ9" s="93">
        <f t="shared" si="0"/>
        <v>0</v>
      </c>
      <c r="BA9" s="94">
        <f t="shared" ref="BA9:BA39" si="1">MAX(B9,D9,F9,H9,J9,L9,N9,P9,R9,T9,V9,X9,Z9,AB9,AD9,AF9,AH9,AJ9,AL9,AN9,AP9,AR9,AT9,AV9)</f>
        <v>0</v>
      </c>
      <c r="BB9" s="95">
        <f t="shared" ref="BB9:BB39" si="2">COUNT(B9,D9,F9,H9,J9,L9,N9,P9,R9,T9,V9,X9,Z9,AB9,AD9,AF9,AH9,AJ9,AL9,AN9,AP9,AR9,AT9,AV9)</f>
        <v>0</v>
      </c>
      <c r="BC9" s="214"/>
      <c r="BD9" s="197">
        <f t="shared" ref="BD9:BD39" si="3">IF(BB9&gt;0,1,0)</f>
        <v>0</v>
      </c>
      <c r="BE9" s="264">
        <f>junho!$BH40</f>
        <v>0</v>
      </c>
      <c r="BF9" s="85">
        <v>39263</v>
      </c>
      <c r="BG9" s="86">
        <f>julho!$BE10</f>
        <v>0</v>
      </c>
      <c r="BH9" s="87"/>
      <c r="BI9" s="197">
        <f>IF(BH9&gt;0,1,0)</f>
        <v>0</v>
      </c>
    </row>
    <row r="10" spans="1:61" ht="21" customHeight="1" thickBot="1">
      <c r="A10" s="71">
        <v>2</v>
      </c>
      <c r="B10" s="302"/>
      <c r="C10" s="303"/>
      <c r="D10" s="304"/>
      <c r="E10" s="305"/>
      <c r="F10" s="258"/>
      <c r="G10" s="257"/>
      <c r="H10" s="258"/>
      <c r="I10" s="257"/>
      <c r="J10" s="258"/>
      <c r="K10" s="257"/>
      <c r="L10" s="258"/>
      <c r="M10" s="257"/>
      <c r="N10" s="258"/>
      <c r="O10" s="257"/>
      <c r="P10" s="258"/>
      <c r="Q10" s="257"/>
      <c r="R10" s="258"/>
      <c r="S10" s="257"/>
      <c r="T10" s="258"/>
      <c r="U10" s="257"/>
      <c r="V10" s="258"/>
      <c r="W10" s="257"/>
      <c r="X10" s="258"/>
      <c r="Y10" s="257"/>
      <c r="Z10" s="258"/>
      <c r="AA10" s="257"/>
      <c r="AB10" s="258"/>
      <c r="AC10" s="257"/>
      <c r="AD10" s="258"/>
      <c r="AE10" s="257"/>
      <c r="AF10" s="258"/>
      <c r="AG10" s="257"/>
      <c r="AH10" s="258"/>
      <c r="AI10" s="257"/>
      <c r="AJ10" s="258"/>
      <c r="AK10" s="265"/>
      <c r="AL10" s="258"/>
      <c r="AM10" s="257"/>
      <c r="AN10" s="258"/>
      <c r="AO10" s="257"/>
      <c r="AP10" s="258"/>
      <c r="AQ10" s="265"/>
      <c r="AR10" s="258"/>
      <c r="AS10" s="257"/>
      <c r="AT10" s="258"/>
      <c r="AU10" s="265"/>
      <c r="AV10" s="258"/>
      <c r="AW10" s="265"/>
      <c r="AX10" s="91">
        <v>2</v>
      </c>
      <c r="AY10" s="92">
        <f t="shared" si="0"/>
        <v>0</v>
      </c>
      <c r="AZ10" s="93">
        <f t="shared" si="0"/>
        <v>0</v>
      </c>
      <c r="BA10" s="94">
        <f t="shared" si="1"/>
        <v>0</v>
      </c>
      <c r="BB10" s="95">
        <f t="shared" si="2"/>
        <v>0</v>
      </c>
      <c r="BC10" s="214"/>
      <c r="BD10" s="197">
        <f t="shared" si="3"/>
        <v>0</v>
      </c>
      <c r="BE10" s="84">
        <f>P9+R9+T9+V9+X9+Z9+AB9+AD9+AF9+AH9+AJ9+AL9+AN9+AP9+AR9+AT9+AV9+B10+D10+F10+H10+J10+L10+N10</f>
        <v>0</v>
      </c>
      <c r="BF10" s="96"/>
      <c r="BG10" s="86">
        <f>julho!$BE11</f>
        <v>0</v>
      </c>
      <c r="BH10" s="97"/>
      <c r="BI10" s="197">
        <f>IF(BH10&gt;0,1,0)</f>
        <v>0</v>
      </c>
    </row>
    <row r="11" spans="1:61" ht="21" customHeight="1">
      <c r="A11" s="71">
        <v>3</v>
      </c>
      <c r="B11" s="306"/>
      <c r="C11" s="307"/>
      <c r="D11" s="258"/>
      <c r="E11" s="257"/>
      <c r="F11" s="258"/>
      <c r="G11" s="257"/>
      <c r="H11" s="258"/>
      <c r="I11" s="257"/>
      <c r="J11" s="258"/>
      <c r="K11" s="257"/>
      <c r="L11" s="258"/>
      <c r="M11" s="257"/>
      <c r="N11" s="258"/>
      <c r="O11" s="257"/>
      <c r="P11" s="258"/>
      <c r="Q11" s="257"/>
      <c r="R11" s="258"/>
      <c r="S11" s="257"/>
      <c r="T11" s="258"/>
      <c r="U11" s="257"/>
      <c r="V11" s="258"/>
      <c r="W11" s="257"/>
      <c r="X11" s="258"/>
      <c r="Y11" s="257"/>
      <c r="Z11" s="258"/>
      <c r="AA11" s="257"/>
      <c r="AB11" s="258"/>
      <c r="AC11" s="257"/>
      <c r="AD11" s="258"/>
      <c r="AE11" s="257"/>
      <c r="AF11" s="258"/>
      <c r="AG11" s="257"/>
      <c r="AH11" s="258"/>
      <c r="AI11" s="257"/>
      <c r="AJ11" s="258"/>
      <c r="AK11" s="265"/>
      <c r="AL11" s="258"/>
      <c r="AM11" s="257"/>
      <c r="AN11" s="258"/>
      <c r="AO11" s="257"/>
      <c r="AP11" s="258"/>
      <c r="AQ11" s="265"/>
      <c r="AR11" s="258"/>
      <c r="AS11" s="257"/>
      <c r="AT11" s="258"/>
      <c r="AU11" s="265"/>
      <c r="AV11" s="258"/>
      <c r="AW11" s="265"/>
      <c r="AX11" s="91">
        <v>3</v>
      </c>
      <c r="AY11" s="92">
        <f t="shared" si="0"/>
        <v>0</v>
      </c>
      <c r="AZ11" s="93">
        <f t="shared" si="0"/>
        <v>0</v>
      </c>
      <c r="BA11" s="94">
        <f t="shared" si="1"/>
        <v>0</v>
      </c>
      <c r="BB11" s="95">
        <f t="shared" si="2"/>
        <v>0</v>
      </c>
      <c r="BC11" s="214"/>
      <c r="BD11" s="197">
        <f t="shared" si="3"/>
        <v>0</v>
      </c>
      <c r="BE11" s="98">
        <f t="shared" ref="BE11:BE38" si="4">P10+R10+T10+V10+X10+Z10+AB10+AD10+AF10+AH10+AJ10+AL10+AN10+AP10+AR10+AT10+AV10+B11+D11+F11+H11+J11+L11+N11</f>
        <v>0</v>
      </c>
      <c r="BF11" s="99"/>
      <c r="BG11" s="86">
        <f>julho!$BE12</f>
        <v>0</v>
      </c>
      <c r="BH11" s="97"/>
      <c r="BI11" s="197">
        <f t="shared" ref="BI11:BI39" si="5">IF(BH11&gt;0,1,0)</f>
        <v>0</v>
      </c>
    </row>
    <row r="12" spans="1:61" ht="21" customHeight="1">
      <c r="A12" s="71">
        <v>4</v>
      </c>
      <c r="B12" s="306"/>
      <c r="C12" s="307"/>
      <c r="D12" s="258"/>
      <c r="E12" s="257"/>
      <c r="F12" s="258"/>
      <c r="G12" s="257"/>
      <c r="H12" s="258"/>
      <c r="I12" s="257"/>
      <c r="J12" s="258"/>
      <c r="K12" s="257"/>
      <c r="L12" s="258"/>
      <c r="M12" s="257"/>
      <c r="N12" s="258"/>
      <c r="O12" s="257"/>
      <c r="P12" s="258"/>
      <c r="Q12" s="257"/>
      <c r="R12" s="258"/>
      <c r="S12" s="257"/>
      <c r="T12" s="258"/>
      <c r="U12" s="257"/>
      <c r="V12" s="258"/>
      <c r="W12" s="257"/>
      <c r="X12" s="258"/>
      <c r="Y12" s="257"/>
      <c r="Z12" s="258"/>
      <c r="AA12" s="257"/>
      <c r="AB12" s="258"/>
      <c r="AC12" s="257"/>
      <c r="AD12" s="258"/>
      <c r="AE12" s="257"/>
      <c r="AF12" s="258"/>
      <c r="AG12" s="257"/>
      <c r="AH12" s="258"/>
      <c r="AI12" s="257"/>
      <c r="AJ12" s="258"/>
      <c r="AK12" s="265"/>
      <c r="AL12" s="258"/>
      <c r="AM12" s="257"/>
      <c r="AN12" s="258"/>
      <c r="AO12" s="257"/>
      <c r="AP12" s="258"/>
      <c r="AQ12" s="265"/>
      <c r="AR12" s="258"/>
      <c r="AS12" s="257"/>
      <c r="AT12" s="258"/>
      <c r="AU12" s="265"/>
      <c r="AV12" s="258"/>
      <c r="AW12" s="265"/>
      <c r="AX12" s="91">
        <v>4</v>
      </c>
      <c r="AY12" s="92">
        <f t="shared" si="0"/>
        <v>0</v>
      </c>
      <c r="AZ12" s="93">
        <f t="shared" si="0"/>
        <v>0</v>
      </c>
      <c r="BA12" s="94">
        <f t="shared" si="1"/>
        <v>0</v>
      </c>
      <c r="BB12" s="95">
        <f t="shared" si="2"/>
        <v>0</v>
      </c>
      <c r="BC12" s="214"/>
      <c r="BD12" s="197">
        <f t="shared" si="3"/>
        <v>0</v>
      </c>
      <c r="BE12" s="98">
        <f t="shared" si="4"/>
        <v>0</v>
      </c>
      <c r="BF12" s="99"/>
      <c r="BG12" s="86">
        <f>julho!$BE13</f>
        <v>0</v>
      </c>
      <c r="BH12" s="97"/>
      <c r="BI12" s="197">
        <f t="shared" si="5"/>
        <v>0</v>
      </c>
    </row>
    <row r="13" spans="1:61" ht="21" customHeight="1">
      <c r="A13" s="71">
        <v>5</v>
      </c>
      <c r="B13" s="306"/>
      <c r="C13" s="307"/>
      <c r="D13" s="258"/>
      <c r="E13" s="257"/>
      <c r="F13" s="258"/>
      <c r="G13" s="257"/>
      <c r="H13" s="258"/>
      <c r="I13" s="257"/>
      <c r="J13" s="258"/>
      <c r="K13" s="257"/>
      <c r="L13" s="258"/>
      <c r="M13" s="257"/>
      <c r="N13" s="258"/>
      <c r="O13" s="257"/>
      <c r="P13" s="258"/>
      <c r="Q13" s="257"/>
      <c r="R13" s="258"/>
      <c r="S13" s="257"/>
      <c r="T13" s="258"/>
      <c r="U13" s="257"/>
      <c r="V13" s="258"/>
      <c r="W13" s="257"/>
      <c r="X13" s="258"/>
      <c r="Y13" s="257"/>
      <c r="Z13" s="258"/>
      <c r="AA13" s="257"/>
      <c r="AB13" s="258"/>
      <c r="AC13" s="257"/>
      <c r="AD13" s="258"/>
      <c r="AE13" s="257"/>
      <c r="AF13" s="258"/>
      <c r="AG13" s="257"/>
      <c r="AH13" s="258"/>
      <c r="AI13" s="257"/>
      <c r="AJ13" s="258"/>
      <c r="AK13" s="265"/>
      <c r="AL13" s="258"/>
      <c r="AM13" s="257"/>
      <c r="AN13" s="258"/>
      <c r="AO13" s="257"/>
      <c r="AP13" s="258"/>
      <c r="AQ13" s="265"/>
      <c r="AR13" s="258"/>
      <c r="AS13" s="257"/>
      <c r="AT13" s="258"/>
      <c r="AU13" s="265"/>
      <c r="AV13" s="258"/>
      <c r="AW13" s="265"/>
      <c r="AX13" s="91">
        <v>5</v>
      </c>
      <c r="AY13" s="92">
        <f t="shared" si="0"/>
        <v>0</v>
      </c>
      <c r="AZ13" s="93">
        <f t="shared" si="0"/>
        <v>0</v>
      </c>
      <c r="BA13" s="94">
        <f t="shared" si="1"/>
        <v>0</v>
      </c>
      <c r="BB13" s="95">
        <f t="shared" si="2"/>
        <v>0</v>
      </c>
      <c r="BC13" s="214"/>
      <c r="BD13" s="197">
        <f t="shared" si="3"/>
        <v>0</v>
      </c>
      <c r="BE13" s="98">
        <f t="shared" si="4"/>
        <v>0</v>
      </c>
      <c r="BF13" s="99"/>
      <c r="BG13" s="86">
        <f>julho!$BE14</f>
        <v>0</v>
      </c>
      <c r="BH13" s="97"/>
      <c r="BI13" s="197">
        <f t="shared" si="5"/>
        <v>0</v>
      </c>
    </row>
    <row r="14" spans="1:61" ht="21" customHeight="1">
      <c r="A14" s="71">
        <v>6</v>
      </c>
      <c r="B14" s="306"/>
      <c r="C14" s="307"/>
      <c r="D14" s="258"/>
      <c r="E14" s="257"/>
      <c r="F14" s="258"/>
      <c r="G14" s="257"/>
      <c r="H14" s="258"/>
      <c r="I14" s="257"/>
      <c r="J14" s="258"/>
      <c r="K14" s="257"/>
      <c r="L14" s="258"/>
      <c r="M14" s="257"/>
      <c r="N14" s="258"/>
      <c r="O14" s="257"/>
      <c r="P14" s="258"/>
      <c r="Q14" s="257"/>
      <c r="R14" s="258"/>
      <c r="S14" s="257"/>
      <c r="T14" s="258"/>
      <c r="U14" s="257"/>
      <c r="V14" s="258"/>
      <c r="W14" s="257"/>
      <c r="X14" s="258"/>
      <c r="Y14" s="257"/>
      <c r="Z14" s="258"/>
      <c r="AA14" s="257"/>
      <c r="AB14" s="258"/>
      <c r="AC14" s="257"/>
      <c r="AD14" s="258"/>
      <c r="AE14" s="257"/>
      <c r="AF14" s="258"/>
      <c r="AG14" s="257"/>
      <c r="AH14" s="258"/>
      <c r="AI14" s="257"/>
      <c r="AJ14" s="258"/>
      <c r="AK14" s="265"/>
      <c r="AL14" s="258"/>
      <c r="AM14" s="257"/>
      <c r="AN14" s="258"/>
      <c r="AO14" s="257"/>
      <c r="AP14" s="258"/>
      <c r="AQ14" s="265"/>
      <c r="AR14" s="258"/>
      <c r="AS14" s="257"/>
      <c r="AT14" s="258"/>
      <c r="AU14" s="265"/>
      <c r="AV14" s="258"/>
      <c r="AW14" s="265"/>
      <c r="AX14" s="91">
        <v>6</v>
      </c>
      <c r="AY14" s="92">
        <f t="shared" si="0"/>
        <v>0</v>
      </c>
      <c r="AZ14" s="93">
        <f t="shared" si="0"/>
        <v>0</v>
      </c>
      <c r="BA14" s="94">
        <f t="shared" si="1"/>
        <v>0</v>
      </c>
      <c r="BB14" s="95">
        <f t="shared" si="2"/>
        <v>0</v>
      </c>
      <c r="BC14" s="214"/>
      <c r="BD14" s="197">
        <f t="shared" si="3"/>
        <v>0</v>
      </c>
      <c r="BE14" s="98">
        <f t="shared" si="4"/>
        <v>0</v>
      </c>
      <c r="BF14" s="99"/>
      <c r="BG14" s="86">
        <f>julho!$BE15</f>
        <v>0</v>
      </c>
      <c r="BH14" s="97"/>
      <c r="BI14" s="197">
        <f t="shared" si="5"/>
        <v>0</v>
      </c>
    </row>
    <row r="15" spans="1:61" ht="21" customHeight="1">
      <c r="A15" s="71">
        <v>7</v>
      </c>
      <c r="B15" s="306"/>
      <c r="C15" s="307"/>
      <c r="D15" s="258"/>
      <c r="E15" s="257"/>
      <c r="F15" s="258"/>
      <c r="G15" s="257"/>
      <c r="H15" s="258"/>
      <c r="I15" s="257"/>
      <c r="J15" s="258"/>
      <c r="K15" s="257"/>
      <c r="L15" s="258"/>
      <c r="M15" s="257"/>
      <c r="N15" s="258"/>
      <c r="O15" s="257"/>
      <c r="P15" s="258"/>
      <c r="Q15" s="257"/>
      <c r="R15" s="258"/>
      <c r="S15" s="257"/>
      <c r="T15" s="258"/>
      <c r="U15" s="257"/>
      <c r="V15" s="258"/>
      <c r="W15" s="257"/>
      <c r="X15" s="258"/>
      <c r="Y15" s="257"/>
      <c r="Z15" s="258"/>
      <c r="AA15" s="257"/>
      <c r="AB15" s="258"/>
      <c r="AC15" s="257"/>
      <c r="AD15" s="258"/>
      <c r="AE15" s="257"/>
      <c r="AF15" s="258"/>
      <c r="AG15" s="257"/>
      <c r="AH15" s="258"/>
      <c r="AI15" s="257"/>
      <c r="AJ15" s="258"/>
      <c r="AK15" s="265"/>
      <c r="AL15" s="258"/>
      <c r="AM15" s="257"/>
      <c r="AN15" s="258"/>
      <c r="AO15" s="257"/>
      <c r="AP15" s="258"/>
      <c r="AQ15" s="265"/>
      <c r="AR15" s="258"/>
      <c r="AS15" s="257"/>
      <c r="AT15" s="258"/>
      <c r="AU15" s="265"/>
      <c r="AV15" s="258"/>
      <c r="AW15" s="265"/>
      <c r="AX15" s="91">
        <v>7</v>
      </c>
      <c r="AY15" s="92">
        <f t="shared" si="0"/>
        <v>0</v>
      </c>
      <c r="AZ15" s="93">
        <f t="shared" si="0"/>
        <v>0</v>
      </c>
      <c r="BA15" s="94">
        <f t="shared" si="1"/>
        <v>0</v>
      </c>
      <c r="BB15" s="95">
        <f t="shared" si="2"/>
        <v>0</v>
      </c>
      <c r="BC15" s="214"/>
      <c r="BD15" s="197">
        <f t="shared" si="3"/>
        <v>0</v>
      </c>
      <c r="BE15" s="98">
        <f t="shared" si="4"/>
        <v>0</v>
      </c>
      <c r="BF15" s="99"/>
      <c r="BG15" s="86">
        <f>julho!$BE16</f>
        <v>0</v>
      </c>
      <c r="BH15" s="97"/>
      <c r="BI15" s="197">
        <f t="shared" si="5"/>
        <v>0</v>
      </c>
    </row>
    <row r="16" spans="1:61" ht="21" customHeight="1">
      <c r="A16" s="71">
        <v>8</v>
      </c>
      <c r="B16" s="308"/>
      <c r="C16" s="309"/>
      <c r="D16" s="258"/>
      <c r="E16" s="257"/>
      <c r="F16" s="258"/>
      <c r="G16" s="257"/>
      <c r="H16" s="258"/>
      <c r="I16" s="257"/>
      <c r="J16" s="258"/>
      <c r="K16" s="257"/>
      <c r="L16" s="258"/>
      <c r="M16" s="257"/>
      <c r="N16" s="258"/>
      <c r="O16" s="257"/>
      <c r="P16" s="258"/>
      <c r="Q16" s="257"/>
      <c r="R16" s="258"/>
      <c r="S16" s="257"/>
      <c r="T16" s="258"/>
      <c r="U16" s="257"/>
      <c r="V16" s="258">
        <v>1</v>
      </c>
      <c r="W16" s="257">
        <v>15</v>
      </c>
      <c r="X16" s="258">
        <v>0.1</v>
      </c>
      <c r="Y16" s="257">
        <v>5</v>
      </c>
      <c r="Z16" s="258"/>
      <c r="AA16" s="257"/>
      <c r="AB16" s="258"/>
      <c r="AC16" s="257"/>
      <c r="AD16" s="258">
        <v>1</v>
      </c>
      <c r="AE16" s="257">
        <v>5</v>
      </c>
      <c r="AF16" s="258"/>
      <c r="AG16" s="257"/>
      <c r="AH16" s="258">
        <v>0.2</v>
      </c>
      <c r="AI16" s="257">
        <v>5</v>
      </c>
      <c r="AJ16" s="258">
        <v>0.7</v>
      </c>
      <c r="AK16" s="265">
        <v>20</v>
      </c>
      <c r="AL16" s="258">
        <v>0.2</v>
      </c>
      <c r="AM16" s="257">
        <v>25</v>
      </c>
      <c r="AN16" s="258">
        <v>0.2</v>
      </c>
      <c r="AO16" s="257">
        <v>20</v>
      </c>
      <c r="AP16" s="258"/>
      <c r="AQ16" s="265"/>
      <c r="AR16" s="258">
        <v>1.8</v>
      </c>
      <c r="AS16" s="257">
        <v>60</v>
      </c>
      <c r="AT16" s="258">
        <v>1</v>
      </c>
      <c r="AU16" s="265">
        <v>35</v>
      </c>
      <c r="AV16" s="258">
        <v>2.8</v>
      </c>
      <c r="AW16" s="265">
        <v>60</v>
      </c>
      <c r="AX16" s="91">
        <v>8</v>
      </c>
      <c r="AY16" s="92">
        <f t="shared" si="0"/>
        <v>9</v>
      </c>
      <c r="AZ16" s="93">
        <f t="shared" si="0"/>
        <v>250</v>
      </c>
      <c r="BA16" s="94">
        <f t="shared" si="1"/>
        <v>2.8</v>
      </c>
      <c r="BB16" s="95">
        <f t="shared" si="2"/>
        <v>10</v>
      </c>
      <c r="BC16" s="216"/>
      <c r="BD16" s="197">
        <f t="shared" si="3"/>
        <v>1</v>
      </c>
      <c r="BE16" s="98">
        <f t="shared" si="4"/>
        <v>0</v>
      </c>
      <c r="BF16" s="99"/>
      <c r="BG16" s="86">
        <f>julho!$BE17</f>
        <v>28</v>
      </c>
      <c r="BH16" s="97"/>
      <c r="BI16" s="197">
        <f t="shared" si="5"/>
        <v>0</v>
      </c>
    </row>
    <row r="17" spans="1:61" ht="21" customHeight="1">
      <c r="A17" s="71">
        <v>9</v>
      </c>
      <c r="B17" s="306">
        <v>2.6</v>
      </c>
      <c r="C17" s="307">
        <v>60</v>
      </c>
      <c r="D17" s="258">
        <v>5.5</v>
      </c>
      <c r="E17" s="257">
        <v>60</v>
      </c>
      <c r="F17" s="258">
        <v>1.5</v>
      </c>
      <c r="G17" s="257">
        <v>45</v>
      </c>
      <c r="H17" s="258">
        <v>2.2000000000000002</v>
      </c>
      <c r="I17" s="257">
        <v>60</v>
      </c>
      <c r="J17" s="258"/>
      <c r="K17" s="257"/>
      <c r="L17" s="258">
        <v>0.1</v>
      </c>
      <c r="M17" s="257">
        <v>10</v>
      </c>
      <c r="N17" s="258">
        <v>7.1</v>
      </c>
      <c r="O17" s="257">
        <v>60</v>
      </c>
      <c r="P17" s="258">
        <v>0.2</v>
      </c>
      <c r="Q17" s="257">
        <v>5</v>
      </c>
      <c r="R17" s="258"/>
      <c r="S17" s="257"/>
      <c r="T17" s="258">
        <v>0.5</v>
      </c>
      <c r="U17" s="257">
        <v>20</v>
      </c>
      <c r="V17" s="258">
        <v>1.4</v>
      </c>
      <c r="W17" s="257">
        <v>60</v>
      </c>
      <c r="X17" s="258">
        <v>1.3</v>
      </c>
      <c r="Y17" s="257">
        <v>60</v>
      </c>
      <c r="Z17" s="258">
        <v>1.3</v>
      </c>
      <c r="AA17" s="257">
        <v>45</v>
      </c>
      <c r="AB17" s="258">
        <v>3.1</v>
      </c>
      <c r="AC17" s="257">
        <v>55</v>
      </c>
      <c r="AD17" s="258">
        <v>2.8</v>
      </c>
      <c r="AE17" s="257">
        <v>60</v>
      </c>
      <c r="AF17" s="258">
        <v>1.1000000000000001</v>
      </c>
      <c r="AG17" s="257">
        <v>60</v>
      </c>
      <c r="AH17" s="258">
        <v>0.9</v>
      </c>
      <c r="AI17" s="257">
        <v>60</v>
      </c>
      <c r="AJ17" s="258">
        <v>0.3</v>
      </c>
      <c r="AK17" s="265">
        <v>10</v>
      </c>
      <c r="AL17" s="258">
        <v>0.1</v>
      </c>
      <c r="AM17" s="257">
        <v>25</v>
      </c>
      <c r="AN17" s="258">
        <v>1.6</v>
      </c>
      <c r="AO17" s="257">
        <v>60</v>
      </c>
      <c r="AP17" s="258">
        <v>4.3</v>
      </c>
      <c r="AQ17" s="265">
        <v>50</v>
      </c>
      <c r="AR17" s="258">
        <v>1.1000000000000001</v>
      </c>
      <c r="AS17" s="257">
        <v>40</v>
      </c>
      <c r="AT17" s="258"/>
      <c r="AU17" s="265"/>
      <c r="AV17" s="258">
        <v>0.2</v>
      </c>
      <c r="AW17" s="265">
        <v>10</v>
      </c>
      <c r="AX17" s="91">
        <v>9</v>
      </c>
      <c r="AY17" s="92">
        <f t="shared" si="0"/>
        <v>39.200000000000003</v>
      </c>
      <c r="AZ17" s="93">
        <f t="shared" si="0"/>
        <v>915</v>
      </c>
      <c r="BA17" s="94">
        <f t="shared" si="1"/>
        <v>7.1</v>
      </c>
      <c r="BB17" s="95">
        <f t="shared" si="2"/>
        <v>21</v>
      </c>
      <c r="BC17" s="216"/>
      <c r="BD17" s="197">
        <f t="shared" si="3"/>
        <v>1</v>
      </c>
      <c r="BE17" s="98">
        <f t="shared" si="4"/>
        <v>28</v>
      </c>
      <c r="BF17" s="99"/>
      <c r="BG17" s="86">
        <f>julho!$BE18</f>
        <v>34.300000000000004</v>
      </c>
      <c r="BH17" s="97"/>
      <c r="BI17" s="197">
        <f t="shared" si="5"/>
        <v>0</v>
      </c>
    </row>
    <row r="18" spans="1:61" ht="21" customHeight="1">
      <c r="A18" s="71">
        <v>10</v>
      </c>
      <c r="B18" s="306">
        <v>6.9</v>
      </c>
      <c r="C18" s="307">
        <v>60</v>
      </c>
      <c r="D18" s="258">
        <v>3.5</v>
      </c>
      <c r="E18" s="257">
        <v>60</v>
      </c>
      <c r="F18" s="258">
        <v>1.6</v>
      </c>
      <c r="G18" s="257">
        <v>35</v>
      </c>
      <c r="H18" s="258">
        <v>0.5</v>
      </c>
      <c r="I18" s="257">
        <v>10</v>
      </c>
      <c r="J18" s="258"/>
      <c r="K18" s="257"/>
      <c r="L18" s="258"/>
      <c r="M18" s="257"/>
      <c r="N18" s="258">
        <v>1.6</v>
      </c>
      <c r="O18" s="257">
        <v>25</v>
      </c>
      <c r="P18" s="258"/>
      <c r="Q18" s="257"/>
      <c r="R18" s="258"/>
      <c r="S18" s="257"/>
      <c r="T18" s="258"/>
      <c r="U18" s="257"/>
      <c r="V18" s="258"/>
      <c r="W18" s="257"/>
      <c r="X18" s="258"/>
      <c r="Y18" s="257"/>
      <c r="Z18" s="258"/>
      <c r="AA18" s="257"/>
      <c r="AB18" s="258"/>
      <c r="AC18" s="257"/>
      <c r="AD18" s="258"/>
      <c r="AE18" s="257"/>
      <c r="AF18" s="258"/>
      <c r="AG18" s="257"/>
      <c r="AH18" s="258"/>
      <c r="AI18" s="257"/>
      <c r="AJ18" s="258"/>
      <c r="AK18" s="265"/>
      <c r="AL18" s="258"/>
      <c r="AM18" s="257"/>
      <c r="AN18" s="258"/>
      <c r="AO18" s="257"/>
      <c r="AP18" s="258"/>
      <c r="AQ18" s="265"/>
      <c r="AR18" s="258"/>
      <c r="AS18" s="257"/>
      <c r="AT18" s="258"/>
      <c r="AU18" s="265"/>
      <c r="AV18" s="258"/>
      <c r="AW18" s="265"/>
      <c r="AX18" s="91">
        <v>10</v>
      </c>
      <c r="AY18" s="92">
        <f t="shared" si="0"/>
        <v>14.1</v>
      </c>
      <c r="AZ18" s="93">
        <f t="shared" si="0"/>
        <v>190</v>
      </c>
      <c r="BA18" s="94">
        <f t="shared" si="1"/>
        <v>6.9</v>
      </c>
      <c r="BB18" s="95">
        <f t="shared" si="2"/>
        <v>5</v>
      </c>
      <c r="BC18" s="214"/>
      <c r="BD18" s="197">
        <f t="shared" si="3"/>
        <v>1</v>
      </c>
      <c r="BE18" s="98">
        <f t="shared" si="4"/>
        <v>34.300000000000004</v>
      </c>
      <c r="BF18" s="99"/>
      <c r="BG18" s="86">
        <f>julho!$BE19</f>
        <v>0</v>
      </c>
      <c r="BH18" s="97"/>
      <c r="BI18" s="197">
        <f t="shared" si="5"/>
        <v>0</v>
      </c>
    </row>
    <row r="19" spans="1:61" ht="21" customHeight="1">
      <c r="A19" s="71">
        <v>11</v>
      </c>
      <c r="B19" s="306"/>
      <c r="C19" s="307"/>
      <c r="D19" s="258"/>
      <c r="E19" s="257"/>
      <c r="F19" s="258"/>
      <c r="G19" s="257"/>
      <c r="H19" s="258"/>
      <c r="I19" s="257"/>
      <c r="J19" s="258"/>
      <c r="K19" s="257"/>
      <c r="L19" s="258"/>
      <c r="M19" s="257"/>
      <c r="N19" s="258"/>
      <c r="O19" s="257"/>
      <c r="P19" s="258"/>
      <c r="Q19" s="257"/>
      <c r="R19" s="258"/>
      <c r="S19" s="257"/>
      <c r="T19" s="258"/>
      <c r="U19" s="257"/>
      <c r="V19" s="258"/>
      <c r="W19" s="257"/>
      <c r="X19" s="258"/>
      <c r="Y19" s="257"/>
      <c r="Z19" s="258"/>
      <c r="AA19" s="257"/>
      <c r="AB19" s="258"/>
      <c r="AC19" s="257"/>
      <c r="AD19" s="258"/>
      <c r="AE19" s="257"/>
      <c r="AF19" s="258"/>
      <c r="AG19" s="257"/>
      <c r="AH19" s="258"/>
      <c r="AI19" s="257"/>
      <c r="AJ19" s="258"/>
      <c r="AK19" s="265"/>
      <c r="AL19" s="258"/>
      <c r="AM19" s="257"/>
      <c r="AN19" s="258"/>
      <c r="AO19" s="257"/>
      <c r="AP19" s="258"/>
      <c r="AQ19" s="265"/>
      <c r="AR19" s="258"/>
      <c r="AS19" s="257"/>
      <c r="AT19" s="258"/>
      <c r="AU19" s="265"/>
      <c r="AV19" s="258"/>
      <c r="AW19" s="265"/>
      <c r="AX19" s="91">
        <v>11</v>
      </c>
      <c r="AY19" s="92">
        <f t="shared" si="0"/>
        <v>0</v>
      </c>
      <c r="AZ19" s="93">
        <f t="shared" si="0"/>
        <v>0</v>
      </c>
      <c r="BA19" s="94">
        <f t="shared" si="1"/>
        <v>0</v>
      </c>
      <c r="BB19" s="95">
        <f t="shared" si="2"/>
        <v>0</v>
      </c>
      <c r="BC19" s="214"/>
      <c r="BD19" s="197">
        <f t="shared" si="3"/>
        <v>0</v>
      </c>
      <c r="BE19" s="98">
        <f t="shared" si="4"/>
        <v>0</v>
      </c>
      <c r="BF19" s="99"/>
      <c r="BG19" s="86">
        <f>julho!$BE20</f>
        <v>0</v>
      </c>
      <c r="BH19" s="97"/>
      <c r="BI19" s="197">
        <f t="shared" si="5"/>
        <v>0</v>
      </c>
    </row>
    <row r="20" spans="1:61" ht="21" customHeight="1">
      <c r="A20" s="71">
        <v>12</v>
      </c>
      <c r="B20" s="306"/>
      <c r="C20" s="307"/>
      <c r="D20" s="258"/>
      <c r="E20" s="257"/>
      <c r="F20" s="258"/>
      <c r="G20" s="257"/>
      <c r="H20" s="258"/>
      <c r="I20" s="257"/>
      <c r="J20" s="258"/>
      <c r="K20" s="257"/>
      <c r="L20" s="258"/>
      <c r="M20" s="257"/>
      <c r="N20" s="258"/>
      <c r="O20" s="257"/>
      <c r="P20" s="258"/>
      <c r="Q20" s="257"/>
      <c r="R20" s="258"/>
      <c r="S20" s="257"/>
      <c r="T20" s="258"/>
      <c r="U20" s="257"/>
      <c r="V20" s="258"/>
      <c r="W20" s="257"/>
      <c r="X20" s="258"/>
      <c r="Y20" s="257"/>
      <c r="Z20" s="258"/>
      <c r="AA20" s="257"/>
      <c r="AB20" s="258"/>
      <c r="AC20" s="257"/>
      <c r="AD20" s="258"/>
      <c r="AE20" s="257"/>
      <c r="AF20" s="258"/>
      <c r="AG20" s="257"/>
      <c r="AH20" s="258"/>
      <c r="AI20" s="257"/>
      <c r="AJ20" s="258"/>
      <c r="AK20" s="265"/>
      <c r="AL20" s="258"/>
      <c r="AM20" s="257"/>
      <c r="AN20" s="258"/>
      <c r="AO20" s="257"/>
      <c r="AP20" s="258"/>
      <c r="AQ20" s="265"/>
      <c r="AR20" s="258"/>
      <c r="AS20" s="257"/>
      <c r="AT20" s="258"/>
      <c r="AU20" s="265"/>
      <c r="AV20" s="258"/>
      <c r="AW20" s="265"/>
      <c r="AX20" s="91">
        <v>12</v>
      </c>
      <c r="AY20" s="92">
        <f t="shared" si="0"/>
        <v>0</v>
      </c>
      <c r="AZ20" s="93">
        <f t="shared" si="0"/>
        <v>0</v>
      </c>
      <c r="BA20" s="94">
        <f t="shared" si="1"/>
        <v>0</v>
      </c>
      <c r="BB20" s="95">
        <f t="shared" si="2"/>
        <v>0</v>
      </c>
      <c r="BC20" s="214"/>
      <c r="BD20" s="197">
        <f t="shared" si="3"/>
        <v>0</v>
      </c>
      <c r="BE20" s="98">
        <f t="shared" si="4"/>
        <v>0</v>
      </c>
      <c r="BF20" s="99"/>
      <c r="BG20" s="86">
        <f>julho!$BE21</f>
        <v>0</v>
      </c>
      <c r="BH20" s="97"/>
      <c r="BI20" s="197">
        <f t="shared" si="5"/>
        <v>0</v>
      </c>
    </row>
    <row r="21" spans="1:61" ht="21" customHeight="1">
      <c r="A21" s="71">
        <v>13</v>
      </c>
      <c r="B21" s="306"/>
      <c r="C21" s="307"/>
      <c r="D21" s="258"/>
      <c r="E21" s="257"/>
      <c r="F21" s="258"/>
      <c r="G21" s="257"/>
      <c r="H21" s="258"/>
      <c r="I21" s="257"/>
      <c r="J21" s="258"/>
      <c r="K21" s="257"/>
      <c r="L21" s="310"/>
      <c r="M21" s="311"/>
      <c r="N21" s="258"/>
      <c r="O21" s="257"/>
      <c r="P21" s="258"/>
      <c r="Q21" s="257"/>
      <c r="R21" s="258"/>
      <c r="S21" s="257"/>
      <c r="T21" s="258"/>
      <c r="U21" s="257"/>
      <c r="V21" s="258"/>
      <c r="W21" s="257"/>
      <c r="X21" s="258"/>
      <c r="Y21" s="257"/>
      <c r="Z21" s="258"/>
      <c r="AA21" s="257"/>
      <c r="AB21" s="258"/>
      <c r="AC21" s="257"/>
      <c r="AD21" s="258"/>
      <c r="AE21" s="257"/>
      <c r="AF21" s="258"/>
      <c r="AG21" s="257"/>
      <c r="AH21" s="258"/>
      <c r="AI21" s="257"/>
      <c r="AJ21" s="258"/>
      <c r="AK21" s="265"/>
      <c r="AL21" s="258"/>
      <c r="AM21" s="257"/>
      <c r="AN21" s="258"/>
      <c r="AO21" s="257"/>
      <c r="AP21" s="258"/>
      <c r="AQ21" s="265"/>
      <c r="AR21" s="258"/>
      <c r="AS21" s="257"/>
      <c r="AT21" s="258"/>
      <c r="AU21" s="265"/>
      <c r="AV21" s="258"/>
      <c r="AW21" s="265"/>
      <c r="AX21" s="91">
        <v>13</v>
      </c>
      <c r="AY21" s="92">
        <f t="shared" si="0"/>
        <v>0</v>
      </c>
      <c r="AZ21" s="93">
        <f t="shared" si="0"/>
        <v>0</v>
      </c>
      <c r="BA21" s="94">
        <f t="shared" si="1"/>
        <v>0</v>
      </c>
      <c r="BB21" s="95">
        <f t="shared" si="2"/>
        <v>0</v>
      </c>
      <c r="BC21" s="214"/>
      <c r="BD21" s="197">
        <f t="shared" si="3"/>
        <v>0</v>
      </c>
      <c r="BE21" s="98">
        <f t="shared" si="4"/>
        <v>0</v>
      </c>
      <c r="BF21" s="99"/>
      <c r="BG21" s="86">
        <f>julho!$BE22</f>
        <v>0</v>
      </c>
      <c r="BH21" s="97"/>
      <c r="BI21" s="197">
        <f t="shared" si="5"/>
        <v>0</v>
      </c>
    </row>
    <row r="22" spans="1:61" ht="21" customHeight="1">
      <c r="A22" s="71">
        <v>14</v>
      </c>
      <c r="B22" s="306"/>
      <c r="C22" s="307"/>
      <c r="D22" s="258"/>
      <c r="E22" s="257"/>
      <c r="F22" s="258"/>
      <c r="G22" s="257"/>
      <c r="H22" s="258"/>
      <c r="I22" s="257"/>
      <c r="J22" s="258"/>
      <c r="K22" s="257"/>
      <c r="L22" s="258"/>
      <c r="M22" s="257"/>
      <c r="N22" s="258"/>
      <c r="O22" s="257"/>
      <c r="P22" s="258"/>
      <c r="Q22" s="257"/>
      <c r="R22" s="258"/>
      <c r="S22" s="257"/>
      <c r="T22" s="258"/>
      <c r="U22" s="257"/>
      <c r="V22" s="258"/>
      <c r="W22" s="257"/>
      <c r="X22" s="258"/>
      <c r="Y22" s="257"/>
      <c r="Z22" s="258"/>
      <c r="AA22" s="257"/>
      <c r="AB22" s="258"/>
      <c r="AC22" s="257"/>
      <c r="AD22" s="258"/>
      <c r="AE22" s="257"/>
      <c r="AF22" s="258"/>
      <c r="AG22" s="257"/>
      <c r="AH22" s="258"/>
      <c r="AI22" s="257"/>
      <c r="AJ22" s="258"/>
      <c r="AK22" s="265"/>
      <c r="AL22" s="258"/>
      <c r="AM22" s="257"/>
      <c r="AN22" s="258"/>
      <c r="AO22" s="257"/>
      <c r="AP22" s="258"/>
      <c r="AQ22" s="265"/>
      <c r="AR22" s="258"/>
      <c r="AS22" s="257"/>
      <c r="AT22" s="258"/>
      <c r="AU22" s="265"/>
      <c r="AV22" s="258"/>
      <c r="AW22" s="265"/>
      <c r="AX22" s="91">
        <v>14</v>
      </c>
      <c r="AY22" s="92">
        <f t="shared" si="0"/>
        <v>0</v>
      </c>
      <c r="AZ22" s="93">
        <f t="shared" si="0"/>
        <v>0</v>
      </c>
      <c r="BA22" s="94">
        <f t="shared" si="1"/>
        <v>0</v>
      </c>
      <c r="BB22" s="95">
        <f t="shared" si="2"/>
        <v>0</v>
      </c>
      <c r="BC22" s="214"/>
      <c r="BD22" s="197">
        <f t="shared" si="3"/>
        <v>0</v>
      </c>
      <c r="BE22" s="98">
        <f>P21+R21+T21+V21+X21+Z21+AB21+AD21+AF21+AH21+AJ21+AL21+AN21+AP21+AR21+AT21+AV21+B22+D22+F22+H22+J22+L22+N22</f>
        <v>0</v>
      </c>
      <c r="BF22" s="99"/>
      <c r="BG22" s="86">
        <f>julho!$BE23</f>
        <v>0</v>
      </c>
      <c r="BH22" s="97"/>
      <c r="BI22" s="197">
        <f t="shared" si="5"/>
        <v>0</v>
      </c>
    </row>
    <row r="23" spans="1:61" ht="21" customHeight="1">
      <c r="A23" s="71">
        <v>15</v>
      </c>
      <c r="B23" s="258"/>
      <c r="C23" s="257"/>
      <c r="D23" s="258"/>
      <c r="E23" s="257"/>
      <c r="F23" s="258"/>
      <c r="G23" s="257"/>
      <c r="H23" s="258"/>
      <c r="I23" s="257"/>
      <c r="J23" s="258"/>
      <c r="K23" s="257"/>
      <c r="L23" s="258"/>
      <c r="M23" s="257"/>
      <c r="N23" s="258"/>
      <c r="O23" s="257"/>
      <c r="P23" s="258"/>
      <c r="Q23" s="257"/>
      <c r="R23" s="258"/>
      <c r="S23" s="257"/>
      <c r="T23" s="258"/>
      <c r="U23" s="257"/>
      <c r="V23" s="258"/>
      <c r="W23" s="257"/>
      <c r="X23" s="258"/>
      <c r="Y23" s="257"/>
      <c r="Z23" s="258"/>
      <c r="AA23" s="257"/>
      <c r="AB23" s="258"/>
      <c r="AC23" s="257"/>
      <c r="AD23" s="258"/>
      <c r="AE23" s="257"/>
      <c r="AF23" s="258"/>
      <c r="AG23" s="257"/>
      <c r="AH23" s="258"/>
      <c r="AI23" s="257"/>
      <c r="AJ23" s="258"/>
      <c r="AK23" s="265"/>
      <c r="AL23" s="258"/>
      <c r="AM23" s="257"/>
      <c r="AN23" s="258"/>
      <c r="AO23" s="257"/>
      <c r="AP23" s="258"/>
      <c r="AQ23" s="265"/>
      <c r="AR23" s="258"/>
      <c r="AS23" s="257"/>
      <c r="AT23" s="258"/>
      <c r="AU23" s="265"/>
      <c r="AV23" s="258"/>
      <c r="AW23" s="265"/>
      <c r="AX23" s="91">
        <v>15</v>
      </c>
      <c r="AY23" s="92">
        <f t="shared" si="0"/>
        <v>0</v>
      </c>
      <c r="AZ23" s="93">
        <f t="shared" si="0"/>
        <v>0</v>
      </c>
      <c r="BA23" s="94">
        <f t="shared" si="1"/>
        <v>0</v>
      </c>
      <c r="BB23" s="95">
        <f t="shared" si="2"/>
        <v>0</v>
      </c>
      <c r="BC23" s="214"/>
      <c r="BD23" s="197">
        <f t="shared" si="3"/>
        <v>0</v>
      </c>
      <c r="BE23" s="98">
        <f t="shared" si="4"/>
        <v>0</v>
      </c>
      <c r="BF23" s="99"/>
      <c r="BG23" s="86">
        <f>julho!$BE24</f>
        <v>0</v>
      </c>
      <c r="BH23" s="97"/>
      <c r="BI23" s="197">
        <f t="shared" si="5"/>
        <v>0</v>
      </c>
    </row>
    <row r="24" spans="1:61" ht="21" customHeight="1">
      <c r="A24" s="71">
        <v>16</v>
      </c>
      <c r="B24" s="258"/>
      <c r="C24" s="257"/>
      <c r="D24" s="258"/>
      <c r="E24" s="257"/>
      <c r="F24" s="258"/>
      <c r="G24" s="257"/>
      <c r="H24" s="258"/>
      <c r="I24" s="257"/>
      <c r="J24" s="258"/>
      <c r="K24" s="257"/>
      <c r="L24" s="258"/>
      <c r="M24" s="257"/>
      <c r="N24" s="258"/>
      <c r="O24" s="257"/>
      <c r="P24" s="258"/>
      <c r="Q24" s="257"/>
      <c r="R24" s="258"/>
      <c r="S24" s="257"/>
      <c r="T24" s="258"/>
      <c r="U24" s="257"/>
      <c r="V24" s="258"/>
      <c r="W24" s="257"/>
      <c r="X24" s="258"/>
      <c r="Y24" s="257"/>
      <c r="Z24" s="258"/>
      <c r="AA24" s="257"/>
      <c r="AB24" s="258"/>
      <c r="AC24" s="257"/>
      <c r="AD24" s="258"/>
      <c r="AE24" s="257"/>
      <c r="AF24" s="258"/>
      <c r="AG24" s="257"/>
      <c r="AH24" s="258"/>
      <c r="AI24" s="257"/>
      <c r="AJ24" s="258"/>
      <c r="AK24" s="265"/>
      <c r="AL24" s="258"/>
      <c r="AM24" s="257"/>
      <c r="AN24" s="258"/>
      <c r="AO24" s="257"/>
      <c r="AP24" s="258"/>
      <c r="AQ24" s="265"/>
      <c r="AR24" s="258"/>
      <c r="AS24" s="257"/>
      <c r="AT24" s="258"/>
      <c r="AU24" s="265"/>
      <c r="AV24" s="258"/>
      <c r="AW24" s="265"/>
      <c r="AX24" s="91">
        <v>16</v>
      </c>
      <c r="AY24" s="92">
        <f t="shared" si="0"/>
        <v>0</v>
      </c>
      <c r="AZ24" s="93">
        <f t="shared" si="0"/>
        <v>0</v>
      </c>
      <c r="BA24" s="94">
        <f t="shared" si="1"/>
        <v>0</v>
      </c>
      <c r="BB24" s="95">
        <f t="shared" si="2"/>
        <v>0</v>
      </c>
      <c r="BC24" s="214"/>
      <c r="BD24" s="197">
        <f t="shared" si="3"/>
        <v>0</v>
      </c>
      <c r="BE24" s="98">
        <f t="shared" si="4"/>
        <v>0</v>
      </c>
      <c r="BF24" s="99"/>
      <c r="BG24" s="86">
        <f>julho!$BE25</f>
        <v>0</v>
      </c>
      <c r="BH24" s="97"/>
      <c r="BI24" s="197">
        <f t="shared" si="5"/>
        <v>0</v>
      </c>
    </row>
    <row r="25" spans="1:61" ht="21" customHeight="1">
      <c r="A25" s="71">
        <v>17</v>
      </c>
      <c r="B25" s="258"/>
      <c r="C25" s="257"/>
      <c r="D25" s="258"/>
      <c r="E25" s="257"/>
      <c r="F25" s="258"/>
      <c r="G25" s="257"/>
      <c r="H25" s="258"/>
      <c r="I25" s="257"/>
      <c r="J25" s="258"/>
      <c r="K25" s="257"/>
      <c r="L25" s="258"/>
      <c r="M25" s="257"/>
      <c r="N25" s="258"/>
      <c r="O25" s="257"/>
      <c r="P25" s="258"/>
      <c r="Q25" s="257"/>
      <c r="R25" s="258"/>
      <c r="S25" s="257"/>
      <c r="T25" s="258"/>
      <c r="U25" s="257"/>
      <c r="V25" s="258"/>
      <c r="W25" s="257"/>
      <c r="X25" s="258"/>
      <c r="Y25" s="257"/>
      <c r="Z25" s="258"/>
      <c r="AA25" s="257"/>
      <c r="AB25" s="258"/>
      <c r="AC25" s="257"/>
      <c r="AD25" s="258"/>
      <c r="AE25" s="257"/>
      <c r="AF25" s="258"/>
      <c r="AG25" s="257"/>
      <c r="AH25" s="258"/>
      <c r="AI25" s="257"/>
      <c r="AJ25" s="258"/>
      <c r="AK25" s="265"/>
      <c r="AL25" s="258"/>
      <c r="AM25" s="257"/>
      <c r="AN25" s="258"/>
      <c r="AO25" s="257"/>
      <c r="AP25" s="258"/>
      <c r="AQ25" s="265"/>
      <c r="AR25" s="258"/>
      <c r="AS25" s="257"/>
      <c r="AT25" s="258"/>
      <c r="AU25" s="265"/>
      <c r="AV25" s="258"/>
      <c r="AW25" s="265"/>
      <c r="AX25" s="91">
        <v>17</v>
      </c>
      <c r="AY25" s="92">
        <f t="shared" si="0"/>
        <v>0</v>
      </c>
      <c r="AZ25" s="93">
        <f t="shared" si="0"/>
        <v>0</v>
      </c>
      <c r="BA25" s="94">
        <f t="shared" si="1"/>
        <v>0</v>
      </c>
      <c r="BB25" s="95">
        <f t="shared" si="2"/>
        <v>0</v>
      </c>
      <c r="BC25" s="214"/>
      <c r="BD25" s="197">
        <f t="shared" si="3"/>
        <v>0</v>
      </c>
      <c r="BE25" s="98">
        <f t="shared" si="4"/>
        <v>0</v>
      </c>
      <c r="BF25" s="99"/>
      <c r="BG25" s="86">
        <f>julho!$BE26</f>
        <v>0</v>
      </c>
      <c r="BH25" s="97"/>
      <c r="BI25" s="197">
        <f t="shared" si="5"/>
        <v>0</v>
      </c>
    </row>
    <row r="26" spans="1:61" ht="21" customHeight="1">
      <c r="A26" s="71">
        <v>18</v>
      </c>
      <c r="B26" s="258"/>
      <c r="C26" s="257"/>
      <c r="D26" s="258"/>
      <c r="E26" s="257"/>
      <c r="F26" s="258"/>
      <c r="G26" s="257"/>
      <c r="H26" s="258"/>
      <c r="I26" s="257"/>
      <c r="J26" s="258"/>
      <c r="K26" s="257"/>
      <c r="L26" s="258"/>
      <c r="M26" s="257"/>
      <c r="N26" s="258"/>
      <c r="O26" s="257"/>
      <c r="P26" s="258"/>
      <c r="Q26" s="257"/>
      <c r="R26" s="258"/>
      <c r="S26" s="257"/>
      <c r="T26" s="258"/>
      <c r="U26" s="257"/>
      <c r="V26" s="258"/>
      <c r="W26" s="257"/>
      <c r="X26" s="258"/>
      <c r="Y26" s="257"/>
      <c r="Z26" s="258"/>
      <c r="AA26" s="257"/>
      <c r="AB26" s="258"/>
      <c r="AC26" s="257"/>
      <c r="AD26" s="258"/>
      <c r="AE26" s="257"/>
      <c r="AF26" s="258"/>
      <c r="AG26" s="257"/>
      <c r="AH26" s="258"/>
      <c r="AI26" s="257"/>
      <c r="AJ26" s="258"/>
      <c r="AK26" s="265"/>
      <c r="AL26" s="258"/>
      <c r="AM26" s="257"/>
      <c r="AN26" s="258"/>
      <c r="AO26" s="257"/>
      <c r="AP26" s="258"/>
      <c r="AQ26" s="265"/>
      <c r="AR26" s="258"/>
      <c r="AS26" s="257"/>
      <c r="AT26" s="258"/>
      <c r="AU26" s="265"/>
      <c r="AV26" s="258"/>
      <c r="AW26" s="265"/>
      <c r="AX26" s="91">
        <v>18</v>
      </c>
      <c r="AY26" s="92">
        <f t="shared" si="0"/>
        <v>0</v>
      </c>
      <c r="AZ26" s="93">
        <f t="shared" si="0"/>
        <v>0</v>
      </c>
      <c r="BA26" s="94">
        <f t="shared" si="1"/>
        <v>0</v>
      </c>
      <c r="BB26" s="95">
        <f t="shared" si="2"/>
        <v>0</v>
      </c>
      <c r="BC26" s="214"/>
      <c r="BD26" s="197">
        <f t="shared" si="3"/>
        <v>0</v>
      </c>
      <c r="BE26" s="98">
        <f t="shared" si="4"/>
        <v>0</v>
      </c>
      <c r="BF26" s="99"/>
      <c r="BG26" s="86">
        <f>julho!$BE27</f>
        <v>0</v>
      </c>
      <c r="BH26" s="97"/>
      <c r="BI26" s="197">
        <f t="shared" si="5"/>
        <v>0</v>
      </c>
    </row>
    <row r="27" spans="1:61" ht="21" customHeight="1">
      <c r="A27" s="71">
        <v>19</v>
      </c>
      <c r="B27" s="258"/>
      <c r="C27" s="257"/>
      <c r="D27" s="258"/>
      <c r="E27" s="257"/>
      <c r="F27" s="258"/>
      <c r="G27" s="257"/>
      <c r="H27" s="258"/>
      <c r="I27" s="257"/>
      <c r="J27" s="258"/>
      <c r="K27" s="257"/>
      <c r="L27" s="258"/>
      <c r="M27" s="257"/>
      <c r="N27" s="258"/>
      <c r="O27" s="257"/>
      <c r="P27" s="258"/>
      <c r="Q27" s="257"/>
      <c r="R27" s="258"/>
      <c r="S27" s="257"/>
      <c r="T27" s="258"/>
      <c r="U27" s="257"/>
      <c r="V27" s="258"/>
      <c r="W27" s="257"/>
      <c r="X27" s="258"/>
      <c r="Y27" s="257"/>
      <c r="Z27" s="258"/>
      <c r="AA27" s="257"/>
      <c r="AB27" s="258"/>
      <c r="AC27" s="257"/>
      <c r="AD27" s="258"/>
      <c r="AE27" s="257"/>
      <c r="AF27" s="258"/>
      <c r="AG27" s="257"/>
      <c r="AH27" s="258"/>
      <c r="AI27" s="257"/>
      <c r="AJ27" s="258"/>
      <c r="AK27" s="265"/>
      <c r="AL27" s="258"/>
      <c r="AM27" s="257"/>
      <c r="AN27" s="258"/>
      <c r="AO27" s="257"/>
      <c r="AP27" s="258"/>
      <c r="AQ27" s="265"/>
      <c r="AR27" s="258"/>
      <c r="AS27" s="257"/>
      <c r="AT27" s="258"/>
      <c r="AU27" s="265"/>
      <c r="AV27" s="258"/>
      <c r="AW27" s="265"/>
      <c r="AX27" s="91">
        <v>19</v>
      </c>
      <c r="AY27" s="92">
        <f t="shared" si="0"/>
        <v>0</v>
      </c>
      <c r="AZ27" s="93">
        <f t="shared" si="0"/>
        <v>0</v>
      </c>
      <c r="BA27" s="94">
        <f t="shared" si="1"/>
        <v>0</v>
      </c>
      <c r="BB27" s="95">
        <f t="shared" si="2"/>
        <v>0</v>
      </c>
      <c r="BC27" s="214"/>
      <c r="BD27" s="197">
        <f t="shared" si="3"/>
        <v>0</v>
      </c>
      <c r="BE27" s="98">
        <f t="shared" si="4"/>
        <v>0</v>
      </c>
      <c r="BF27" s="99"/>
      <c r="BG27" s="86">
        <f>julho!$BE28</f>
        <v>0.1</v>
      </c>
      <c r="BH27" s="97"/>
      <c r="BI27" s="197">
        <f t="shared" si="5"/>
        <v>0</v>
      </c>
    </row>
    <row r="28" spans="1:61" ht="21" customHeight="1">
      <c r="A28" s="71">
        <v>20</v>
      </c>
      <c r="B28" s="258"/>
      <c r="C28" s="257"/>
      <c r="D28" s="258"/>
      <c r="E28" s="257"/>
      <c r="F28" s="258"/>
      <c r="G28" s="257"/>
      <c r="H28" s="258">
        <v>0.1</v>
      </c>
      <c r="I28" s="257">
        <v>60</v>
      </c>
      <c r="J28" s="258"/>
      <c r="K28" s="257"/>
      <c r="L28" s="258"/>
      <c r="M28" s="257"/>
      <c r="N28" s="258"/>
      <c r="O28" s="257"/>
      <c r="P28" s="258"/>
      <c r="Q28" s="257"/>
      <c r="R28" s="258"/>
      <c r="S28" s="257"/>
      <c r="T28" s="258"/>
      <c r="U28" s="257"/>
      <c r="V28" s="258"/>
      <c r="W28" s="257"/>
      <c r="X28" s="258"/>
      <c r="Y28" s="257"/>
      <c r="Z28" s="258"/>
      <c r="AA28" s="257"/>
      <c r="AB28" s="258"/>
      <c r="AC28" s="257"/>
      <c r="AD28" s="258"/>
      <c r="AE28" s="257"/>
      <c r="AF28" s="258"/>
      <c r="AG28" s="257"/>
      <c r="AH28" s="258"/>
      <c r="AI28" s="257"/>
      <c r="AJ28" s="258"/>
      <c r="AK28" s="265"/>
      <c r="AL28" s="258"/>
      <c r="AM28" s="257"/>
      <c r="AN28" s="258"/>
      <c r="AO28" s="257"/>
      <c r="AP28" s="258"/>
      <c r="AQ28" s="265"/>
      <c r="AR28" s="258"/>
      <c r="AS28" s="257"/>
      <c r="AT28" s="258"/>
      <c r="AU28" s="265"/>
      <c r="AV28" s="258"/>
      <c r="AW28" s="265"/>
      <c r="AX28" s="91">
        <v>20</v>
      </c>
      <c r="AY28" s="92">
        <f t="shared" si="0"/>
        <v>0.1</v>
      </c>
      <c r="AZ28" s="93">
        <f t="shared" si="0"/>
        <v>60</v>
      </c>
      <c r="BA28" s="94">
        <f t="shared" si="1"/>
        <v>0.1</v>
      </c>
      <c r="BB28" s="95">
        <f t="shared" si="2"/>
        <v>1</v>
      </c>
      <c r="BC28" s="214"/>
      <c r="BD28" s="197">
        <f t="shared" si="3"/>
        <v>1</v>
      </c>
      <c r="BE28" s="98">
        <f t="shared" si="4"/>
        <v>0.1</v>
      </c>
      <c r="BF28" s="99"/>
      <c r="BG28" s="86">
        <f>julho!$BE29</f>
        <v>0</v>
      </c>
      <c r="BH28" s="97"/>
      <c r="BI28" s="197">
        <f t="shared" si="5"/>
        <v>0</v>
      </c>
    </row>
    <row r="29" spans="1:61" ht="21" customHeight="1">
      <c r="A29" s="71">
        <v>21</v>
      </c>
      <c r="B29" s="258"/>
      <c r="C29" s="257"/>
      <c r="D29" s="258"/>
      <c r="E29" s="257"/>
      <c r="F29" s="258"/>
      <c r="G29" s="257"/>
      <c r="H29" s="258"/>
      <c r="I29" s="257"/>
      <c r="J29" s="258"/>
      <c r="K29" s="257"/>
      <c r="L29" s="258"/>
      <c r="M29" s="257"/>
      <c r="N29" s="258"/>
      <c r="O29" s="257"/>
      <c r="P29" s="258"/>
      <c r="Q29" s="257"/>
      <c r="R29" s="258"/>
      <c r="S29" s="257"/>
      <c r="T29" s="258"/>
      <c r="U29" s="257"/>
      <c r="V29" s="258"/>
      <c r="W29" s="257"/>
      <c r="X29" s="258"/>
      <c r="Y29" s="257"/>
      <c r="Z29" s="256"/>
      <c r="AA29" s="257"/>
      <c r="AB29" s="258"/>
      <c r="AC29" s="257"/>
      <c r="AD29" s="258"/>
      <c r="AE29" s="257"/>
      <c r="AF29" s="258"/>
      <c r="AG29" s="257"/>
      <c r="AH29" s="258"/>
      <c r="AI29" s="257"/>
      <c r="AJ29" s="258"/>
      <c r="AK29" s="265"/>
      <c r="AL29" s="258"/>
      <c r="AM29" s="257"/>
      <c r="AN29" s="258"/>
      <c r="AO29" s="257"/>
      <c r="AP29" s="258"/>
      <c r="AQ29" s="265"/>
      <c r="AR29" s="258"/>
      <c r="AS29" s="257"/>
      <c r="AT29" s="258"/>
      <c r="AU29" s="265"/>
      <c r="AV29" s="258"/>
      <c r="AW29" s="265"/>
      <c r="AX29" s="91">
        <v>21</v>
      </c>
      <c r="AY29" s="92">
        <f t="shared" si="0"/>
        <v>0</v>
      </c>
      <c r="AZ29" s="93">
        <f t="shared" si="0"/>
        <v>0</v>
      </c>
      <c r="BA29" s="94">
        <f t="shared" si="1"/>
        <v>0</v>
      </c>
      <c r="BB29" s="95">
        <f t="shared" si="2"/>
        <v>0</v>
      </c>
      <c r="BC29" s="214"/>
      <c r="BD29" s="197">
        <f t="shared" si="3"/>
        <v>0</v>
      </c>
      <c r="BE29" s="98">
        <f t="shared" si="4"/>
        <v>0</v>
      </c>
      <c r="BF29" s="99"/>
      <c r="BG29" s="86">
        <f>julho!$BE30</f>
        <v>0.1</v>
      </c>
      <c r="BH29" s="97"/>
      <c r="BI29" s="197">
        <f t="shared" si="5"/>
        <v>0</v>
      </c>
    </row>
    <row r="30" spans="1:61" ht="21" customHeight="1">
      <c r="A30" s="71">
        <v>22</v>
      </c>
      <c r="B30" s="258"/>
      <c r="C30" s="257"/>
      <c r="D30" s="258"/>
      <c r="E30" s="257"/>
      <c r="F30" s="258"/>
      <c r="G30" s="257"/>
      <c r="H30" s="258"/>
      <c r="I30" s="257"/>
      <c r="J30" s="258">
        <v>0.1</v>
      </c>
      <c r="K30" s="257">
        <v>60</v>
      </c>
      <c r="L30" s="258"/>
      <c r="M30" s="257"/>
      <c r="N30" s="258"/>
      <c r="O30" s="257"/>
      <c r="P30" s="258"/>
      <c r="Q30" s="257"/>
      <c r="R30" s="258"/>
      <c r="S30" s="257"/>
      <c r="T30" s="258"/>
      <c r="U30" s="257"/>
      <c r="V30" s="258"/>
      <c r="W30" s="257"/>
      <c r="X30" s="258"/>
      <c r="Y30" s="257"/>
      <c r="Z30" s="258"/>
      <c r="AA30" s="257"/>
      <c r="AB30" s="258"/>
      <c r="AC30" s="257"/>
      <c r="AD30" s="258"/>
      <c r="AE30" s="257"/>
      <c r="AF30" s="258"/>
      <c r="AG30" s="257"/>
      <c r="AH30" s="258"/>
      <c r="AI30" s="257"/>
      <c r="AJ30" s="258"/>
      <c r="AK30" s="265"/>
      <c r="AL30" s="258"/>
      <c r="AM30" s="257"/>
      <c r="AN30" s="258"/>
      <c r="AO30" s="257"/>
      <c r="AP30" s="258"/>
      <c r="AQ30" s="265"/>
      <c r="AR30" s="258"/>
      <c r="AS30" s="257"/>
      <c r="AT30" s="258"/>
      <c r="AU30" s="265"/>
      <c r="AV30" s="258"/>
      <c r="AW30" s="265"/>
      <c r="AX30" s="91">
        <v>22</v>
      </c>
      <c r="AY30" s="92">
        <f t="shared" si="0"/>
        <v>0.1</v>
      </c>
      <c r="AZ30" s="93">
        <f t="shared" si="0"/>
        <v>60</v>
      </c>
      <c r="BA30" s="94">
        <f t="shared" si="1"/>
        <v>0.1</v>
      </c>
      <c r="BB30" s="95">
        <f t="shared" si="2"/>
        <v>1</v>
      </c>
      <c r="BC30" s="214"/>
      <c r="BD30" s="197">
        <f t="shared" si="3"/>
        <v>1</v>
      </c>
      <c r="BE30" s="98">
        <f t="shared" si="4"/>
        <v>0.1</v>
      </c>
      <c r="BF30" s="99"/>
      <c r="BG30" s="86">
        <f>julho!$BE31</f>
        <v>0.1</v>
      </c>
      <c r="BH30" s="97"/>
      <c r="BI30" s="197">
        <f t="shared" si="5"/>
        <v>0</v>
      </c>
    </row>
    <row r="31" spans="1:61" ht="21" customHeight="1">
      <c r="A31" s="71">
        <v>23</v>
      </c>
      <c r="B31" s="258"/>
      <c r="C31" s="257"/>
      <c r="D31" s="258"/>
      <c r="E31" s="257"/>
      <c r="F31" s="258"/>
      <c r="G31" s="257"/>
      <c r="H31" s="258"/>
      <c r="I31" s="257"/>
      <c r="J31" s="258"/>
      <c r="K31" s="257"/>
      <c r="L31" s="258"/>
      <c r="M31" s="257"/>
      <c r="N31" s="258">
        <v>0.1</v>
      </c>
      <c r="O31" s="257">
        <v>60</v>
      </c>
      <c r="P31" s="258"/>
      <c r="Q31" s="257"/>
      <c r="R31" s="258"/>
      <c r="S31" s="257"/>
      <c r="T31" s="258"/>
      <c r="U31" s="257"/>
      <c r="V31" s="258"/>
      <c r="W31" s="257"/>
      <c r="X31" s="258"/>
      <c r="Y31" s="257"/>
      <c r="Z31" s="258"/>
      <c r="AA31" s="257"/>
      <c r="AB31" s="258"/>
      <c r="AC31" s="257"/>
      <c r="AD31" s="258"/>
      <c r="AE31" s="257"/>
      <c r="AF31" s="258"/>
      <c r="AG31" s="257"/>
      <c r="AH31" s="258"/>
      <c r="AI31" s="257"/>
      <c r="AJ31" s="258"/>
      <c r="AK31" s="265"/>
      <c r="AL31" s="258"/>
      <c r="AM31" s="257"/>
      <c r="AN31" s="258"/>
      <c r="AO31" s="257"/>
      <c r="AP31" s="258"/>
      <c r="AQ31" s="265"/>
      <c r="AR31" s="269"/>
      <c r="AS31" s="257"/>
      <c r="AT31" s="258"/>
      <c r="AU31" s="265"/>
      <c r="AV31" s="258"/>
      <c r="AW31" s="265"/>
      <c r="AX31" s="91">
        <v>23</v>
      </c>
      <c r="AY31" s="92">
        <f t="shared" si="0"/>
        <v>0.1</v>
      </c>
      <c r="AZ31" s="93">
        <f t="shared" si="0"/>
        <v>60</v>
      </c>
      <c r="BA31" s="94">
        <f t="shared" si="1"/>
        <v>0.1</v>
      </c>
      <c r="BB31" s="95">
        <f t="shared" si="2"/>
        <v>1</v>
      </c>
      <c r="BC31" s="214"/>
      <c r="BD31" s="197">
        <f t="shared" si="3"/>
        <v>1</v>
      </c>
      <c r="BE31" s="98">
        <f t="shared" si="4"/>
        <v>0.1</v>
      </c>
      <c r="BF31" s="99"/>
      <c r="BG31" s="86">
        <f>julho!$BE32</f>
        <v>0</v>
      </c>
      <c r="BH31" s="97"/>
      <c r="BI31" s="197">
        <f t="shared" si="5"/>
        <v>0</v>
      </c>
    </row>
    <row r="32" spans="1:61" ht="21" customHeight="1">
      <c r="A32" s="71">
        <v>24</v>
      </c>
      <c r="B32" s="258"/>
      <c r="C32" s="257"/>
      <c r="D32" s="258"/>
      <c r="E32" s="257"/>
      <c r="F32" s="258"/>
      <c r="G32" s="257"/>
      <c r="H32" s="258"/>
      <c r="I32" s="257"/>
      <c r="J32" s="258"/>
      <c r="K32" s="257"/>
      <c r="L32" s="258"/>
      <c r="M32" s="257"/>
      <c r="N32" s="258"/>
      <c r="O32" s="257"/>
      <c r="P32" s="258"/>
      <c r="Q32" s="257"/>
      <c r="R32" s="258"/>
      <c r="S32" s="257"/>
      <c r="T32" s="258"/>
      <c r="U32" s="257"/>
      <c r="V32" s="258"/>
      <c r="W32" s="257"/>
      <c r="X32" s="258"/>
      <c r="Y32" s="257"/>
      <c r="Z32" s="258"/>
      <c r="AA32" s="257"/>
      <c r="AB32" s="258"/>
      <c r="AC32" s="257"/>
      <c r="AD32" s="258"/>
      <c r="AE32" s="257"/>
      <c r="AF32" s="258"/>
      <c r="AG32" s="257"/>
      <c r="AH32" s="258"/>
      <c r="AI32" s="257"/>
      <c r="AJ32" s="258"/>
      <c r="AK32" s="265"/>
      <c r="AL32" s="258"/>
      <c r="AM32" s="257"/>
      <c r="AN32" s="258"/>
      <c r="AO32" s="257"/>
      <c r="AP32" s="258"/>
      <c r="AQ32" s="265"/>
      <c r="AR32" s="269"/>
      <c r="AS32" s="257"/>
      <c r="AT32" s="258"/>
      <c r="AU32" s="265"/>
      <c r="AV32" s="258"/>
      <c r="AW32" s="265"/>
      <c r="AX32" s="91">
        <v>24</v>
      </c>
      <c r="AY32" s="92">
        <f t="shared" si="0"/>
        <v>0</v>
      </c>
      <c r="AZ32" s="93">
        <f t="shared" si="0"/>
        <v>0</v>
      </c>
      <c r="BA32" s="94">
        <f t="shared" si="1"/>
        <v>0</v>
      </c>
      <c r="BB32" s="95">
        <f t="shared" si="2"/>
        <v>0</v>
      </c>
      <c r="BC32" s="214"/>
      <c r="BD32" s="197">
        <f t="shared" si="3"/>
        <v>0</v>
      </c>
      <c r="BE32" s="98">
        <f t="shared" si="4"/>
        <v>0</v>
      </c>
      <c r="BF32" s="99"/>
      <c r="BG32" s="86">
        <f>julho!$BE33</f>
        <v>0</v>
      </c>
      <c r="BH32" s="97"/>
      <c r="BI32" s="197">
        <f t="shared" si="5"/>
        <v>0</v>
      </c>
    </row>
    <row r="33" spans="1:61" ht="21" customHeight="1">
      <c r="A33" s="71">
        <v>25</v>
      </c>
      <c r="B33" s="258"/>
      <c r="C33" s="257"/>
      <c r="D33" s="258"/>
      <c r="E33" s="257"/>
      <c r="F33" s="258"/>
      <c r="G33" s="257"/>
      <c r="H33" s="258"/>
      <c r="I33" s="257"/>
      <c r="J33" s="258"/>
      <c r="K33" s="257"/>
      <c r="L33" s="258"/>
      <c r="M33" s="257"/>
      <c r="N33" s="258"/>
      <c r="O33" s="257"/>
      <c r="P33" s="258"/>
      <c r="Q33" s="257"/>
      <c r="R33" s="258"/>
      <c r="S33" s="257"/>
      <c r="T33" s="258"/>
      <c r="U33" s="257"/>
      <c r="V33" s="258"/>
      <c r="W33" s="257"/>
      <c r="X33" s="258"/>
      <c r="Y33" s="257"/>
      <c r="Z33" s="258"/>
      <c r="AA33" s="257"/>
      <c r="AB33" s="258"/>
      <c r="AC33" s="257"/>
      <c r="AD33" s="258"/>
      <c r="AE33" s="257"/>
      <c r="AF33" s="258"/>
      <c r="AG33" s="257"/>
      <c r="AH33" s="258"/>
      <c r="AI33" s="257"/>
      <c r="AJ33" s="258"/>
      <c r="AK33" s="265"/>
      <c r="AL33" s="258"/>
      <c r="AM33" s="257"/>
      <c r="AN33" s="258"/>
      <c r="AO33" s="257"/>
      <c r="AP33" s="258"/>
      <c r="AQ33" s="265"/>
      <c r="AR33" s="269"/>
      <c r="AS33" s="257"/>
      <c r="AT33" s="258"/>
      <c r="AU33" s="265"/>
      <c r="AV33" s="258"/>
      <c r="AW33" s="265"/>
      <c r="AX33" s="91">
        <v>25</v>
      </c>
      <c r="AY33" s="92">
        <f t="shared" si="0"/>
        <v>0</v>
      </c>
      <c r="AZ33" s="93">
        <f t="shared" si="0"/>
        <v>0</v>
      </c>
      <c r="BA33" s="94">
        <f t="shared" si="1"/>
        <v>0</v>
      </c>
      <c r="BB33" s="95">
        <f t="shared" si="2"/>
        <v>0</v>
      </c>
      <c r="BC33" s="214"/>
      <c r="BD33" s="197">
        <f t="shared" si="3"/>
        <v>0</v>
      </c>
      <c r="BE33" s="98">
        <f t="shared" si="4"/>
        <v>0</v>
      </c>
      <c r="BF33" s="99"/>
      <c r="BG33" s="86">
        <f>julho!$BE34</f>
        <v>0</v>
      </c>
      <c r="BH33" s="97"/>
      <c r="BI33" s="197">
        <f t="shared" si="5"/>
        <v>0</v>
      </c>
    </row>
    <row r="34" spans="1:61" ht="21" customHeight="1">
      <c r="A34" s="71">
        <v>26</v>
      </c>
      <c r="B34" s="258"/>
      <c r="C34" s="257"/>
      <c r="D34" s="258"/>
      <c r="E34" s="257"/>
      <c r="F34" s="258"/>
      <c r="G34" s="257"/>
      <c r="H34" s="258"/>
      <c r="I34" s="257"/>
      <c r="J34" s="258"/>
      <c r="K34" s="257"/>
      <c r="L34" s="258"/>
      <c r="M34" s="257"/>
      <c r="N34" s="258"/>
      <c r="O34" s="257"/>
      <c r="P34" s="258"/>
      <c r="Q34" s="257"/>
      <c r="R34" s="258"/>
      <c r="S34" s="257"/>
      <c r="T34" s="258"/>
      <c r="U34" s="257"/>
      <c r="V34" s="258"/>
      <c r="W34" s="257"/>
      <c r="X34" s="258"/>
      <c r="Y34" s="257"/>
      <c r="Z34" s="258"/>
      <c r="AA34" s="257"/>
      <c r="AB34" s="258"/>
      <c r="AC34" s="257"/>
      <c r="AD34" s="258"/>
      <c r="AE34" s="257"/>
      <c r="AF34" s="258"/>
      <c r="AG34" s="257"/>
      <c r="AH34" s="258"/>
      <c r="AI34" s="257"/>
      <c r="AJ34" s="258"/>
      <c r="AK34" s="265"/>
      <c r="AL34" s="258"/>
      <c r="AM34" s="257"/>
      <c r="AN34" s="258"/>
      <c r="AO34" s="257"/>
      <c r="AP34" s="258"/>
      <c r="AQ34" s="265"/>
      <c r="AR34" s="258"/>
      <c r="AS34" s="257"/>
      <c r="AT34" s="258"/>
      <c r="AU34" s="265"/>
      <c r="AV34" s="258"/>
      <c r="AW34" s="265"/>
      <c r="AX34" s="91">
        <v>26</v>
      </c>
      <c r="AY34" s="92">
        <f t="shared" si="0"/>
        <v>0</v>
      </c>
      <c r="AZ34" s="93">
        <f t="shared" si="0"/>
        <v>0</v>
      </c>
      <c r="BA34" s="94">
        <f t="shared" si="1"/>
        <v>0</v>
      </c>
      <c r="BB34" s="95">
        <f t="shared" si="2"/>
        <v>0</v>
      </c>
      <c r="BC34" s="214"/>
      <c r="BD34" s="197">
        <f t="shared" si="3"/>
        <v>0</v>
      </c>
      <c r="BE34" s="98">
        <f t="shared" si="4"/>
        <v>0</v>
      </c>
      <c r="BF34" s="99"/>
      <c r="BG34" s="86">
        <f>julho!$BE35</f>
        <v>0</v>
      </c>
      <c r="BH34" s="97"/>
      <c r="BI34" s="197">
        <f t="shared" si="5"/>
        <v>0</v>
      </c>
    </row>
    <row r="35" spans="1:61" ht="21" customHeight="1">
      <c r="A35" s="71">
        <v>27</v>
      </c>
      <c r="B35" s="258"/>
      <c r="C35" s="257"/>
      <c r="D35" s="258"/>
      <c r="E35" s="257"/>
      <c r="F35" s="258"/>
      <c r="G35" s="257"/>
      <c r="H35" s="258"/>
      <c r="I35" s="257"/>
      <c r="J35" s="258"/>
      <c r="K35" s="257"/>
      <c r="L35" s="258"/>
      <c r="M35" s="257"/>
      <c r="N35" s="258"/>
      <c r="O35" s="257"/>
      <c r="P35" s="258"/>
      <c r="Q35" s="257"/>
      <c r="R35" s="258"/>
      <c r="S35" s="257"/>
      <c r="T35" s="258"/>
      <c r="U35" s="257"/>
      <c r="V35" s="258"/>
      <c r="W35" s="257"/>
      <c r="X35" s="258"/>
      <c r="Y35" s="257"/>
      <c r="Z35" s="258"/>
      <c r="AA35" s="257"/>
      <c r="AB35" s="258"/>
      <c r="AC35" s="257"/>
      <c r="AD35" s="258"/>
      <c r="AE35" s="257"/>
      <c r="AF35" s="258"/>
      <c r="AG35" s="257"/>
      <c r="AH35" s="258"/>
      <c r="AI35" s="257"/>
      <c r="AJ35" s="258"/>
      <c r="AK35" s="265"/>
      <c r="AL35" s="258"/>
      <c r="AM35" s="257"/>
      <c r="AN35" s="258"/>
      <c r="AO35" s="257"/>
      <c r="AP35" s="258"/>
      <c r="AQ35" s="265"/>
      <c r="AR35" s="258"/>
      <c r="AS35" s="257"/>
      <c r="AT35" s="258"/>
      <c r="AU35" s="265"/>
      <c r="AV35" s="258"/>
      <c r="AW35" s="265"/>
      <c r="AX35" s="91">
        <v>27</v>
      </c>
      <c r="AY35" s="92">
        <f t="shared" si="0"/>
        <v>0</v>
      </c>
      <c r="AZ35" s="93">
        <f t="shared" si="0"/>
        <v>0</v>
      </c>
      <c r="BA35" s="94">
        <f t="shared" si="1"/>
        <v>0</v>
      </c>
      <c r="BB35" s="95">
        <f t="shared" si="2"/>
        <v>0</v>
      </c>
      <c r="BC35" s="214"/>
      <c r="BD35" s="197">
        <f t="shared" si="3"/>
        <v>0</v>
      </c>
      <c r="BE35" s="98">
        <f t="shared" si="4"/>
        <v>0</v>
      </c>
      <c r="BF35" s="99"/>
      <c r="BG35" s="86">
        <f>julho!$BE36</f>
        <v>0</v>
      </c>
      <c r="BH35" s="97"/>
      <c r="BI35" s="197">
        <f t="shared" si="5"/>
        <v>0</v>
      </c>
    </row>
    <row r="36" spans="1:61" ht="21" customHeight="1">
      <c r="A36" s="71">
        <v>28</v>
      </c>
      <c r="B36" s="258"/>
      <c r="C36" s="257"/>
      <c r="D36" s="258"/>
      <c r="E36" s="257"/>
      <c r="F36" s="258"/>
      <c r="G36" s="257"/>
      <c r="H36" s="258"/>
      <c r="I36" s="257"/>
      <c r="J36" s="258"/>
      <c r="K36" s="257"/>
      <c r="L36" s="258"/>
      <c r="M36" s="257"/>
      <c r="N36" s="258"/>
      <c r="O36" s="257"/>
      <c r="P36" s="258"/>
      <c r="Q36" s="257"/>
      <c r="R36" s="258"/>
      <c r="S36" s="257"/>
      <c r="T36" s="258"/>
      <c r="U36" s="257"/>
      <c r="V36" s="258"/>
      <c r="W36" s="257"/>
      <c r="X36" s="258"/>
      <c r="Y36" s="257"/>
      <c r="Z36" s="258"/>
      <c r="AA36" s="257"/>
      <c r="AB36" s="258"/>
      <c r="AC36" s="257"/>
      <c r="AD36" s="258"/>
      <c r="AE36" s="257"/>
      <c r="AF36" s="258"/>
      <c r="AG36" s="257"/>
      <c r="AH36" s="258"/>
      <c r="AI36" s="257"/>
      <c r="AJ36" s="258"/>
      <c r="AK36" s="265"/>
      <c r="AL36" s="258"/>
      <c r="AM36" s="257"/>
      <c r="AN36" s="258"/>
      <c r="AO36" s="257"/>
      <c r="AP36" s="258"/>
      <c r="AQ36" s="265"/>
      <c r="AR36" s="258"/>
      <c r="AS36" s="257"/>
      <c r="AT36" s="258"/>
      <c r="AU36" s="265"/>
      <c r="AV36" s="258"/>
      <c r="AW36" s="265"/>
      <c r="AX36" s="91">
        <v>28</v>
      </c>
      <c r="AY36" s="92">
        <f t="shared" si="0"/>
        <v>0</v>
      </c>
      <c r="AZ36" s="93">
        <f t="shared" si="0"/>
        <v>0</v>
      </c>
      <c r="BA36" s="94">
        <f t="shared" si="1"/>
        <v>0</v>
      </c>
      <c r="BB36" s="95">
        <f t="shared" si="2"/>
        <v>0</v>
      </c>
      <c r="BC36" s="214"/>
      <c r="BD36" s="197">
        <f t="shared" si="3"/>
        <v>0</v>
      </c>
      <c r="BE36" s="98">
        <f t="shared" si="4"/>
        <v>0</v>
      </c>
      <c r="BF36" s="99"/>
      <c r="BG36" s="86">
        <f>julho!$BE37</f>
        <v>0</v>
      </c>
      <c r="BH36" s="97"/>
      <c r="BI36" s="197">
        <f t="shared" si="5"/>
        <v>0</v>
      </c>
    </row>
    <row r="37" spans="1:61" ht="21" customHeight="1">
      <c r="A37" s="71">
        <v>29</v>
      </c>
      <c r="B37" s="258"/>
      <c r="C37" s="257"/>
      <c r="D37" s="258"/>
      <c r="E37" s="257"/>
      <c r="F37" s="258"/>
      <c r="G37" s="257"/>
      <c r="H37" s="258"/>
      <c r="I37" s="257"/>
      <c r="J37" s="258"/>
      <c r="K37" s="257"/>
      <c r="L37" s="258"/>
      <c r="M37" s="257"/>
      <c r="N37" s="258"/>
      <c r="O37" s="257"/>
      <c r="P37" s="258"/>
      <c r="Q37" s="257"/>
      <c r="R37" s="258"/>
      <c r="S37" s="257"/>
      <c r="T37" s="258"/>
      <c r="U37" s="257"/>
      <c r="V37" s="258"/>
      <c r="W37" s="257"/>
      <c r="X37" s="258"/>
      <c r="Y37" s="257"/>
      <c r="Z37" s="258"/>
      <c r="AA37" s="257"/>
      <c r="AB37" s="258"/>
      <c r="AC37" s="257"/>
      <c r="AD37" s="258"/>
      <c r="AE37" s="257"/>
      <c r="AF37" s="258"/>
      <c r="AG37" s="257"/>
      <c r="AH37" s="258"/>
      <c r="AI37" s="257"/>
      <c r="AJ37" s="258"/>
      <c r="AK37" s="265"/>
      <c r="AL37" s="258"/>
      <c r="AM37" s="257"/>
      <c r="AN37" s="258"/>
      <c r="AO37" s="257"/>
      <c r="AP37" s="258"/>
      <c r="AQ37" s="265"/>
      <c r="AR37" s="258"/>
      <c r="AS37" s="257"/>
      <c r="AT37" s="258">
        <v>0.1</v>
      </c>
      <c r="AU37" s="270">
        <v>50</v>
      </c>
      <c r="AV37" s="258"/>
      <c r="AW37" s="265"/>
      <c r="AX37" s="111">
        <v>29</v>
      </c>
      <c r="AY37" s="92">
        <f t="shared" si="0"/>
        <v>0.1</v>
      </c>
      <c r="AZ37" s="93">
        <f t="shared" si="0"/>
        <v>50</v>
      </c>
      <c r="BA37" s="94">
        <f t="shared" si="1"/>
        <v>0.1</v>
      </c>
      <c r="BB37" s="95">
        <f t="shared" si="2"/>
        <v>1</v>
      </c>
      <c r="BC37" s="214"/>
      <c r="BD37" s="197">
        <f t="shared" si="3"/>
        <v>1</v>
      </c>
      <c r="BE37" s="98">
        <f t="shared" si="4"/>
        <v>0</v>
      </c>
      <c r="BF37" s="99"/>
      <c r="BG37" s="86">
        <f>julho!$BE38</f>
        <v>1.1000000000000001</v>
      </c>
      <c r="BH37" s="97"/>
      <c r="BI37" s="197">
        <f t="shared" si="5"/>
        <v>0</v>
      </c>
    </row>
    <row r="38" spans="1:61" ht="21" customHeight="1" thickBot="1">
      <c r="A38" s="71">
        <v>30</v>
      </c>
      <c r="B38" s="269"/>
      <c r="C38" s="257"/>
      <c r="D38" s="258"/>
      <c r="E38" s="257"/>
      <c r="F38" s="258">
        <v>0.2</v>
      </c>
      <c r="G38" s="257">
        <v>35</v>
      </c>
      <c r="H38" s="258">
        <v>0.1</v>
      </c>
      <c r="I38" s="257">
        <v>60</v>
      </c>
      <c r="J38" s="258">
        <v>0.1</v>
      </c>
      <c r="K38" s="257">
        <v>60</v>
      </c>
      <c r="L38" s="258">
        <v>0.1</v>
      </c>
      <c r="M38" s="257">
        <v>60</v>
      </c>
      <c r="N38" s="258">
        <v>0.5</v>
      </c>
      <c r="O38" s="257">
        <v>60</v>
      </c>
      <c r="P38" s="258">
        <v>0.5</v>
      </c>
      <c r="Q38" s="257">
        <v>45</v>
      </c>
      <c r="R38" s="258">
        <v>0.8</v>
      </c>
      <c r="S38" s="257">
        <v>55</v>
      </c>
      <c r="T38" s="258">
        <v>0.5</v>
      </c>
      <c r="U38" s="257">
        <v>45</v>
      </c>
      <c r="V38" s="258">
        <v>0.5</v>
      </c>
      <c r="W38" s="257">
        <v>30</v>
      </c>
      <c r="X38" s="258">
        <v>0.7</v>
      </c>
      <c r="Y38" s="257">
        <v>30</v>
      </c>
      <c r="Z38" s="258">
        <v>0.5</v>
      </c>
      <c r="AA38" s="257">
        <v>30</v>
      </c>
      <c r="AB38" s="258">
        <v>0.1</v>
      </c>
      <c r="AC38" s="257">
        <v>10</v>
      </c>
      <c r="AD38" s="258"/>
      <c r="AE38" s="257"/>
      <c r="AF38" s="258">
        <v>0.4</v>
      </c>
      <c r="AG38" s="257">
        <v>30</v>
      </c>
      <c r="AH38" s="258"/>
      <c r="AI38" s="257"/>
      <c r="AJ38" s="258"/>
      <c r="AK38" s="265"/>
      <c r="AL38" s="258"/>
      <c r="AM38" s="257"/>
      <c r="AN38" s="258">
        <v>0.1</v>
      </c>
      <c r="AO38" s="257">
        <v>30</v>
      </c>
      <c r="AP38" s="258"/>
      <c r="AQ38" s="265"/>
      <c r="AR38" s="271"/>
      <c r="AS38" s="272"/>
      <c r="AT38" s="258"/>
      <c r="AU38" s="265"/>
      <c r="AV38" s="258"/>
      <c r="AW38" s="265"/>
      <c r="AX38" s="111">
        <v>30</v>
      </c>
      <c r="AY38" s="92">
        <f t="shared" si="0"/>
        <v>5.0999999999999996</v>
      </c>
      <c r="AZ38" s="93">
        <f t="shared" si="0"/>
        <v>580</v>
      </c>
      <c r="BA38" s="94">
        <f t="shared" si="1"/>
        <v>0.8</v>
      </c>
      <c r="BB38" s="95">
        <f t="shared" si="2"/>
        <v>14</v>
      </c>
      <c r="BC38" s="214"/>
      <c r="BD38" s="197">
        <f t="shared" si="3"/>
        <v>1</v>
      </c>
      <c r="BE38" s="98">
        <f t="shared" si="4"/>
        <v>1.1000000000000001</v>
      </c>
      <c r="BF38" s="99"/>
      <c r="BG38" s="86">
        <f>julho!$BE39</f>
        <v>4.0999999999999996</v>
      </c>
      <c r="BH38" s="97"/>
      <c r="BI38" s="197">
        <f t="shared" si="5"/>
        <v>0</v>
      </c>
    </row>
    <row r="39" spans="1:61" ht="21" customHeight="1" thickBot="1">
      <c r="A39" s="114">
        <v>31</v>
      </c>
      <c r="B39" s="312"/>
      <c r="C39" s="274"/>
      <c r="D39" s="275"/>
      <c r="E39" s="274"/>
      <c r="F39" s="275"/>
      <c r="G39" s="274"/>
      <c r="H39" s="275"/>
      <c r="I39" s="274"/>
      <c r="J39" s="275"/>
      <c r="K39" s="274"/>
      <c r="L39" s="275"/>
      <c r="M39" s="274"/>
      <c r="N39" s="275"/>
      <c r="O39" s="274"/>
      <c r="P39" s="276"/>
      <c r="Q39" s="274"/>
      <c r="R39" s="275"/>
      <c r="S39" s="274"/>
      <c r="T39" s="275"/>
      <c r="U39" s="274"/>
      <c r="V39" s="275"/>
      <c r="W39" s="274"/>
      <c r="X39" s="275"/>
      <c r="Y39" s="274"/>
      <c r="Z39" s="275"/>
      <c r="AA39" s="274"/>
      <c r="AB39" s="275"/>
      <c r="AC39" s="274"/>
      <c r="AD39" s="275"/>
      <c r="AE39" s="274"/>
      <c r="AF39" s="275"/>
      <c r="AG39" s="274"/>
      <c r="AH39" s="275"/>
      <c r="AI39" s="274"/>
      <c r="AJ39" s="275"/>
      <c r="AK39" s="277"/>
      <c r="AL39" s="278"/>
      <c r="AM39" s="274"/>
      <c r="AN39" s="275"/>
      <c r="AO39" s="274"/>
      <c r="AP39" s="275"/>
      <c r="AQ39" s="279"/>
      <c r="AR39" s="275"/>
      <c r="AS39" s="274"/>
      <c r="AT39" s="275"/>
      <c r="AU39" s="279"/>
      <c r="AV39" s="280"/>
      <c r="AW39" s="279"/>
      <c r="AX39" s="123">
        <v>31</v>
      </c>
      <c r="AY39" s="92">
        <f t="shared" si="0"/>
        <v>0</v>
      </c>
      <c r="AZ39" s="93">
        <f t="shared" si="0"/>
        <v>0</v>
      </c>
      <c r="BA39" s="94">
        <f t="shared" si="1"/>
        <v>0</v>
      </c>
      <c r="BB39" s="95">
        <f t="shared" si="2"/>
        <v>0</v>
      </c>
      <c r="BC39" s="214"/>
      <c r="BD39" s="197">
        <f t="shared" si="3"/>
        <v>0</v>
      </c>
      <c r="BE39" s="98">
        <f>P38+R38+T38+V38+X38+Z38+AB38+AD38+AF38+AH38+AJ38+AL38+AN38+AP38+AR38+AT38+AV38+B39+D39+F39+H39+J39+L39+N39</f>
        <v>4.0999999999999996</v>
      </c>
      <c r="BF39" s="99"/>
      <c r="BG39" s="228">
        <f>julho!$BH40</f>
        <v>0</v>
      </c>
      <c r="BH39" s="125" t="s">
        <v>83</v>
      </c>
      <c r="BI39" s="197">
        <f t="shared" si="5"/>
        <v>1</v>
      </c>
    </row>
    <row r="40" spans="1:61" ht="21" customHeight="1" thickBot="1">
      <c r="A40" s="284">
        <v>1</v>
      </c>
      <c r="B40" s="221"/>
      <c r="C40" s="222"/>
      <c r="D40" s="223"/>
      <c r="E40" s="222"/>
      <c r="F40" s="223"/>
      <c r="G40" s="222"/>
      <c r="H40" s="223"/>
      <c r="I40" s="222"/>
      <c r="J40" s="223"/>
      <c r="K40" s="222"/>
      <c r="L40" s="223"/>
      <c r="M40" s="222"/>
      <c r="N40" s="223"/>
      <c r="O40" s="224"/>
      <c r="P40" s="131"/>
      <c r="Q40" s="32"/>
      <c r="R40" s="31"/>
      <c r="S40" s="32"/>
      <c r="T40" s="31"/>
      <c r="U40" s="32"/>
      <c r="V40" s="31"/>
      <c r="W40" s="32"/>
      <c r="X40" s="31"/>
      <c r="Y40" s="32"/>
      <c r="Z40" s="31"/>
      <c r="AA40" s="32"/>
      <c r="AB40" s="31"/>
      <c r="AC40" s="32"/>
      <c r="AD40" s="31"/>
      <c r="AE40" s="32"/>
      <c r="AF40" s="31"/>
      <c r="AG40" s="32"/>
      <c r="AH40" s="31"/>
      <c r="AI40" s="32"/>
      <c r="AJ40" s="31"/>
      <c r="AK40" s="32"/>
      <c r="AL40" s="31"/>
      <c r="AM40" s="32"/>
      <c r="AN40" s="31"/>
      <c r="AO40" s="32"/>
      <c r="AP40" s="31"/>
      <c r="AQ40" s="32"/>
      <c r="AR40" s="31"/>
      <c r="AS40" s="32"/>
      <c r="AT40" s="31"/>
      <c r="AU40" s="32"/>
      <c r="AV40" s="31"/>
      <c r="AW40" s="32"/>
      <c r="AX40" s="132"/>
      <c r="AY40" s="231" t="s">
        <v>53</v>
      </c>
      <c r="AZ40" s="232"/>
      <c r="BA40" s="233"/>
      <c r="BB40" s="136"/>
      <c r="BC40" s="214"/>
      <c r="BD40" s="137" t="s">
        <v>54</v>
      </c>
      <c r="BE40" s="138">
        <f>SUM(BE9:BE39)</f>
        <v>67.800000000000011</v>
      </c>
      <c r="BF40" s="232"/>
      <c r="BG40" s="138"/>
      <c r="BH40" s="140">
        <f>P39+R39+T39+V39+X39+Z39+AB39+AD39+AF39+AH39+AJ39+AL39+AN39+AP39+AR39+AT39+AV39+B40+D40+F40+H40+J40+L40+N40</f>
        <v>0</v>
      </c>
      <c r="BI40" s="214"/>
    </row>
    <row r="41" spans="1:61" ht="21" customHeight="1" thickBot="1">
      <c r="A41" s="142"/>
      <c r="B41" s="37" t="s">
        <v>19</v>
      </c>
      <c r="C41" s="37"/>
      <c r="D41" s="38" t="s">
        <v>20</v>
      </c>
      <c r="E41" s="38"/>
      <c r="F41" s="37" t="s">
        <v>21</v>
      </c>
      <c r="G41" s="37"/>
      <c r="H41" s="37" t="s">
        <v>22</v>
      </c>
      <c r="I41" s="37"/>
      <c r="J41" s="39" t="s">
        <v>23</v>
      </c>
      <c r="K41" s="39"/>
      <c r="L41" s="37" t="s">
        <v>24</v>
      </c>
      <c r="M41" s="37"/>
      <c r="N41" s="37" t="s">
        <v>25</v>
      </c>
      <c r="O41" s="37"/>
      <c r="P41" s="37" t="s">
        <v>26</v>
      </c>
      <c r="Q41" s="37"/>
      <c r="R41" s="37" t="s">
        <v>27</v>
      </c>
      <c r="S41" s="37"/>
      <c r="T41" s="37" t="s">
        <v>28</v>
      </c>
      <c r="U41" s="37"/>
      <c r="V41" s="37" t="s">
        <v>29</v>
      </c>
      <c r="W41" s="37"/>
      <c r="X41" s="37" t="s">
        <v>30</v>
      </c>
      <c r="Y41" s="37"/>
      <c r="Z41" s="40" t="s">
        <v>31</v>
      </c>
      <c r="AA41" s="40"/>
      <c r="AB41" s="37" t="s">
        <v>32</v>
      </c>
      <c r="AC41" s="37"/>
      <c r="AD41" s="37" t="s">
        <v>33</v>
      </c>
      <c r="AE41" s="37"/>
      <c r="AF41" s="37" t="s">
        <v>34</v>
      </c>
      <c r="AG41" s="37"/>
      <c r="AH41" s="37" t="s">
        <v>35</v>
      </c>
      <c r="AI41" s="37"/>
      <c r="AJ41" s="37" t="s">
        <v>36</v>
      </c>
      <c r="AK41" s="37"/>
      <c r="AL41" s="37" t="s">
        <v>37</v>
      </c>
      <c r="AM41" s="37"/>
      <c r="AN41" s="37" t="s">
        <v>38</v>
      </c>
      <c r="AO41" s="37"/>
      <c r="AP41" s="37" t="s">
        <v>39</v>
      </c>
      <c r="AQ41" s="37"/>
      <c r="AR41" s="37" t="s">
        <v>40</v>
      </c>
      <c r="AS41" s="37"/>
      <c r="AT41" s="37" t="s">
        <v>41</v>
      </c>
      <c r="AU41" s="37"/>
      <c r="AV41" s="37" t="s">
        <v>42</v>
      </c>
      <c r="AW41" s="37"/>
      <c r="AX41" s="146"/>
      <c r="AY41" s="33" t="s">
        <v>15</v>
      </c>
      <c r="AZ41" s="33" t="s">
        <v>16</v>
      </c>
      <c r="BA41" s="34" t="s">
        <v>17</v>
      </c>
      <c r="BB41" s="34" t="s">
        <v>55</v>
      </c>
      <c r="BC41" s="214"/>
      <c r="BD41" s="137" t="s">
        <v>56</v>
      </c>
      <c r="BE41" s="147">
        <f>MAX(BE9:BE39)</f>
        <v>34.300000000000004</v>
      </c>
      <c r="BF41" s="148"/>
      <c r="BG41" s="148"/>
      <c r="BH41" s="148"/>
      <c r="BI41" s="214"/>
    </row>
    <row r="42" spans="1:61" ht="21" customHeight="1" thickBot="1">
      <c r="A42" s="142"/>
      <c r="B42" s="234" t="s">
        <v>47</v>
      </c>
      <c r="C42" s="235" t="s">
        <v>48</v>
      </c>
      <c r="D42" s="204" t="s">
        <v>47</v>
      </c>
      <c r="E42" s="236" t="s">
        <v>48</v>
      </c>
      <c r="F42" s="204" t="s">
        <v>47</v>
      </c>
      <c r="G42" s="237" t="s">
        <v>48</v>
      </c>
      <c r="H42" s="204" t="s">
        <v>47</v>
      </c>
      <c r="I42" s="237" t="s">
        <v>48</v>
      </c>
      <c r="J42" s="204" t="s">
        <v>47</v>
      </c>
      <c r="K42" s="237" t="s">
        <v>48</v>
      </c>
      <c r="L42" s="204" t="s">
        <v>47</v>
      </c>
      <c r="M42" s="237" t="s">
        <v>48</v>
      </c>
      <c r="N42" s="204" t="s">
        <v>47</v>
      </c>
      <c r="O42" s="237" t="s">
        <v>48</v>
      </c>
      <c r="P42" s="204" t="s">
        <v>47</v>
      </c>
      <c r="Q42" s="237" t="s">
        <v>48</v>
      </c>
      <c r="R42" s="204" t="s">
        <v>47</v>
      </c>
      <c r="S42" s="237" t="s">
        <v>48</v>
      </c>
      <c r="T42" s="204" t="s">
        <v>47</v>
      </c>
      <c r="U42" s="237" t="s">
        <v>48</v>
      </c>
      <c r="V42" s="204" t="s">
        <v>47</v>
      </c>
      <c r="W42" s="237" t="s">
        <v>48</v>
      </c>
      <c r="X42" s="204" t="s">
        <v>47</v>
      </c>
      <c r="Y42" s="237" t="s">
        <v>48</v>
      </c>
      <c r="Z42" s="204" t="s">
        <v>47</v>
      </c>
      <c r="AA42" s="237" t="s">
        <v>48</v>
      </c>
      <c r="AB42" s="204" t="s">
        <v>47</v>
      </c>
      <c r="AC42" s="237" t="s">
        <v>48</v>
      </c>
      <c r="AD42" s="204" t="s">
        <v>47</v>
      </c>
      <c r="AE42" s="237" t="s">
        <v>48</v>
      </c>
      <c r="AF42" s="204" t="s">
        <v>47</v>
      </c>
      <c r="AG42" s="237" t="s">
        <v>48</v>
      </c>
      <c r="AH42" s="204" t="s">
        <v>47</v>
      </c>
      <c r="AI42" s="237" t="s">
        <v>48</v>
      </c>
      <c r="AJ42" s="204" t="s">
        <v>47</v>
      </c>
      <c r="AK42" s="205" t="s">
        <v>48</v>
      </c>
      <c r="AL42" s="204" t="s">
        <v>47</v>
      </c>
      <c r="AM42" s="237" t="s">
        <v>48</v>
      </c>
      <c r="AN42" s="204" t="s">
        <v>47</v>
      </c>
      <c r="AO42" s="237" t="s">
        <v>48</v>
      </c>
      <c r="AP42" s="204" t="s">
        <v>47</v>
      </c>
      <c r="AQ42" s="205" t="s">
        <v>48</v>
      </c>
      <c r="AR42" s="204" t="s">
        <v>47</v>
      </c>
      <c r="AS42" s="237" t="s">
        <v>48</v>
      </c>
      <c r="AT42" s="204" t="s">
        <v>47</v>
      </c>
      <c r="AU42" s="205" t="s">
        <v>48</v>
      </c>
      <c r="AV42" s="204" t="s">
        <v>47</v>
      </c>
      <c r="AW42" s="205" t="s">
        <v>48</v>
      </c>
      <c r="AX42" s="146"/>
      <c r="AY42" s="35" t="s">
        <v>57</v>
      </c>
      <c r="AZ42" s="35" t="s">
        <v>43</v>
      </c>
      <c r="BA42" s="35" t="s">
        <v>44</v>
      </c>
      <c r="BB42" s="35" t="s">
        <v>58</v>
      </c>
      <c r="BC42" s="214"/>
      <c r="BD42" s="137" t="s">
        <v>59</v>
      </c>
      <c r="BE42" s="70">
        <f>COUNTIF(BE9:BE39,"&gt;=1")</f>
        <v>4</v>
      </c>
      <c r="BF42" s="238"/>
      <c r="BG42" s="238"/>
      <c r="BH42" s="238"/>
      <c r="BI42" s="214"/>
    </row>
    <row r="43" spans="1:61" ht="21" customHeight="1" thickBot="1">
      <c r="A43" s="238" t="s">
        <v>60</v>
      </c>
      <c r="B43" s="154">
        <f>SUM(B9:B39)</f>
        <v>9.5</v>
      </c>
      <c r="C43" s="154"/>
      <c r="D43" s="154">
        <f>SUM(D9:D39)</f>
        <v>9</v>
      </c>
      <c r="E43" s="154"/>
      <c r="F43" s="154">
        <f>SUM(F9:F39)</f>
        <v>3.3000000000000003</v>
      </c>
      <c r="G43" s="154"/>
      <c r="H43" s="154">
        <f>SUM(H9:H39)</f>
        <v>2.9000000000000004</v>
      </c>
      <c r="I43" s="154"/>
      <c r="J43" s="154">
        <f>SUM(J9:J39)</f>
        <v>0.2</v>
      </c>
      <c r="K43" s="154"/>
      <c r="L43" s="154">
        <f>SUM(L9:L39)</f>
        <v>0.2</v>
      </c>
      <c r="M43" s="154"/>
      <c r="N43" s="154">
        <f>SUM(N9:N39)</f>
        <v>9.2999999999999989</v>
      </c>
      <c r="O43" s="154"/>
      <c r="P43" s="154">
        <f>SUM(P9:P39)</f>
        <v>0.7</v>
      </c>
      <c r="Q43" s="154"/>
      <c r="R43" s="154">
        <f>SUM(R9:R39)</f>
        <v>0.8</v>
      </c>
      <c r="S43" s="154"/>
      <c r="T43" s="154">
        <f>SUM(T9:T39)</f>
        <v>1</v>
      </c>
      <c r="U43" s="154"/>
      <c r="V43" s="154">
        <f>SUM(V9:V39)</f>
        <v>2.9</v>
      </c>
      <c r="W43" s="154"/>
      <c r="X43" s="154">
        <f>SUM(X9:X39)</f>
        <v>2.1</v>
      </c>
      <c r="Y43" s="154"/>
      <c r="Z43" s="154">
        <f>SUM(Z9:Z39)</f>
        <v>1.8</v>
      </c>
      <c r="AA43" s="154"/>
      <c r="AB43" s="154">
        <f>SUM(AB9:AB39)</f>
        <v>3.2</v>
      </c>
      <c r="AC43" s="154"/>
      <c r="AD43" s="154">
        <f>SUM(AD9:AD39)</f>
        <v>3.8</v>
      </c>
      <c r="AE43" s="154"/>
      <c r="AF43" s="154">
        <f>SUM(AF9:AF39)</f>
        <v>1.5</v>
      </c>
      <c r="AG43" s="154"/>
      <c r="AH43" s="154">
        <f>SUM(AH9:AH39)</f>
        <v>1.1000000000000001</v>
      </c>
      <c r="AI43" s="154"/>
      <c r="AJ43" s="154">
        <f>SUM(AJ9:AJ39)</f>
        <v>1</v>
      </c>
      <c r="AK43" s="154"/>
      <c r="AL43" s="154">
        <f>SUM(AL9:AL39)</f>
        <v>0.30000000000000004</v>
      </c>
      <c r="AM43" s="154"/>
      <c r="AN43" s="154">
        <f>SUM(AN9:AN39)</f>
        <v>1.9000000000000001</v>
      </c>
      <c r="AO43" s="154"/>
      <c r="AP43" s="154">
        <f>SUM(AP9:AP39)</f>
        <v>4.3</v>
      </c>
      <c r="AQ43" s="154"/>
      <c r="AR43" s="154">
        <f>SUM(AR9:AR39)</f>
        <v>2.9000000000000004</v>
      </c>
      <c r="AS43" s="154"/>
      <c r="AT43" s="154">
        <f>SUM(AT9:AT39)</f>
        <v>1.1000000000000001</v>
      </c>
      <c r="AU43" s="154"/>
      <c r="AV43" s="154">
        <f>SUM(AV9:AV39)</f>
        <v>3</v>
      </c>
      <c r="AW43" s="154"/>
      <c r="AX43" s="146"/>
      <c r="AY43" s="53" t="s">
        <v>49</v>
      </c>
      <c r="AZ43" s="53" t="s">
        <v>50</v>
      </c>
      <c r="BA43" s="54" t="s">
        <v>51</v>
      </c>
      <c r="BB43" s="54" t="s">
        <v>61</v>
      </c>
      <c r="BC43" s="214"/>
      <c r="BD43" s="137"/>
      <c r="BE43" s="70"/>
      <c r="BF43" s="238"/>
      <c r="BG43" s="238"/>
      <c r="BH43" s="238"/>
      <c r="BI43" s="214"/>
    </row>
    <row r="44" spans="1:61" s="161" customFormat="1" ht="21" customHeight="1" thickBot="1">
      <c r="A44" s="238" t="s">
        <v>62</v>
      </c>
      <c r="B44" s="155"/>
      <c r="C44" s="155">
        <f>SUM(C9:C39)</f>
        <v>120</v>
      </c>
      <c r="D44" s="155"/>
      <c r="E44" s="155">
        <f>SUM(E9:E39)</f>
        <v>120</v>
      </c>
      <c r="F44" s="155"/>
      <c r="G44" s="155">
        <f>SUM(G9:G39)</f>
        <v>115</v>
      </c>
      <c r="H44" s="155"/>
      <c r="I44" s="155">
        <f>SUM(I9:I39)</f>
        <v>190</v>
      </c>
      <c r="J44" s="155"/>
      <c r="K44" s="155">
        <f>SUM(K9:K39)</f>
        <v>120</v>
      </c>
      <c r="L44" s="155"/>
      <c r="M44" s="155">
        <f>SUM(M9:M39)</f>
        <v>70</v>
      </c>
      <c r="N44" s="155"/>
      <c r="O44" s="155">
        <f>SUM(O9:O39)</f>
        <v>205</v>
      </c>
      <c r="P44" s="155"/>
      <c r="Q44" s="155">
        <f>SUM(Q9:Q39)</f>
        <v>50</v>
      </c>
      <c r="R44" s="155"/>
      <c r="S44" s="155">
        <f>SUM(S9:S39)</f>
        <v>55</v>
      </c>
      <c r="T44" s="155"/>
      <c r="U44" s="155">
        <f>SUM(U9:U39)</f>
        <v>65</v>
      </c>
      <c r="V44" s="155"/>
      <c r="W44" s="155">
        <f>SUM(W9:W39)</f>
        <v>105</v>
      </c>
      <c r="X44" s="155"/>
      <c r="Y44" s="155">
        <f>SUM(Y9:Y39)</f>
        <v>95</v>
      </c>
      <c r="Z44" s="155"/>
      <c r="AA44" s="155">
        <f>SUM(AA9:AA39)</f>
        <v>75</v>
      </c>
      <c r="AB44" s="155"/>
      <c r="AC44" s="155">
        <f>SUM(AC9:AC39)</f>
        <v>65</v>
      </c>
      <c r="AD44" s="155"/>
      <c r="AE44" s="155">
        <f>SUM(AE9:AE39)</f>
        <v>65</v>
      </c>
      <c r="AF44" s="155"/>
      <c r="AG44" s="155">
        <f>SUM(AG9:AG39)</f>
        <v>90</v>
      </c>
      <c r="AH44" s="155"/>
      <c r="AI44" s="155">
        <f>SUM(AI9:AI39)</f>
        <v>65</v>
      </c>
      <c r="AJ44" s="155"/>
      <c r="AK44" s="155">
        <f>SUM(AK9:AK39)</f>
        <v>30</v>
      </c>
      <c r="AL44" s="155"/>
      <c r="AM44" s="155">
        <f>SUM(AM9:AM39)</f>
        <v>50</v>
      </c>
      <c r="AN44" s="155"/>
      <c r="AO44" s="155">
        <f>SUM(AO9:AO39)</f>
        <v>110</v>
      </c>
      <c r="AP44" s="155"/>
      <c r="AQ44" s="155">
        <f>SUM(AQ9:AQ39)</f>
        <v>50</v>
      </c>
      <c r="AR44" s="155"/>
      <c r="AS44" s="155">
        <f>SUM(AS9:AS39)</f>
        <v>100</v>
      </c>
      <c r="AT44" s="155"/>
      <c r="AU44" s="155">
        <f>SUM(AU9:AU39)</f>
        <v>85</v>
      </c>
      <c r="AV44" s="155"/>
      <c r="AW44" s="155">
        <f>SUM(AW9:AW39)</f>
        <v>70</v>
      </c>
      <c r="AX44" s="239"/>
      <c r="AY44" s="157">
        <f>AY9+AY10+AY11+AY12+AY13+AY14+AY15+AY16+AY17+AY18+AY19+AY20+AY21+AY22+AY23+AY24+AY25+AY26+AY27+AY28+AY29+AY30+AY31+AY32+AY33+AY34+AY35+AY36+AY37+AY38+AY39</f>
        <v>67.800000000000011</v>
      </c>
      <c r="AZ44" s="158">
        <f>AZ9+AZ10+AZ11+AZ12+AZ13+AZ14+AZ15+AZ16+AZ17+AZ18+AZ19+AZ20+AZ21+AZ22+AZ23+AZ24+AZ25+AZ26+AZ27+AZ28+AZ29+AZ30+AZ31+AZ32+AZ33+AZ34+AZ35+AZ36+AZ37+AZ38+AZ39</f>
        <v>2165</v>
      </c>
      <c r="BA44" s="154">
        <f>MAX(BA9:BA39)</f>
        <v>7.1</v>
      </c>
      <c r="BB44" s="155">
        <f>SUM(BB8:BB39)</f>
        <v>54</v>
      </c>
      <c r="BC44" s="42"/>
      <c r="BD44" s="197"/>
      <c r="BE44" s="240"/>
      <c r="BF44" s="241"/>
      <c r="BG44" s="240"/>
      <c r="BH44" s="242"/>
      <c r="BI44" s="214"/>
    </row>
    <row r="45" spans="1:61" s="161" customFormat="1" ht="21" customHeight="1" thickBot="1">
      <c r="A45" s="238" t="s">
        <v>63</v>
      </c>
      <c r="B45" s="155">
        <f>COUNT(B9:B39)</f>
        <v>2</v>
      </c>
      <c r="C45" s="155"/>
      <c r="D45" s="155">
        <f>COUNT(D9:D39)</f>
        <v>2</v>
      </c>
      <c r="E45" s="155"/>
      <c r="F45" s="155">
        <f>COUNT(F9:F39)</f>
        <v>3</v>
      </c>
      <c r="G45" s="155"/>
      <c r="H45" s="155">
        <f>COUNT(H9:H39)</f>
        <v>4</v>
      </c>
      <c r="I45" s="155"/>
      <c r="J45" s="155">
        <f>COUNT(J9:J39)</f>
        <v>2</v>
      </c>
      <c r="K45" s="155"/>
      <c r="L45" s="155">
        <f>COUNT(L9:L39)</f>
        <v>2</v>
      </c>
      <c r="M45" s="155"/>
      <c r="N45" s="155">
        <f>COUNT(N9:N39)</f>
        <v>4</v>
      </c>
      <c r="O45" s="155"/>
      <c r="P45" s="155">
        <f>COUNT(P9:P39)</f>
        <v>2</v>
      </c>
      <c r="Q45" s="155"/>
      <c r="R45" s="155">
        <f>COUNT(R9:R39)</f>
        <v>1</v>
      </c>
      <c r="S45" s="155"/>
      <c r="T45" s="155">
        <f>COUNT(T9:T39)</f>
        <v>2</v>
      </c>
      <c r="U45" s="155"/>
      <c r="V45" s="155">
        <f>COUNT(V9:V39)</f>
        <v>3</v>
      </c>
      <c r="W45" s="155"/>
      <c r="X45" s="155">
        <f>COUNT(X9:X39)</f>
        <v>3</v>
      </c>
      <c r="Y45" s="155"/>
      <c r="Z45" s="155">
        <f>COUNT(Z9:Z39)</f>
        <v>2</v>
      </c>
      <c r="AA45" s="155"/>
      <c r="AB45" s="155">
        <f>COUNT(AB9:AB39)</f>
        <v>2</v>
      </c>
      <c r="AC45" s="155"/>
      <c r="AD45" s="155">
        <f>COUNT(AD9:AD39)</f>
        <v>2</v>
      </c>
      <c r="AE45" s="155"/>
      <c r="AF45" s="155">
        <f>COUNT(AF9:AF39)</f>
        <v>2</v>
      </c>
      <c r="AG45" s="155"/>
      <c r="AH45" s="155">
        <f>COUNT(AH9:AH39)</f>
        <v>2</v>
      </c>
      <c r="AI45" s="155"/>
      <c r="AJ45" s="155">
        <f>COUNT(AJ9:AJ39)</f>
        <v>2</v>
      </c>
      <c r="AK45" s="155"/>
      <c r="AL45" s="155">
        <f>COUNT(AL9:AL39)</f>
        <v>2</v>
      </c>
      <c r="AM45" s="155"/>
      <c r="AN45" s="155">
        <f>COUNT(AN9:AN39)</f>
        <v>3</v>
      </c>
      <c r="AO45" s="162"/>
      <c r="AP45" s="155">
        <f>COUNT(AP9:AP39)</f>
        <v>1</v>
      </c>
      <c r="AQ45" s="155"/>
      <c r="AR45" s="155">
        <f>COUNT(AR9:AR39)</f>
        <v>2</v>
      </c>
      <c r="AS45" s="155"/>
      <c r="AT45" s="155">
        <f>COUNT(AT9:AT39)</f>
        <v>2</v>
      </c>
      <c r="AU45" s="155"/>
      <c r="AV45" s="155">
        <f>COUNT(AV9:AV39)</f>
        <v>2</v>
      </c>
      <c r="AW45" s="155"/>
      <c r="AX45" s="243"/>
      <c r="AY45" s="164" t="s">
        <v>64</v>
      </c>
      <c r="AZ45" s="165" t="s">
        <v>65</v>
      </c>
      <c r="BA45" s="240"/>
      <c r="BB45" s="34" t="s">
        <v>66</v>
      </c>
      <c r="BC45" s="214"/>
      <c r="BD45" s="197"/>
      <c r="BE45" s="238"/>
      <c r="BF45" s="241"/>
      <c r="BG45" s="240"/>
      <c r="BH45" s="238"/>
      <c r="BI45" s="214"/>
    </row>
    <row r="46" spans="1:61" s="161" customFormat="1" ht="21" customHeight="1" thickBot="1">
      <c r="A46" s="196"/>
      <c r="B46" s="196"/>
      <c r="C46" s="196"/>
      <c r="D46" s="196"/>
      <c r="E46" s="196"/>
      <c r="F46" s="196"/>
      <c r="G46" s="196"/>
      <c r="H46" s="196"/>
      <c r="I46" s="196"/>
      <c r="J46" s="196"/>
      <c r="K46" s="196"/>
      <c r="L46" s="196"/>
      <c r="M46" s="196"/>
      <c r="N46" s="196"/>
      <c r="O46" s="196"/>
      <c r="P46" s="196"/>
      <c r="Q46" s="196"/>
      <c r="R46" s="196"/>
      <c r="S46" s="196"/>
      <c r="T46" s="196"/>
      <c r="U46" s="196"/>
      <c r="V46" s="196"/>
      <c r="W46" s="196"/>
      <c r="X46" s="196"/>
      <c r="Y46" s="196"/>
      <c r="Z46" s="196"/>
      <c r="AA46" s="196"/>
      <c r="AB46" s="196"/>
      <c r="AC46" s="196"/>
      <c r="AD46" s="196"/>
      <c r="AE46" s="196"/>
      <c r="AF46" s="196"/>
      <c r="AG46" s="196"/>
      <c r="AH46" s="196"/>
      <c r="AI46" s="196"/>
      <c r="AJ46" s="196"/>
      <c r="AK46" s="196"/>
      <c r="AL46" s="196"/>
      <c r="AM46" s="196"/>
      <c r="AN46" s="196"/>
      <c r="AO46" s="196"/>
      <c r="AP46" s="196"/>
      <c r="AQ46" s="196"/>
      <c r="AR46" s="196"/>
      <c r="AS46" s="196"/>
      <c r="AT46" s="196"/>
      <c r="AU46" s="196"/>
      <c r="AV46" s="196"/>
      <c r="AW46" s="31"/>
      <c r="AX46" s="244"/>
      <c r="AY46" s="157">
        <f>[1]ano!I44</f>
        <v>39.958428571428577</v>
      </c>
      <c r="AZ46" s="167"/>
      <c r="BA46" s="245"/>
      <c r="BB46" s="35" t="s">
        <v>58</v>
      </c>
      <c r="BC46" s="214"/>
      <c r="BD46" s="197"/>
      <c r="BE46" s="240"/>
      <c r="BF46" s="238"/>
      <c r="BG46" s="245"/>
      <c r="BH46" s="238"/>
      <c r="BI46" s="214"/>
    </row>
    <row r="47" spans="1:61" s="161" customFormat="1" ht="21" customHeight="1" thickBot="1">
      <c r="A47" s="246"/>
      <c r="B47" s="247" t="s">
        <v>67</v>
      </c>
      <c r="C47" s="248"/>
      <c r="D47" s="248"/>
      <c r="E47" s="248"/>
      <c r="F47" s="248"/>
      <c r="G47" s="248"/>
      <c r="H47" s="248"/>
      <c r="I47" s="248"/>
      <c r="J47" s="248"/>
      <c r="K47" s="248"/>
      <c r="L47" s="248"/>
      <c r="M47" s="248"/>
      <c r="N47" s="242"/>
      <c r="O47" s="242"/>
      <c r="P47" s="242"/>
      <c r="Q47" s="242"/>
      <c r="R47" s="242"/>
      <c r="S47" s="242"/>
      <c r="T47" s="242"/>
      <c r="U47" s="242"/>
      <c r="V47" s="242"/>
      <c r="W47" s="242"/>
      <c r="X47" s="242"/>
      <c r="Y47" s="242"/>
      <c r="Z47" s="242"/>
      <c r="AA47" s="242"/>
      <c r="AB47" s="242"/>
      <c r="AC47" s="242"/>
      <c r="AD47" s="242"/>
      <c r="AE47" s="242"/>
      <c r="AF47" s="242"/>
      <c r="AG47" s="242"/>
      <c r="AH47" s="242"/>
      <c r="AI47" s="242"/>
      <c r="AJ47" s="242"/>
      <c r="AK47" s="242"/>
      <c r="AL47" s="242"/>
      <c r="AM47" s="242"/>
      <c r="AN47" s="242"/>
      <c r="AO47" s="242"/>
      <c r="AP47" s="242"/>
      <c r="AQ47" s="242"/>
      <c r="AR47" s="242"/>
      <c r="AS47" s="242"/>
      <c r="AT47" s="242"/>
      <c r="AU47" s="242"/>
      <c r="AV47" s="242"/>
      <c r="AW47" s="242"/>
      <c r="AX47" s="249"/>
      <c r="AY47" s="26" t="s">
        <v>68</v>
      </c>
      <c r="AZ47" s="167"/>
      <c r="BA47" s="245"/>
      <c r="BB47" s="54" t="s">
        <v>61</v>
      </c>
      <c r="BC47" s="214"/>
      <c r="BD47" s="197"/>
      <c r="BE47" s="238"/>
      <c r="BF47" s="238"/>
      <c r="BG47" s="245"/>
      <c r="BH47" s="238"/>
      <c r="BI47" s="214"/>
    </row>
    <row r="48" spans="1:61" s="161" customFormat="1" ht="21" customHeight="1" thickBot="1">
      <c r="A48" s="245"/>
      <c r="B48" s="250" t="s">
        <v>69</v>
      </c>
      <c r="C48" s="245"/>
      <c r="D48" s="245"/>
      <c r="E48" s="245"/>
      <c r="F48" s="245"/>
      <c r="G48" s="245"/>
      <c r="H48" s="245"/>
      <c r="I48" s="245"/>
      <c r="J48" s="245"/>
      <c r="K48" s="245"/>
      <c r="L48" s="245"/>
      <c r="M48" s="245"/>
      <c r="N48" s="196"/>
      <c r="O48" s="196"/>
      <c r="P48" s="196"/>
      <c r="Q48" s="196"/>
      <c r="R48" s="196"/>
      <c r="S48" s="196"/>
      <c r="T48" s="196"/>
      <c r="U48" s="196"/>
      <c r="V48" s="196"/>
      <c r="W48" s="196"/>
      <c r="X48" s="196"/>
      <c r="Y48" s="196"/>
      <c r="Z48" s="196"/>
      <c r="AA48" s="196"/>
      <c r="AB48" s="196"/>
      <c r="AC48" s="196"/>
      <c r="AD48" s="196"/>
      <c r="AE48" s="196"/>
      <c r="AF48" s="196"/>
      <c r="AG48" s="196"/>
      <c r="AH48" s="196"/>
      <c r="AI48" s="196"/>
      <c r="AJ48" s="196"/>
      <c r="AK48" s="196"/>
      <c r="AL48" s="196"/>
      <c r="AM48" s="196"/>
      <c r="AN48" s="196"/>
      <c r="AO48" s="196"/>
      <c r="AP48" s="196"/>
      <c r="AQ48" s="196"/>
      <c r="AR48" s="196"/>
      <c r="AS48" s="196"/>
      <c r="AT48" s="196"/>
      <c r="AU48" s="196"/>
      <c r="AV48" s="196"/>
      <c r="AW48" s="196"/>
      <c r="AX48" s="178"/>
      <c r="AY48" s="157">
        <f>AY44-AY46</f>
        <v>27.841571428571434</v>
      </c>
      <c r="AZ48" s="179"/>
      <c r="BA48" s="245"/>
      <c r="BB48" s="155">
        <f>SUM(BD9:BD39)</f>
        <v>8</v>
      </c>
      <c r="BC48" s="180"/>
      <c r="BD48" s="197"/>
      <c r="BE48" s="240"/>
      <c r="BF48" s="240"/>
      <c r="BG48" s="245"/>
      <c r="BH48" s="242"/>
      <c r="BI48" s="214"/>
    </row>
    <row r="49" spans="1:61" ht="24" customHeight="1">
      <c r="A49" s="1"/>
      <c r="B49" s="251" t="s">
        <v>71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245"/>
      <c r="AX49" s="1"/>
      <c r="AY49" s="1"/>
      <c r="AZ49" s="1"/>
      <c r="BA49" s="1"/>
      <c r="BB49" s="1"/>
      <c r="BC49" s="17"/>
      <c r="BD49" s="197"/>
      <c r="BE49" s="1"/>
      <c r="BF49" s="1"/>
      <c r="BG49" s="1"/>
      <c r="BH49" s="1"/>
      <c r="BI49" s="17"/>
    </row>
    <row r="50" spans="1:61" ht="23.25">
      <c r="A50" s="294"/>
      <c r="B50" s="252"/>
      <c r="C50" s="252"/>
      <c r="D50" s="252"/>
      <c r="E50" s="252"/>
      <c r="F50" s="252"/>
      <c r="G50" s="252"/>
      <c r="H50" s="252"/>
      <c r="I50" s="252"/>
      <c r="J50" s="252"/>
      <c r="K50" s="252"/>
      <c r="L50" s="252"/>
      <c r="M50" s="252"/>
      <c r="N50" s="252"/>
      <c r="O50" s="252"/>
      <c r="P50" s="252"/>
      <c r="Q50" s="252"/>
      <c r="R50" s="252"/>
      <c r="S50" s="252"/>
      <c r="T50" s="252"/>
      <c r="U50" s="252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61" s="189" customFormat="1" ht="18">
      <c r="A51" s="188"/>
      <c r="B51" s="188"/>
      <c r="C51" s="188"/>
      <c r="D51" s="188"/>
      <c r="E51" s="188"/>
      <c r="F51" s="188"/>
      <c r="G51" s="188"/>
      <c r="H51" s="188"/>
      <c r="I51" s="188"/>
      <c r="J51" s="188"/>
      <c r="K51" s="188"/>
      <c r="L51" s="188"/>
      <c r="M51" s="188"/>
      <c r="N51" s="188"/>
      <c r="O51" s="188"/>
      <c r="P51" s="188"/>
      <c r="Q51" s="188"/>
      <c r="R51" s="188"/>
      <c r="S51" s="188"/>
      <c r="T51" s="188"/>
      <c r="U51" s="188"/>
      <c r="V51" s="188"/>
      <c r="W51" s="188"/>
      <c r="X51" s="188"/>
      <c r="Y51" s="188"/>
      <c r="Z51" s="188"/>
      <c r="AA51" s="188"/>
      <c r="AB51" s="188"/>
      <c r="AC51" s="188"/>
      <c r="AD51" s="188"/>
      <c r="AE51" s="188"/>
      <c r="AF51" s="188"/>
      <c r="AG51" s="188"/>
      <c r="AH51" s="188"/>
      <c r="AI51" s="188"/>
      <c r="AJ51" s="188"/>
      <c r="AK51" s="188"/>
      <c r="AL51" s="188"/>
      <c r="AM51" s="188"/>
      <c r="AN51" s="188"/>
      <c r="AO51" s="188"/>
      <c r="AP51" s="188"/>
      <c r="AQ51" s="188"/>
      <c r="AR51" s="188"/>
      <c r="AS51" s="188"/>
      <c r="AT51" s="188"/>
      <c r="AU51" s="188"/>
      <c r="AV51" s="188"/>
      <c r="BD51" s="191"/>
    </row>
    <row r="52" spans="1:61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61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1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295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1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1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12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1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1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  <row r="72" spans="57:61">
      <c r="BE72">
        <v>7</v>
      </c>
      <c r="BI72" t="s">
        <v>84</v>
      </c>
    </row>
  </sheetData>
  <sheetProtection selectLockedCells="1" selectUnlockedCells="1"/>
  <mergeCells count="52">
    <mergeCell ref="AL41:AM41"/>
    <mergeCell ref="AN41:AO41"/>
    <mergeCell ref="AP41:AQ41"/>
    <mergeCell ref="AR41:AS41"/>
    <mergeCell ref="AT41:AU41"/>
    <mergeCell ref="AV41:AW41"/>
    <mergeCell ref="Z41:AA41"/>
    <mergeCell ref="AB41:AC41"/>
    <mergeCell ref="AD41:AE41"/>
    <mergeCell ref="AF41:AG41"/>
    <mergeCell ref="AH41:AI41"/>
    <mergeCell ref="AJ41:AK41"/>
    <mergeCell ref="N41:O41"/>
    <mergeCell ref="P41:Q41"/>
    <mergeCell ref="R41:S41"/>
    <mergeCell ref="T41:U41"/>
    <mergeCell ref="V41:W41"/>
    <mergeCell ref="X41:Y41"/>
    <mergeCell ref="B41:C41"/>
    <mergeCell ref="D41:E41"/>
    <mergeCell ref="F41:G41"/>
    <mergeCell ref="H41:I41"/>
    <mergeCell ref="J41:K41"/>
    <mergeCell ref="L41:M41"/>
    <mergeCell ref="AL7:AM7"/>
    <mergeCell ref="AN7:AO7"/>
    <mergeCell ref="AP7:AQ7"/>
    <mergeCell ref="AR7:AS7"/>
    <mergeCell ref="AT7:AU7"/>
    <mergeCell ref="AV7:AW7"/>
    <mergeCell ref="Z7:AA7"/>
    <mergeCell ref="AB7:AC7"/>
    <mergeCell ref="AD7:AE7"/>
    <mergeCell ref="AF7:AG7"/>
    <mergeCell ref="AH7:AI7"/>
    <mergeCell ref="AJ7:AK7"/>
    <mergeCell ref="N7:O7"/>
    <mergeCell ref="P7:Q7"/>
    <mergeCell ref="R7:S7"/>
    <mergeCell ref="T7:U7"/>
    <mergeCell ref="V7:W7"/>
    <mergeCell ref="X7:Y7"/>
    <mergeCell ref="G2:I2"/>
    <mergeCell ref="AY4:BB4"/>
    <mergeCell ref="BE4:BH4"/>
    <mergeCell ref="AY5:BB5"/>
    <mergeCell ref="B7:C7"/>
    <mergeCell ref="D7:E7"/>
    <mergeCell ref="F7:G7"/>
    <mergeCell ref="H7:I7"/>
    <mergeCell ref="J7:K7"/>
    <mergeCell ref="L7:M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58"/>
  <sheetViews>
    <sheetView showGridLines="0" defaultGridColor="0" colorId="8" zoomScale="60" zoomScaleNormal="60" workbookViewId="0">
      <selection activeCell="B5" sqref="B5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193" customWidth="1"/>
    <col min="57" max="58" width="13.140625" customWidth="1"/>
    <col min="59" max="59" width="12.42578125" customWidth="1"/>
    <col min="60" max="60" width="14.42578125" customWidth="1"/>
  </cols>
  <sheetData>
    <row r="1" spans="1:61" s="6" customFormat="1" ht="21" customHeight="1">
      <c r="A1" s="1"/>
      <c r="B1" s="2" t="s">
        <v>85</v>
      </c>
      <c r="C1" s="3"/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1"/>
      <c r="B2" s="7" t="s">
        <v>77</v>
      </c>
      <c r="C2" s="8"/>
      <c r="D2" s="8"/>
      <c r="E2" s="8"/>
      <c r="F2" s="9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  <c r="BE2" s="313"/>
      <c r="BF2" s="313"/>
      <c r="BG2" s="313"/>
      <c r="BH2" s="313"/>
    </row>
    <row r="3" spans="1:61" s="6" customFormat="1" ht="21" customHeight="1" thickBot="1">
      <c r="A3" s="1"/>
      <c r="B3" s="194" t="s">
        <v>78</v>
      </c>
      <c r="C3" s="8"/>
      <c r="D3" s="8"/>
      <c r="E3" s="8"/>
      <c r="F3" s="9"/>
      <c r="G3" s="296"/>
      <c r="H3" s="296"/>
      <c r="I3" s="296"/>
      <c r="J3" s="1"/>
      <c r="K3" s="1"/>
      <c r="L3" s="1"/>
      <c r="M3" s="3" t="s">
        <v>8</v>
      </c>
      <c r="N3" s="1"/>
      <c r="O3" s="1"/>
      <c r="P3" s="1"/>
      <c r="Q3" s="1"/>
      <c r="R3" s="1"/>
      <c r="S3" s="1"/>
      <c r="T3" s="1"/>
      <c r="U3" s="1"/>
      <c r="V3" s="1"/>
      <c r="W3" s="13"/>
      <c r="X3" s="13"/>
      <c r="Y3" s="13"/>
      <c r="Z3" s="13"/>
      <c r="AA3" s="13"/>
      <c r="AB3" s="13"/>
      <c r="AC3" s="13"/>
      <c r="AD3" s="13"/>
      <c r="AE3" s="1"/>
      <c r="AF3" s="1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  <c r="BE3" s="314"/>
      <c r="BF3" s="315"/>
      <c r="BG3" s="187"/>
      <c r="BH3" s="187"/>
    </row>
    <row r="4" spans="1:61" ht="21" customHeight="1" thickBot="1">
      <c r="A4" s="195"/>
      <c r="B4" s="196"/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  <c r="X4" s="196"/>
      <c r="Y4" s="196"/>
      <c r="Z4" s="196"/>
      <c r="AA4" s="196"/>
      <c r="AB4" s="196"/>
      <c r="AC4" s="196"/>
      <c r="AD4" s="196"/>
      <c r="AE4" s="196"/>
      <c r="AF4" s="196"/>
      <c r="AG4" s="196"/>
      <c r="AH4" s="196"/>
      <c r="AI4" s="196"/>
      <c r="AJ4" s="196"/>
      <c r="AK4" s="196"/>
      <c r="AL4" s="196"/>
      <c r="AM4" s="196"/>
      <c r="AN4" s="196"/>
      <c r="AO4" s="196"/>
      <c r="AP4" s="196"/>
      <c r="AQ4" s="196"/>
      <c r="AR4" s="196"/>
      <c r="AS4" s="196"/>
      <c r="AT4" s="196"/>
      <c r="AU4" s="196"/>
      <c r="AV4" s="196"/>
      <c r="AW4" s="196"/>
      <c r="AX4" s="196"/>
      <c r="AY4" s="18" t="s">
        <v>9</v>
      </c>
      <c r="AZ4" s="18"/>
      <c r="BA4" s="18"/>
      <c r="BB4" s="18"/>
      <c r="BC4" s="17"/>
      <c r="BD4" s="19"/>
      <c r="BE4" s="37" t="s">
        <v>9</v>
      </c>
      <c r="BF4" s="37"/>
      <c r="BG4" s="18"/>
      <c r="BH4" s="18"/>
    </row>
    <row r="5" spans="1:61" ht="21" customHeight="1" thickBo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"/>
      <c r="AS5" s="1"/>
      <c r="AT5" s="1"/>
      <c r="AU5" s="1"/>
      <c r="AV5" s="1"/>
      <c r="AW5" s="1"/>
      <c r="AX5" s="17"/>
      <c r="AY5" s="25" t="s">
        <v>11</v>
      </c>
      <c r="AZ5" s="25"/>
      <c r="BA5" s="25"/>
      <c r="BB5" s="25"/>
      <c r="BC5" s="17"/>
      <c r="BD5" s="19"/>
      <c r="BE5" s="26" t="s">
        <v>12</v>
      </c>
      <c r="BF5" s="27" t="s">
        <v>13</v>
      </c>
      <c r="BG5" s="28" t="s">
        <v>14</v>
      </c>
      <c r="BH5" s="29"/>
    </row>
    <row r="6" spans="1:61" ht="21" customHeight="1" thickBot="1">
      <c r="A6" s="30"/>
      <c r="B6" s="31"/>
      <c r="C6" s="32"/>
      <c r="D6" s="31"/>
      <c r="E6" s="32"/>
      <c r="F6" s="31"/>
      <c r="G6" s="32"/>
      <c r="H6" s="31"/>
      <c r="I6" s="32"/>
      <c r="J6" s="31"/>
      <c r="K6" s="32"/>
      <c r="L6" s="31"/>
      <c r="M6" s="32"/>
      <c r="N6" s="31"/>
      <c r="O6" s="32"/>
      <c r="P6" s="31"/>
      <c r="Q6" s="32"/>
      <c r="R6" s="31"/>
      <c r="S6" s="32"/>
      <c r="T6" s="31"/>
      <c r="U6" s="32"/>
      <c r="V6" s="31"/>
      <c r="W6" s="32"/>
      <c r="X6" s="31"/>
      <c r="Y6" s="32"/>
      <c r="Z6" s="31"/>
      <c r="AA6" s="32"/>
      <c r="AB6" s="31"/>
      <c r="AC6" s="32"/>
      <c r="AD6" s="31"/>
      <c r="AE6" s="32"/>
      <c r="AF6" s="31"/>
      <c r="AG6" s="32"/>
      <c r="AH6" s="31"/>
      <c r="AI6" s="32"/>
      <c r="AJ6" s="31"/>
      <c r="AK6" s="32"/>
      <c r="AL6" s="31"/>
      <c r="AM6" s="32"/>
      <c r="AN6" s="31"/>
      <c r="AO6" s="32"/>
      <c r="AP6" s="31"/>
      <c r="AQ6" s="32"/>
      <c r="AR6" s="31"/>
      <c r="AS6" s="32"/>
      <c r="AT6" s="31"/>
      <c r="AU6" s="32"/>
      <c r="AV6" s="31"/>
      <c r="AW6" s="32"/>
      <c r="AX6" s="31"/>
      <c r="AY6" s="33" t="s">
        <v>15</v>
      </c>
      <c r="AZ6" s="33" t="s">
        <v>16</v>
      </c>
      <c r="BA6" s="34" t="s">
        <v>17</v>
      </c>
      <c r="BB6" s="34"/>
      <c r="BC6" s="17"/>
      <c r="BD6" s="19"/>
      <c r="BE6" s="35" t="s">
        <v>15</v>
      </c>
      <c r="BF6" s="35"/>
      <c r="BG6" s="35" t="s">
        <v>17</v>
      </c>
      <c r="BH6" s="35"/>
    </row>
    <row r="7" spans="1:61" ht="21" customHeight="1" thickBot="1">
      <c r="A7" s="36" t="s">
        <v>18</v>
      </c>
      <c r="B7" s="37" t="s">
        <v>19</v>
      </c>
      <c r="C7" s="37"/>
      <c r="D7" s="38" t="s">
        <v>20</v>
      </c>
      <c r="E7" s="38"/>
      <c r="F7" s="37" t="s">
        <v>21</v>
      </c>
      <c r="G7" s="37"/>
      <c r="H7" s="37" t="s">
        <v>22</v>
      </c>
      <c r="I7" s="37"/>
      <c r="J7" s="39" t="s">
        <v>23</v>
      </c>
      <c r="K7" s="39"/>
      <c r="L7" s="37" t="s">
        <v>24</v>
      </c>
      <c r="M7" s="37"/>
      <c r="N7" s="37" t="s">
        <v>25</v>
      </c>
      <c r="O7" s="37"/>
      <c r="P7" s="37" t="s">
        <v>26</v>
      </c>
      <c r="Q7" s="37"/>
      <c r="R7" s="37" t="s">
        <v>27</v>
      </c>
      <c r="S7" s="37"/>
      <c r="T7" s="37" t="s">
        <v>28</v>
      </c>
      <c r="U7" s="37"/>
      <c r="V7" s="37" t="s">
        <v>29</v>
      </c>
      <c r="W7" s="37"/>
      <c r="X7" s="37" t="s">
        <v>30</v>
      </c>
      <c r="Y7" s="37"/>
      <c r="Z7" s="40" t="s">
        <v>31</v>
      </c>
      <c r="AA7" s="40"/>
      <c r="AB7" s="37" t="s">
        <v>32</v>
      </c>
      <c r="AC7" s="37"/>
      <c r="AD7" s="37" t="s">
        <v>33</v>
      </c>
      <c r="AE7" s="37"/>
      <c r="AF7" s="37" t="s">
        <v>34</v>
      </c>
      <c r="AG7" s="37"/>
      <c r="AH7" s="37" t="s">
        <v>35</v>
      </c>
      <c r="AI7" s="37"/>
      <c r="AJ7" s="37" t="s">
        <v>36</v>
      </c>
      <c r="AK7" s="37"/>
      <c r="AL7" s="37" t="s">
        <v>37</v>
      </c>
      <c r="AM7" s="37"/>
      <c r="AN7" s="37" t="s">
        <v>38</v>
      </c>
      <c r="AO7" s="37"/>
      <c r="AP7" s="37" t="s">
        <v>39</v>
      </c>
      <c r="AQ7" s="37"/>
      <c r="AR7" s="37" t="s">
        <v>40</v>
      </c>
      <c r="AS7" s="37"/>
      <c r="AT7" s="37" t="s">
        <v>41</v>
      </c>
      <c r="AU7" s="37"/>
      <c r="AV7" s="37" t="s">
        <v>42</v>
      </c>
      <c r="AW7" s="37"/>
      <c r="AX7" s="41" t="s">
        <v>18</v>
      </c>
      <c r="AY7" s="35" t="s">
        <v>43</v>
      </c>
      <c r="AZ7" s="35" t="s">
        <v>43</v>
      </c>
      <c r="BA7" s="35" t="s">
        <v>44</v>
      </c>
      <c r="BB7" s="35" t="s">
        <v>45</v>
      </c>
      <c r="BC7" s="42"/>
      <c r="BD7" s="197"/>
      <c r="BE7" s="35" t="s">
        <v>43</v>
      </c>
      <c r="BF7" s="35"/>
      <c r="BG7" s="35" t="s">
        <v>44</v>
      </c>
      <c r="BH7" s="35"/>
    </row>
    <row r="8" spans="1:61" ht="21" customHeight="1" thickBot="1">
      <c r="A8" s="43" t="s">
        <v>46</v>
      </c>
      <c r="B8" s="198" t="s">
        <v>47</v>
      </c>
      <c r="C8" s="199" t="s">
        <v>48</v>
      </c>
      <c r="D8" s="200" t="s">
        <v>47</v>
      </c>
      <c r="E8" s="201" t="s">
        <v>48</v>
      </c>
      <c r="F8" s="200" t="s">
        <v>47</v>
      </c>
      <c r="G8" s="202" t="s">
        <v>48</v>
      </c>
      <c r="H8" s="200" t="s">
        <v>47</v>
      </c>
      <c r="I8" s="202" t="s">
        <v>48</v>
      </c>
      <c r="J8" s="200" t="s">
        <v>47</v>
      </c>
      <c r="K8" s="202" t="s">
        <v>48</v>
      </c>
      <c r="L8" s="200" t="s">
        <v>47</v>
      </c>
      <c r="M8" s="202" t="s">
        <v>48</v>
      </c>
      <c r="N8" s="200" t="s">
        <v>47</v>
      </c>
      <c r="O8" s="202" t="s">
        <v>48</v>
      </c>
      <c r="P8" s="200" t="s">
        <v>47</v>
      </c>
      <c r="Q8" s="202" t="s">
        <v>48</v>
      </c>
      <c r="R8" s="200" t="s">
        <v>47</v>
      </c>
      <c r="S8" s="202" t="s">
        <v>48</v>
      </c>
      <c r="T8" s="200" t="s">
        <v>47</v>
      </c>
      <c r="U8" s="202" t="s">
        <v>48</v>
      </c>
      <c r="V8" s="200" t="s">
        <v>47</v>
      </c>
      <c r="W8" s="202" t="s">
        <v>48</v>
      </c>
      <c r="X8" s="200" t="s">
        <v>47</v>
      </c>
      <c r="Y8" s="202" t="s">
        <v>48</v>
      </c>
      <c r="Z8" s="200" t="s">
        <v>47</v>
      </c>
      <c r="AA8" s="202" t="s">
        <v>48</v>
      </c>
      <c r="AB8" s="200" t="s">
        <v>47</v>
      </c>
      <c r="AC8" s="202" t="s">
        <v>48</v>
      </c>
      <c r="AD8" s="200" t="s">
        <v>47</v>
      </c>
      <c r="AE8" s="202" t="s">
        <v>48</v>
      </c>
      <c r="AF8" s="200" t="s">
        <v>47</v>
      </c>
      <c r="AG8" s="202" t="s">
        <v>48</v>
      </c>
      <c r="AH8" s="200" t="s">
        <v>47</v>
      </c>
      <c r="AI8" s="202" t="s">
        <v>48</v>
      </c>
      <c r="AJ8" s="200" t="s">
        <v>47</v>
      </c>
      <c r="AK8" s="203" t="s">
        <v>48</v>
      </c>
      <c r="AL8" s="200" t="s">
        <v>47</v>
      </c>
      <c r="AM8" s="202" t="s">
        <v>48</v>
      </c>
      <c r="AN8" s="200" t="s">
        <v>47</v>
      </c>
      <c r="AO8" s="202" t="s">
        <v>48</v>
      </c>
      <c r="AP8" s="200" t="s">
        <v>47</v>
      </c>
      <c r="AQ8" s="203" t="s">
        <v>48</v>
      </c>
      <c r="AR8" s="200" t="s">
        <v>47</v>
      </c>
      <c r="AS8" s="202" t="s">
        <v>48</v>
      </c>
      <c r="AT8" s="204" t="s">
        <v>47</v>
      </c>
      <c r="AU8" s="205" t="s">
        <v>48</v>
      </c>
      <c r="AV8" s="204" t="s">
        <v>47</v>
      </c>
      <c r="AW8" s="205" t="s">
        <v>48</v>
      </c>
      <c r="AX8" s="52" t="s">
        <v>46</v>
      </c>
      <c r="AY8" s="53" t="s">
        <v>49</v>
      </c>
      <c r="AZ8" s="53" t="s">
        <v>50</v>
      </c>
      <c r="BA8" s="54" t="s">
        <v>51</v>
      </c>
      <c r="BB8" s="54" t="s">
        <v>52</v>
      </c>
      <c r="BC8" s="206"/>
      <c r="BD8" s="197"/>
      <c r="BE8" s="54" t="s">
        <v>49</v>
      </c>
      <c r="BF8" s="54"/>
      <c r="BG8" s="54" t="s">
        <v>51</v>
      </c>
      <c r="BH8" s="54" t="s">
        <v>52</v>
      </c>
    </row>
    <row r="9" spans="1:61" ht="21" customHeight="1" thickBot="1">
      <c r="A9" s="71">
        <v>1</v>
      </c>
      <c r="B9" s="256"/>
      <c r="C9" s="257"/>
      <c r="D9" s="258"/>
      <c r="E9" s="257"/>
      <c r="F9" s="258"/>
      <c r="G9" s="257"/>
      <c r="H9" s="258"/>
      <c r="I9" s="257"/>
      <c r="J9" s="258"/>
      <c r="K9" s="257"/>
      <c r="L9" s="258"/>
      <c r="M9" s="257"/>
      <c r="N9" s="258"/>
      <c r="O9" s="257"/>
      <c r="P9" s="258"/>
      <c r="Q9" s="257"/>
      <c r="R9" s="258"/>
      <c r="S9" s="257"/>
      <c r="T9" s="258"/>
      <c r="U9" s="257"/>
      <c r="V9" s="258"/>
      <c r="W9" s="257"/>
      <c r="X9" s="258"/>
      <c r="Y9" s="257"/>
      <c r="Z9" s="258"/>
      <c r="AA9" s="257"/>
      <c r="AB9" s="258"/>
      <c r="AC9" s="257"/>
      <c r="AD9" s="258"/>
      <c r="AE9" s="257"/>
      <c r="AF9" s="258"/>
      <c r="AG9" s="257"/>
      <c r="AH9" s="258"/>
      <c r="AI9" s="257"/>
      <c r="AJ9" s="258"/>
      <c r="AK9" s="265"/>
      <c r="AL9" s="258"/>
      <c r="AM9" s="257"/>
      <c r="AN9" s="258"/>
      <c r="AO9" s="257"/>
      <c r="AP9" s="258"/>
      <c r="AQ9" s="265"/>
      <c r="AR9" s="258"/>
      <c r="AS9" s="257"/>
      <c r="AT9" s="258"/>
      <c r="AU9" s="265"/>
      <c r="AV9" s="256"/>
      <c r="AW9" s="262"/>
      <c r="AX9" s="91">
        <v>1</v>
      </c>
      <c r="AY9" s="92">
        <f t="shared" ref="AY9:AZ38" si="0">B9+D9+F9+H9+J9+L9+N9+P9+R9+T9+V9+X9+Z9+AB9+AD9+AF9+AH9+AJ9+AL9+AN9+AP9+AR9+AT9+AV9</f>
        <v>0</v>
      </c>
      <c r="AZ9" s="93">
        <f t="shared" si="0"/>
        <v>0</v>
      </c>
      <c r="BA9" s="94">
        <f t="shared" ref="BA9:BA39" si="1">MAX(B9,D9,F9,H9,J9,L9,N9,P9,R9,T9,V9,X9,Z9,AB9,AD9,AF9,AH9,AJ9,AL9,AN9,AP9,AR9,AT9,AV9)</f>
        <v>0</v>
      </c>
      <c r="BB9" s="95">
        <f t="shared" ref="BB9:BB39" si="2">COUNT(B9,D9,F9,H9,J9,L9,N9,P9,R9,T9,V9,X9,Z9,AB9,AD9,AF9,AH9,AJ9,AL9,AN9,AP9,AR9,AT9,AV9)</f>
        <v>0</v>
      </c>
      <c r="BC9" s="214"/>
      <c r="BD9" s="197">
        <f t="shared" ref="BD9:BD39" si="3">IF(BB9&gt;0,1,0)</f>
        <v>0</v>
      </c>
      <c r="BE9" s="264">
        <f>julho!$BH40</f>
        <v>0</v>
      </c>
      <c r="BF9" s="85">
        <v>39294</v>
      </c>
      <c r="BG9" s="86">
        <f>agosto!$BE10</f>
        <v>0</v>
      </c>
      <c r="BH9" s="87"/>
      <c r="BI9" s="197">
        <f>IF(BH9&gt;0,1,0)</f>
        <v>0</v>
      </c>
    </row>
    <row r="10" spans="1:61" ht="21" customHeight="1" thickBot="1">
      <c r="A10" s="71">
        <v>2</v>
      </c>
      <c r="B10" s="258"/>
      <c r="C10" s="257"/>
      <c r="D10" s="258"/>
      <c r="E10" s="257"/>
      <c r="F10" s="258"/>
      <c r="G10" s="257"/>
      <c r="H10" s="258"/>
      <c r="I10" s="257"/>
      <c r="J10" s="258"/>
      <c r="K10" s="257"/>
      <c r="L10" s="258"/>
      <c r="M10" s="257"/>
      <c r="N10" s="258"/>
      <c r="O10" s="257"/>
      <c r="P10" s="258"/>
      <c r="Q10" s="257"/>
      <c r="R10" s="258"/>
      <c r="S10" s="257"/>
      <c r="T10" s="258"/>
      <c r="U10" s="257"/>
      <c r="V10" s="258"/>
      <c r="W10" s="257"/>
      <c r="X10" s="258"/>
      <c r="Y10" s="257"/>
      <c r="Z10" s="258"/>
      <c r="AA10" s="257"/>
      <c r="AB10" s="258"/>
      <c r="AC10" s="257"/>
      <c r="AD10" s="258"/>
      <c r="AE10" s="257"/>
      <c r="AF10" s="258"/>
      <c r="AG10" s="257"/>
      <c r="AH10" s="258"/>
      <c r="AI10" s="257"/>
      <c r="AJ10" s="258"/>
      <c r="AK10" s="265"/>
      <c r="AL10" s="258"/>
      <c r="AM10" s="257"/>
      <c r="AN10" s="258"/>
      <c r="AO10" s="257"/>
      <c r="AP10" s="258"/>
      <c r="AQ10" s="265"/>
      <c r="AR10" s="258"/>
      <c r="AS10" s="257"/>
      <c r="AT10" s="258"/>
      <c r="AU10" s="265"/>
      <c r="AV10" s="258"/>
      <c r="AW10" s="265"/>
      <c r="AX10" s="91">
        <v>2</v>
      </c>
      <c r="AY10" s="92">
        <f t="shared" si="0"/>
        <v>0</v>
      </c>
      <c r="AZ10" s="93">
        <f t="shared" si="0"/>
        <v>0</v>
      </c>
      <c r="BA10" s="94">
        <f t="shared" si="1"/>
        <v>0</v>
      </c>
      <c r="BB10" s="95">
        <f t="shared" si="2"/>
        <v>0</v>
      </c>
      <c r="BC10" s="214"/>
      <c r="BD10" s="197">
        <f t="shared" si="3"/>
        <v>0</v>
      </c>
      <c r="BE10" s="84">
        <f>P9+R9+T9+V9+X9+Z9+AB9+AD9+AF9+AH9+AJ9+AL9+AN9+AP9+AR9+AT9+AV9+B10+D10+F10+H10+J10+L10+N10</f>
        <v>0</v>
      </c>
      <c r="BF10" s="96"/>
      <c r="BG10" s="86">
        <f>agosto!$BE11</f>
        <v>0</v>
      </c>
      <c r="BH10" s="97"/>
      <c r="BI10" s="197">
        <f>IF(BH10&gt;0,1,0)</f>
        <v>0</v>
      </c>
    </row>
    <row r="11" spans="1:61" ht="21" customHeight="1">
      <c r="A11" s="71">
        <v>3</v>
      </c>
      <c r="B11" s="258"/>
      <c r="C11" s="257"/>
      <c r="D11" s="258"/>
      <c r="E11" s="257"/>
      <c r="F11" s="258"/>
      <c r="G11" s="257"/>
      <c r="H11" s="258"/>
      <c r="I11" s="257"/>
      <c r="J11" s="258"/>
      <c r="K11" s="257"/>
      <c r="L11" s="258"/>
      <c r="M11" s="257"/>
      <c r="N11" s="258"/>
      <c r="O11" s="257"/>
      <c r="P11" s="258"/>
      <c r="Q11" s="257"/>
      <c r="R11" s="258"/>
      <c r="S11" s="257"/>
      <c r="T11" s="258"/>
      <c r="U11" s="257"/>
      <c r="V11" s="258"/>
      <c r="W11" s="257"/>
      <c r="X11" s="258"/>
      <c r="Y11" s="257"/>
      <c r="Z11" s="258"/>
      <c r="AA11" s="257"/>
      <c r="AB11" s="258"/>
      <c r="AC11" s="257"/>
      <c r="AD11" s="258"/>
      <c r="AE11" s="257"/>
      <c r="AF11" s="258"/>
      <c r="AG11" s="257"/>
      <c r="AH11" s="258"/>
      <c r="AI11" s="257"/>
      <c r="AJ11" s="258"/>
      <c r="AK11" s="265"/>
      <c r="AL11" s="258"/>
      <c r="AM11" s="257"/>
      <c r="AN11" s="258"/>
      <c r="AO11" s="257"/>
      <c r="AP11" s="258"/>
      <c r="AQ11" s="265"/>
      <c r="AR11" s="258"/>
      <c r="AS11" s="257"/>
      <c r="AT11" s="258"/>
      <c r="AU11" s="265"/>
      <c r="AV11" s="258"/>
      <c r="AW11" s="265"/>
      <c r="AX11" s="91">
        <v>3</v>
      </c>
      <c r="AY11" s="92">
        <f t="shared" si="0"/>
        <v>0</v>
      </c>
      <c r="AZ11" s="93">
        <f t="shared" si="0"/>
        <v>0</v>
      </c>
      <c r="BA11" s="94">
        <f t="shared" si="1"/>
        <v>0</v>
      </c>
      <c r="BB11" s="95">
        <f t="shared" si="2"/>
        <v>0</v>
      </c>
      <c r="BC11" s="214"/>
      <c r="BD11" s="197">
        <f t="shared" si="3"/>
        <v>0</v>
      </c>
      <c r="BE11" s="98">
        <f t="shared" ref="BE11:BE38" si="4">P10+R10+T10+V10+X10+Z10+AB10+AD10+AF10+AH10+AJ10+AL10+AN10+AP10+AR10+AT10+AV10+B11+D11+F11+H11+J11+L11+N11</f>
        <v>0</v>
      </c>
      <c r="BF11" s="99"/>
      <c r="BG11" s="86">
        <f>agosto!$BE12</f>
        <v>0</v>
      </c>
      <c r="BH11" s="97"/>
      <c r="BI11" s="197">
        <f t="shared" ref="BI11:BI39" si="5">IF(BH11&gt;0,1,0)</f>
        <v>0</v>
      </c>
    </row>
    <row r="12" spans="1:61" ht="21" customHeight="1">
      <c r="A12" s="71">
        <v>4</v>
      </c>
      <c r="B12" s="258"/>
      <c r="C12" s="257"/>
      <c r="D12" s="258"/>
      <c r="E12" s="257"/>
      <c r="F12" s="258"/>
      <c r="G12" s="257"/>
      <c r="H12" s="258"/>
      <c r="I12" s="257"/>
      <c r="J12" s="258"/>
      <c r="K12" s="257"/>
      <c r="L12" s="258"/>
      <c r="M12" s="257"/>
      <c r="N12" s="258"/>
      <c r="O12" s="257"/>
      <c r="P12" s="258"/>
      <c r="Q12" s="257"/>
      <c r="R12" s="258"/>
      <c r="S12" s="257"/>
      <c r="T12" s="266"/>
      <c r="U12" s="257"/>
      <c r="V12" s="258"/>
      <c r="W12" s="257"/>
      <c r="X12" s="258"/>
      <c r="Y12" s="257"/>
      <c r="Z12" s="258"/>
      <c r="AA12" s="257"/>
      <c r="AB12" s="258"/>
      <c r="AC12" s="257"/>
      <c r="AD12" s="258"/>
      <c r="AE12" s="257"/>
      <c r="AF12" s="258"/>
      <c r="AG12" s="257"/>
      <c r="AH12" s="258"/>
      <c r="AI12" s="257"/>
      <c r="AJ12" s="258"/>
      <c r="AK12" s="265"/>
      <c r="AL12" s="258"/>
      <c r="AM12" s="257"/>
      <c r="AN12" s="258"/>
      <c r="AO12" s="257"/>
      <c r="AP12" s="258"/>
      <c r="AQ12" s="265"/>
      <c r="AR12" s="258"/>
      <c r="AS12" s="257"/>
      <c r="AT12" s="258"/>
      <c r="AU12" s="265"/>
      <c r="AV12" s="258"/>
      <c r="AW12" s="265"/>
      <c r="AX12" s="91">
        <v>4</v>
      </c>
      <c r="AY12" s="92">
        <f t="shared" si="0"/>
        <v>0</v>
      </c>
      <c r="AZ12" s="93">
        <f t="shared" si="0"/>
        <v>0</v>
      </c>
      <c r="BA12" s="94">
        <f t="shared" si="1"/>
        <v>0</v>
      </c>
      <c r="BB12" s="95">
        <f t="shared" si="2"/>
        <v>0</v>
      </c>
      <c r="BC12" s="214"/>
      <c r="BD12" s="197">
        <f t="shared" si="3"/>
        <v>0</v>
      </c>
      <c r="BE12" s="98">
        <f t="shared" si="4"/>
        <v>0</v>
      </c>
      <c r="BF12" s="99"/>
      <c r="BG12" s="86">
        <f>agosto!$BE13</f>
        <v>0</v>
      </c>
      <c r="BH12" s="97"/>
      <c r="BI12" s="197">
        <f t="shared" si="5"/>
        <v>0</v>
      </c>
    </row>
    <row r="13" spans="1:61" ht="21" customHeight="1">
      <c r="A13" s="71">
        <v>5</v>
      </c>
      <c r="B13" s="258"/>
      <c r="C13" s="257"/>
      <c r="D13" s="258"/>
      <c r="E13" s="257"/>
      <c r="F13" s="258"/>
      <c r="G13" s="257"/>
      <c r="H13" s="258"/>
      <c r="I13" s="257"/>
      <c r="J13" s="258"/>
      <c r="K13" s="257"/>
      <c r="L13" s="258"/>
      <c r="M13" s="257"/>
      <c r="N13" s="258"/>
      <c r="O13" s="257"/>
      <c r="P13" s="258"/>
      <c r="Q13" s="257"/>
      <c r="R13" s="258"/>
      <c r="S13" s="257"/>
      <c r="T13" s="258"/>
      <c r="U13" s="257"/>
      <c r="V13" s="258"/>
      <c r="W13" s="257"/>
      <c r="X13" s="258"/>
      <c r="Y13" s="257"/>
      <c r="Z13" s="258"/>
      <c r="AA13" s="257"/>
      <c r="AB13" s="258"/>
      <c r="AC13" s="257"/>
      <c r="AD13" s="258"/>
      <c r="AE13" s="257"/>
      <c r="AF13" s="258"/>
      <c r="AG13" s="257"/>
      <c r="AH13" s="258"/>
      <c r="AI13" s="257"/>
      <c r="AJ13" s="258"/>
      <c r="AK13" s="265"/>
      <c r="AL13" s="258"/>
      <c r="AM13" s="257"/>
      <c r="AN13" s="258"/>
      <c r="AO13" s="257"/>
      <c r="AP13" s="258"/>
      <c r="AQ13" s="265"/>
      <c r="AR13" s="258"/>
      <c r="AS13" s="257"/>
      <c r="AT13" s="258"/>
      <c r="AU13" s="265"/>
      <c r="AV13" s="258"/>
      <c r="AW13" s="265"/>
      <c r="AX13" s="91">
        <v>5</v>
      </c>
      <c r="AY13" s="92">
        <f t="shared" si="0"/>
        <v>0</v>
      </c>
      <c r="AZ13" s="93">
        <f t="shared" si="0"/>
        <v>0</v>
      </c>
      <c r="BA13" s="94">
        <f t="shared" si="1"/>
        <v>0</v>
      </c>
      <c r="BB13" s="95">
        <f t="shared" si="2"/>
        <v>0</v>
      </c>
      <c r="BC13" s="214"/>
      <c r="BD13" s="197">
        <f t="shared" si="3"/>
        <v>0</v>
      </c>
      <c r="BE13" s="98">
        <f t="shared" si="4"/>
        <v>0</v>
      </c>
      <c r="BF13" s="99"/>
      <c r="BG13" s="86">
        <f>agosto!$BE14</f>
        <v>0</v>
      </c>
      <c r="BH13" s="97"/>
      <c r="BI13" s="197">
        <f t="shared" si="5"/>
        <v>0</v>
      </c>
    </row>
    <row r="14" spans="1:61" ht="21" customHeight="1">
      <c r="A14" s="71">
        <v>6</v>
      </c>
      <c r="B14" s="258"/>
      <c r="C14" s="257"/>
      <c r="D14" s="258"/>
      <c r="E14" s="257"/>
      <c r="F14" s="258"/>
      <c r="G14" s="257"/>
      <c r="H14" s="258"/>
      <c r="I14" s="257"/>
      <c r="J14" s="258"/>
      <c r="K14" s="257"/>
      <c r="L14" s="258"/>
      <c r="M14" s="257"/>
      <c r="N14" s="258"/>
      <c r="O14" s="257"/>
      <c r="P14" s="258"/>
      <c r="Q14" s="257"/>
      <c r="R14" s="258"/>
      <c r="S14" s="257"/>
      <c r="T14" s="258"/>
      <c r="U14" s="257"/>
      <c r="V14" s="258"/>
      <c r="W14" s="257"/>
      <c r="X14" s="258"/>
      <c r="Y14" s="257"/>
      <c r="Z14" s="258"/>
      <c r="AA14" s="257"/>
      <c r="AB14" s="258"/>
      <c r="AC14" s="257"/>
      <c r="AD14" s="258"/>
      <c r="AE14" s="257"/>
      <c r="AF14" s="258"/>
      <c r="AG14" s="257"/>
      <c r="AH14" s="258"/>
      <c r="AI14" s="257"/>
      <c r="AJ14" s="258"/>
      <c r="AK14" s="265"/>
      <c r="AL14" s="258"/>
      <c r="AM14" s="257"/>
      <c r="AN14" s="258"/>
      <c r="AO14" s="257"/>
      <c r="AP14" s="258"/>
      <c r="AQ14" s="265"/>
      <c r="AR14" s="258"/>
      <c r="AS14" s="257"/>
      <c r="AT14" s="258"/>
      <c r="AU14" s="265"/>
      <c r="AV14" s="258"/>
      <c r="AW14" s="265"/>
      <c r="AX14" s="91">
        <v>6</v>
      </c>
      <c r="AY14" s="92">
        <f t="shared" si="0"/>
        <v>0</v>
      </c>
      <c r="AZ14" s="93">
        <f t="shared" si="0"/>
        <v>0</v>
      </c>
      <c r="BA14" s="94">
        <f t="shared" si="1"/>
        <v>0</v>
      </c>
      <c r="BB14" s="95">
        <f t="shared" si="2"/>
        <v>0</v>
      </c>
      <c r="BC14" s="214"/>
      <c r="BD14" s="197">
        <f t="shared" si="3"/>
        <v>0</v>
      </c>
      <c r="BE14" s="98">
        <f t="shared" si="4"/>
        <v>0</v>
      </c>
      <c r="BF14" s="99"/>
      <c r="BG14" s="86">
        <f>agosto!$BE15</f>
        <v>0</v>
      </c>
      <c r="BH14" s="97"/>
      <c r="BI14" s="197">
        <f t="shared" si="5"/>
        <v>0</v>
      </c>
    </row>
    <row r="15" spans="1:61" ht="21" customHeight="1">
      <c r="A15" s="71">
        <v>7</v>
      </c>
      <c r="B15" s="258"/>
      <c r="C15" s="257"/>
      <c r="D15" s="258"/>
      <c r="E15" s="257"/>
      <c r="F15" s="258"/>
      <c r="G15" s="257"/>
      <c r="H15" s="258"/>
      <c r="I15" s="257"/>
      <c r="J15" s="258"/>
      <c r="K15" s="257"/>
      <c r="L15" s="258"/>
      <c r="M15" s="257"/>
      <c r="N15" s="258"/>
      <c r="O15" s="257"/>
      <c r="P15" s="258"/>
      <c r="Q15" s="257"/>
      <c r="R15" s="258"/>
      <c r="S15" s="257"/>
      <c r="T15" s="258"/>
      <c r="U15" s="257"/>
      <c r="V15" s="258"/>
      <c r="W15" s="257"/>
      <c r="X15" s="258"/>
      <c r="Y15" s="257"/>
      <c r="Z15" s="258"/>
      <c r="AA15" s="257"/>
      <c r="AB15" s="258"/>
      <c r="AC15" s="257"/>
      <c r="AD15" s="258"/>
      <c r="AE15" s="257"/>
      <c r="AF15" s="258"/>
      <c r="AG15" s="257"/>
      <c r="AH15" s="258"/>
      <c r="AI15" s="257"/>
      <c r="AJ15" s="258"/>
      <c r="AK15" s="265"/>
      <c r="AL15" s="258"/>
      <c r="AM15" s="257"/>
      <c r="AN15" s="258"/>
      <c r="AO15" s="257"/>
      <c r="AP15" s="258"/>
      <c r="AQ15" s="265"/>
      <c r="AR15" s="258"/>
      <c r="AS15" s="257"/>
      <c r="AT15" s="258"/>
      <c r="AU15" s="265"/>
      <c r="AV15" s="258"/>
      <c r="AW15" s="265"/>
      <c r="AX15" s="91">
        <v>7</v>
      </c>
      <c r="AY15" s="92">
        <f t="shared" si="0"/>
        <v>0</v>
      </c>
      <c r="AZ15" s="93">
        <f t="shared" si="0"/>
        <v>0</v>
      </c>
      <c r="BA15" s="94">
        <f t="shared" si="1"/>
        <v>0</v>
      </c>
      <c r="BB15" s="95">
        <f t="shared" si="2"/>
        <v>0</v>
      </c>
      <c r="BC15" s="214"/>
      <c r="BD15" s="197">
        <f t="shared" si="3"/>
        <v>0</v>
      </c>
      <c r="BE15" s="98">
        <f t="shared" si="4"/>
        <v>0</v>
      </c>
      <c r="BF15" s="99"/>
      <c r="BG15" s="86">
        <f>agosto!$BE16</f>
        <v>0</v>
      </c>
      <c r="BH15" s="97"/>
      <c r="BI15" s="197">
        <f t="shared" si="5"/>
        <v>0</v>
      </c>
    </row>
    <row r="16" spans="1:61" ht="21" customHeight="1">
      <c r="A16" s="71">
        <v>8</v>
      </c>
      <c r="B16" s="258"/>
      <c r="C16" s="257"/>
      <c r="D16" s="258"/>
      <c r="E16" s="257"/>
      <c r="F16" s="258"/>
      <c r="G16" s="257"/>
      <c r="H16" s="258"/>
      <c r="I16" s="257"/>
      <c r="J16" s="258"/>
      <c r="K16" s="257"/>
      <c r="L16" s="258"/>
      <c r="M16" s="257"/>
      <c r="N16" s="258"/>
      <c r="O16" s="257"/>
      <c r="P16" s="258"/>
      <c r="Q16" s="257"/>
      <c r="R16" s="258"/>
      <c r="S16" s="257"/>
      <c r="T16" s="258"/>
      <c r="U16" s="257"/>
      <c r="V16" s="258"/>
      <c r="W16" s="257"/>
      <c r="X16" s="258"/>
      <c r="Y16" s="257"/>
      <c r="Z16" s="258"/>
      <c r="AA16" s="257"/>
      <c r="AB16" s="258"/>
      <c r="AC16" s="257"/>
      <c r="AD16" s="258"/>
      <c r="AE16" s="257"/>
      <c r="AF16" s="258"/>
      <c r="AG16" s="257"/>
      <c r="AH16" s="258"/>
      <c r="AI16" s="257"/>
      <c r="AJ16" s="258"/>
      <c r="AK16" s="265"/>
      <c r="AL16" s="258"/>
      <c r="AM16" s="257"/>
      <c r="AN16" s="258"/>
      <c r="AO16" s="257"/>
      <c r="AP16" s="258"/>
      <c r="AQ16" s="265"/>
      <c r="AR16" s="258"/>
      <c r="AS16" s="257"/>
      <c r="AT16" s="258"/>
      <c r="AU16" s="265"/>
      <c r="AV16" s="258"/>
      <c r="AW16" s="265"/>
      <c r="AX16" s="91">
        <v>8</v>
      </c>
      <c r="AY16" s="92">
        <f t="shared" si="0"/>
        <v>0</v>
      </c>
      <c r="AZ16" s="93">
        <f t="shared" si="0"/>
        <v>0</v>
      </c>
      <c r="BA16" s="94">
        <f t="shared" si="1"/>
        <v>0</v>
      </c>
      <c r="BB16" s="95">
        <f t="shared" si="2"/>
        <v>0</v>
      </c>
      <c r="BC16" s="216"/>
      <c r="BD16" s="197">
        <f t="shared" si="3"/>
        <v>0</v>
      </c>
      <c r="BE16" s="98">
        <f t="shared" si="4"/>
        <v>0</v>
      </c>
      <c r="BF16" s="99"/>
      <c r="BG16" s="86">
        <f>agosto!$BE17</f>
        <v>0.4</v>
      </c>
      <c r="BH16" s="97"/>
      <c r="BI16" s="197">
        <f t="shared" si="5"/>
        <v>0</v>
      </c>
    </row>
    <row r="17" spans="1:61" ht="21" customHeight="1">
      <c r="A17" s="71">
        <v>9</v>
      </c>
      <c r="B17" s="258"/>
      <c r="C17" s="257"/>
      <c r="D17" s="258"/>
      <c r="E17" s="257"/>
      <c r="F17" s="258"/>
      <c r="G17" s="257"/>
      <c r="H17" s="258"/>
      <c r="I17" s="257"/>
      <c r="J17" s="258">
        <v>0.2</v>
      </c>
      <c r="K17" s="257">
        <v>5</v>
      </c>
      <c r="L17" s="258">
        <v>0.1</v>
      </c>
      <c r="M17" s="257">
        <v>10</v>
      </c>
      <c r="N17" s="258">
        <v>0.1</v>
      </c>
      <c r="O17" s="257">
        <v>5</v>
      </c>
      <c r="P17" s="258">
        <v>0.2</v>
      </c>
      <c r="Q17" s="257">
        <v>20</v>
      </c>
      <c r="R17" s="258">
        <v>0.3</v>
      </c>
      <c r="S17" s="257">
        <v>60</v>
      </c>
      <c r="T17" s="258">
        <v>0.2</v>
      </c>
      <c r="U17" s="257">
        <v>10</v>
      </c>
      <c r="V17" s="258"/>
      <c r="W17" s="257"/>
      <c r="X17" s="258"/>
      <c r="Y17" s="257"/>
      <c r="Z17" s="258">
        <v>0.1</v>
      </c>
      <c r="AA17" s="257">
        <v>5</v>
      </c>
      <c r="AB17" s="258"/>
      <c r="AC17" s="257"/>
      <c r="AD17" s="258">
        <v>0.7</v>
      </c>
      <c r="AE17" s="257">
        <v>45</v>
      </c>
      <c r="AF17" s="258"/>
      <c r="AG17" s="257"/>
      <c r="AH17" s="258">
        <v>0.1</v>
      </c>
      <c r="AI17" s="257">
        <v>10</v>
      </c>
      <c r="AJ17" s="258">
        <v>0.6</v>
      </c>
      <c r="AK17" s="265">
        <v>50</v>
      </c>
      <c r="AL17" s="258">
        <v>1.2</v>
      </c>
      <c r="AM17" s="257">
        <v>60</v>
      </c>
      <c r="AN17" s="258">
        <v>1.2</v>
      </c>
      <c r="AO17" s="257">
        <v>60</v>
      </c>
      <c r="AP17" s="258">
        <v>6.2</v>
      </c>
      <c r="AQ17" s="265">
        <v>60</v>
      </c>
      <c r="AR17" s="258">
        <v>6.6</v>
      </c>
      <c r="AS17" s="257">
        <v>60</v>
      </c>
      <c r="AT17" s="258">
        <v>3.1</v>
      </c>
      <c r="AU17" s="265">
        <v>60</v>
      </c>
      <c r="AV17" s="258">
        <v>2.6</v>
      </c>
      <c r="AW17" s="265">
        <v>60</v>
      </c>
      <c r="AX17" s="91">
        <v>9</v>
      </c>
      <c r="AY17" s="92">
        <f t="shared" si="0"/>
        <v>23.5</v>
      </c>
      <c r="AZ17" s="93">
        <f t="shared" si="0"/>
        <v>580</v>
      </c>
      <c r="BA17" s="94">
        <f t="shared" si="1"/>
        <v>6.6</v>
      </c>
      <c r="BB17" s="95">
        <f t="shared" si="2"/>
        <v>16</v>
      </c>
      <c r="BC17" s="216"/>
      <c r="BD17" s="197">
        <f t="shared" si="3"/>
        <v>1</v>
      </c>
      <c r="BE17" s="98">
        <f t="shared" si="4"/>
        <v>0.4</v>
      </c>
      <c r="BF17" s="99"/>
      <c r="BG17" s="86">
        <f>agosto!$BE18</f>
        <v>42.399999999999991</v>
      </c>
      <c r="BH17" s="97"/>
      <c r="BI17" s="197">
        <f t="shared" si="5"/>
        <v>0</v>
      </c>
    </row>
    <row r="18" spans="1:61" ht="21" customHeight="1">
      <c r="A18" s="71">
        <v>10</v>
      </c>
      <c r="B18" s="258">
        <v>5.4</v>
      </c>
      <c r="C18" s="257">
        <v>60</v>
      </c>
      <c r="D18" s="258">
        <v>3.5</v>
      </c>
      <c r="E18" s="257">
        <v>60</v>
      </c>
      <c r="F18" s="258">
        <v>2.2999999999999998</v>
      </c>
      <c r="G18" s="257">
        <v>60</v>
      </c>
      <c r="H18" s="258">
        <v>3.9</v>
      </c>
      <c r="I18" s="257">
        <v>60</v>
      </c>
      <c r="J18" s="258">
        <v>1.1000000000000001</v>
      </c>
      <c r="K18" s="257">
        <v>50</v>
      </c>
      <c r="L18" s="258">
        <v>2.2999999999999998</v>
      </c>
      <c r="M18" s="257">
        <v>50</v>
      </c>
      <c r="N18" s="258">
        <v>0.8</v>
      </c>
      <c r="O18" s="257">
        <v>60</v>
      </c>
      <c r="P18" s="258">
        <v>0.9</v>
      </c>
      <c r="Q18" s="257">
        <v>40</v>
      </c>
      <c r="R18" s="258">
        <v>0.7</v>
      </c>
      <c r="S18" s="257">
        <v>60</v>
      </c>
      <c r="T18" s="258">
        <v>0.4</v>
      </c>
      <c r="U18" s="257">
        <v>20</v>
      </c>
      <c r="V18" s="258">
        <v>0.9</v>
      </c>
      <c r="W18" s="257">
        <v>50</v>
      </c>
      <c r="X18" s="258"/>
      <c r="Y18" s="257"/>
      <c r="Z18" s="258"/>
      <c r="AA18" s="257"/>
      <c r="AB18" s="258"/>
      <c r="AC18" s="257"/>
      <c r="AD18" s="258"/>
      <c r="AE18" s="257"/>
      <c r="AF18" s="258"/>
      <c r="AG18" s="257"/>
      <c r="AH18" s="258"/>
      <c r="AI18" s="257"/>
      <c r="AJ18" s="258"/>
      <c r="AK18" s="265"/>
      <c r="AL18" s="258"/>
      <c r="AM18" s="257"/>
      <c r="AN18" s="258"/>
      <c r="AO18" s="257"/>
      <c r="AP18" s="258"/>
      <c r="AQ18" s="265"/>
      <c r="AR18" s="258"/>
      <c r="AS18" s="257"/>
      <c r="AT18" s="258"/>
      <c r="AU18" s="265"/>
      <c r="AV18" s="258"/>
      <c r="AW18" s="265"/>
      <c r="AX18" s="91">
        <v>10</v>
      </c>
      <c r="AY18" s="92">
        <f t="shared" si="0"/>
        <v>22.199999999999996</v>
      </c>
      <c r="AZ18" s="93">
        <f t="shared" si="0"/>
        <v>570</v>
      </c>
      <c r="BA18" s="94">
        <f t="shared" si="1"/>
        <v>5.4</v>
      </c>
      <c r="BB18" s="95">
        <f t="shared" si="2"/>
        <v>11</v>
      </c>
      <c r="BC18" s="214"/>
      <c r="BD18" s="197">
        <f t="shared" si="3"/>
        <v>1</v>
      </c>
      <c r="BE18" s="98">
        <f t="shared" si="4"/>
        <v>42.399999999999991</v>
      </c>
      <c r="BF18" s="99"/>
      <c r="BG18" s="86">
        <f>agosto!$BE19</f>
        <v>3</v>
      </c>
      <c r="BH18" s="97"/>
      <c r="BI18" s="197">
        <f t="shared" si="5"/>
        <v>0</v>
      </c>
    </row>
    <row r="19" spans="1:61" ht="21" customHeight="1">
      <c r="A19" s="71">
        <v>11</v>
      </c>
      <c r="B19" s="258">
        <v>0.1</v>
      </c>
      <c r="C19" s="257">
        <v>20</v>
      </c>
      <c r="D19" s="258"/>
      <c r="E19" s="257"/>
      <c r="F19" s="258"/>
      <c r="G19" s="257"/>
      <c r="H19" s="258"/>
      <c r="I19" s="257"/>
      <c r="J19" s="258"/>
      <c r="K19" s="257"/>
      <c r="L19" s="258"/>
      <c r="M19" s="257"/>
      <c r="N19" s="258"/>
      <c r="O19" s="257"/>
      <c r="P19" s="258"/>
      <c r="Q19" s="257"/>
      <c r="R19" s="258"/>
      <c r="S19" s="257"/>
      <c r="T19" s="258"/>
      <c r="U19" s="257"/>
      <c r="V19" s="258"/>
      <c r="W19" s="257"/>
      <c r="X19" s="258"/>
      <c r="Y19" s="257"/>
      <c r="Z19" s="258"/>
      <c r="AA19" s="257"/>
      <c r="AB19" s="258"/>
      <c r="AC19" s="257"/>
      <c r="AD19" s="258"/>
      <c r="AE19" s="257"/>
      <c r="AF19" s="258"/>
      <c r="AG19" s="257"/>
      <c r="AH19" s="258"/>
      <c r="AI19" s="257"/>
      <c r="AJ19" s="258"/>
      <c r="AK19" s="265"/>
      <c r="AL19" s="258"/>
      <c r="AM19" s="257"/>
      <c r="AN19" s="258"/>
      <c r="AO19" s="257"/>
      <c r="AP19" s="258"/>
      <c r="AQ19" s="265"/>
      <c r="AR19" s="258"/>
      <c r="AS19" s="257"/>
      <c r="AT19" s="258"/>
      <c r="AU19" s="265"/>
      <c r="AV19" s="258"/>
      <c r="AW19" s="265"/>
      <c r="AX19" s="91">
        <v>11</v>
      </c>
      <c r="AY19" s="92">
        <f t="shared" si="0"/>
        <v>0.1</v>
      </c>
      <c r="AZ19" s="93">
        <f t="shared" si="0"/>
        <v>20</v>
      </c>
      <c r="BA19" s="94">
        <f t="shared" si="1"/>
        <v>0.1</v>
      </c>
      <c r="BB19" s="95">
        <f t="shared" si="2"/>
        <v>1</v>
      </c>
      <c r="BC19" s="214"/>
      <c r="BD19" s="197">
        <f t="shared" si="3"/>
        <v>1</v>
      </c>
      <c r="BE19" s="98">
        <f t="shared" si="4"/>
        <v>3</v>
      </c>
      <c r="BF19" s="99"/>
      <c r="BG19" s="86">
        <f>agosto!$BE20</f>
        <v>0</v>
      </c>
      <c r="BH19" s="97"/>
      <c r="BI19" s="197">
        <f t="shared" si="5"/>
        <v>0</v>
      </c>
    </row>
    <row r="20" spans="1:61" ht="21" customHeight="1">
      <c r="A20" s="71">
        <v>12</v>
      </c>
      <c r="B20" s="258"/>
      <c r="C20" s="257"/>
      <c r="D20" s="258"/>
      <c r="E20" s="257"/>
      <c r="F20" s="258"/>
      <c r="G20" s="257"/>
      <c r="H20" s="258"/>
      <c r="I20" s="257"/>
      <c r="J20" s="258"/>
      <c r="K20" s="257"/>
      <c r="L20" s="258"/>
      <c r="M20" s="257"/>
      <c r="N20" s="258"/>
      <c r="O20" s="257"/>
      <c r="P20" s="258"/>
      <c r="Q20" s="257"/>
      <c r="R20" s="258"/>
      <c r="S20" s="257"/>
      <c r="T20" s="258"/>
      <c r="U20" s="257"/>
      <c r="V20" s="258"/>
      <c r="W20" s="257"/>
      <c r="X20" s="258"/>
      <c r="Y20" s="257"/>
      <c r="Z20" s="258"/>
      <c r="AA20" s="257"/>
      <c r="AB20" s="258"/>
      <c r="AC20" s="257"/>
      <c r="AD20" s="258"/>
      <c r="AE20" s="257"/>
      <c r="AF20" s="258"/>
      <c r="AG20" s="257"/>
      <c r="AH20" s="258"/>
      <c r="AI20" s="257"/>
      <c r="AJ20" s="258"/>
      <c r="AK20" s="265"/>
      <c r="AL20" s="258"/>
      <c r="AM20" s="257"/>
      <c r="AN20" s="258"/>
      <c r="AO20" s="257"/>
      <c r="AP20" s="258"/>
      <c r="AQ20" s="265"/>
      <c r="AR20" s="258"/>
      <c r="AS20" s="257"/>
      <c r="AT20" s="258"/>
      <c r="AU20" s="265"/>
      <c r="AV20" s="258"/>
      <c r="AW20" s="265"/>
      <c r="AX20" s="91">
        <v>12</v>
      </c>
      <c r="AY20" s="92">
        <f t="shared" si="0"/>
        <v>0</v>
      </c>
      <c r="AZ20" s="93">
        <f t="shared" si="0"/>
        <v>0</v>
      </c>
      <c r="BA20" s="94">
        <f t="shared" si="1"/>
        <v>0</v>
      </c>
      <c r="BB20" s="95">
        <f t="shared" si="2"/>
        <v>0</v>
      </c>
      <c r="BC20" s="214"/>
      <c r="BD20" s="197">
        <f t="shared" si="3"/>
        <v>0</v>
      </c>
      <c r="BE20" s="98">
        <f t="shared" si="4"/>
        <v>0</v>
      </c>
      <c r="BF20" s="99"/>
      <c r="BG20" s="86">
        <f>agosto!$BE21</f>
        <v>0</v>
      </c>
      <c r="BH20" s="97"/>
      <c r="BI20" s="197">
        <f t="shared" si="5"/>
        <v>0</v>
      </c>
    </row>
    <row r="21" spans="1:61" ht="21" customHeight="1">
      <c r="A21" s="71">
        <v>13</v>
      </c>
      <c r="B21" s="258"/>
      <c r="C21" s="257"/>
      <c r="D21" s="258"/>
      <c r="E21" s="257"/>
      <c r="F21" s="258"/>
      <c r="G21" s="257"/>
      <c r="H21" s="258"/>
      <c r="I21" s="257"/>
      <c r="J21" s="258"/>
      <c r="K21" s="257"/>
      <c r="L21" s="258"/>
      <c r="M21" s="257"/>
      <c r="N21" s="258"/>
      <c r="O21" s="257"/>
      <c r="P21" s="258"/>
      <c r="Q21" s="257"/>
      <c r="R21" s="258"/>
      <c r="S21" s="257"/>
      <c r="T21" s="258"/>
      <c r="U21" s="257"/>
      <c r="V21" s="258"/>
      <c r="W21" s="257"/>
      <c r="X21" s="258"/>
      <c r="Y21" s="257"/>
      <c r="Z21" s="258"/>
      <c r="AA21" s="257"/>
      <c r="AB21" s="258"/>
      <c r="AC21" s="257"/>
      <c r="AD21" s="258"/>
      <c r="AE21" s="257"/>
      <c r="AF21" s="258"/>
      <c r="AG21" s="257"/>
      <c r="AH21" s="258"/>
      <c r="AI21" s="257"/>
      <c r="AJ21" s="258"/>
      <c r="AK21" s="265"/>
      <c r="AL21" s="258"/>
      <c r="AM21" s="257"/>
      <c r="AN21" s="258"/>
      <c r="AO21" s="257"/>
      <c r="AP21" s="258"/>
      <c r="AQ21" s="265"/>
      <c r="AR21" s="258"/>
      <c r="AS21" s="257"/>
      <c r="AT21" s="258"/>
      <c r="AU21" s="265"/>
      <c r="AV21" s="258"/>
      <c r="AW21" s="265"/>
      <c r="AX21" s="91">
        <v>13</v>
      </c>
      <c r="AY21" s="92">
        <f t="shared" si="0"/>
        <v>0</v>
      </c>
      <c r="AZ21" s="93">
        <f t="shared" si="0"/>
        <v>0</v>
      </c>
      <c r="BA21" s="94">
        <f t="shared" si="1"/>
        <v>0</v>
      </c>
      <c r="BB21" s="95">
        <f t="shared" si="2"/>
        <v>0</v>
      </c>
      <c r="BC21" s="214"/>
      <c r="BD21" s="197">
        <f t="shared" si="3"/>
        <v>0</v>
      </c>
      <c r="BE21" s="98">
        <f t="shared" si="4"/>
        <v>0</v>
      </c>
      <c r="BF21" s="99"/>
      <c r="BG21" s="86">
        <f>agosto!$BE22</f>
        <v>0</v>
      </c>
      <c r="BH21" s="97"/>
      <c r="BI21" s="197">
        <f t="shared" si="5"/>
        <v>0</v>
      </c>
    </row>
    <row r="22" spans="1:61" ht="21" customHeight="1">
      <c r="A22" s="102">
        <v>14</v>
      </c>
      <c r="B22" s="258"/>
      <c r="C22" s="257"/>
      <c r="D22" s="258"/>
      <c r="E22" s="257"/>
      <c r="F22" s="258"/>
      <c r="G22" s="257"/>
      <c r="H22" s="258"/>
      <c r="I22" s="257"/>
      <c r="J22" s="258"/>
      <c r="K22" s="257"/>
      <c r="L22" s="258"/>
      <c r="M22" s="257"/>
      <c r="N22" s="258"/>
      <c r="O22" s="257"/>
      <c r="P22" s="258"/>
      <c r="Q22" s="257"/>
      <c r="R22" s="258"/>
      <c r="S22" s="257"/>
      <c r="T22" s="258"/>
      <c r="U22" s="257"/>
      <c r="V22" s="258"/>
      <c r="W22" s="257"/>
      <c r="X22" s="258"/>
      <c r="Y22" s="257"/>
      <c r="Z22" s="258"/>
      <c r="AA22" s="257"/>
      <c r="AB22" s="258"/>
      <c r="AC22" s="257"/>
      <c r="AD22" s="258"/>
      <c r="AE22" s="257"/>
      <c r="AF22" s="258"/>
      <c r="AG22" s="257"/>
      <c r="AH22" s="258"/>
      <c r="AI22" s="257"/>
      <c r="AJ22" s="258"/>
      <c r="AK22" s="265"/>
      <c r="AL22" s="258"/>
      <c r="AM22" s="257"/>
      <c r="AN22" s="258"/>
      <c r="AO22" s="257"/>
      <c r="AP22" s="258"/>
      <c r="AQ22" s="265"/>
      <c r="AR22" s="258"/>
      <c r="AS22" s="257"/>
      <c r="AT22" s="258"/>
      <c r="AU22" s="265"/>
      <c r="AV22" s="258"/>
      <c r="AW22" s="265"/>
      <c r="AX22" s="91">
        <v>14</v>
      </c>
      <c r="AY22" s="92">
        <f t="shared" si="0"/>
        <v>0</v>
      </c>
      <c r="AZ22" s="93">
        <f t="shared" si="0"/>
        <v>0</v>
      </c>
      <c r="BA22" s="94">
        <f t="shared" si="1"/>
        <v>0</v>
      </c>
      <c r="BB22" s="95">
        <f t="shared" si="2"/>
        <v>0</v>
      </c>
      <c r="BC22" s="214"/>
      <c r="BD22" s="197">
        <f t="shared" si="3"/>
        <v>0</v>
      </c>
      <c r="BE22" s="98">
        <f t="shared" si="4"/>
        <v>0</v>
      </c>
      <c r="BF22" s="99"/>
      <c r="BG22" s="86">
        <f>agosto!$BE23</f>
        <v>0.1</v>
      </c>
      <c r="BH22" s="97"/>
      <c r="BI22" s="197">
        <f t="shared" si="5"/>
        <v>0</v>
      </c>
    </row>
    <row r="23" spans="1:61" ht="21" customHeight="1">
      <c r="A23" s="71">
        <v>15</v>
      </c>
      <c r="B23" s="258"/>
      <c r="C23" s="257"/>
      <c r="D23" s="258"/>
      <c r="E23" s="257"/>
      <c r="F23" s="258"/>
      <c r="G23" s="257"/>
      <c r="H23" s="258"/>
      <c r="I23" s="257"/>
      <c r="J23" s="258"/>
      <c r="K23" s="257"/>
      <c r="L23" s="258">
        <v>0.1</v>
      </c>
      <c r="M23" s="257">
        <v>30</v>
      </c>
      <c r="N23" s="258"/>
      <c r="O23" s="257"/>
      <c r="P23" s="258"/>
      <c r="Q23" s="257"/>
      <c r="R23" s="258"/>
      <c r="S23" s="257"/>
      <c r="T23" s="258"/>
      <c r="U23" s="257"/>
      <c r="V23" s="258"/>
      <c r="W23" s="257"/>
      <c r="X23" s="258"/>
      <c r="Y23" s="257"/>
      <c r="Z23" s="258"/>
      <c r="AA23" s="257"/>
      <c r="AB23" s="258"/>
      <c r="AC23" s="257"/>
      <c r="AD23" s="258"/>
      <c r="AE23" s="257"/>
      <c r="AF23" s="258"/>
      <c r="AG23" s="257"/>
      <c r="AH23" s="258"/>
      <c r="AI23" s="257"/>
      <c r="AJ23" s="258"/>
      <c r="AK23" s="265"/>
      <c r="AL23" s="258"/>
      <c r="AM23" s="257"/>
      <c r="AN23" s="258"/>
      <c r="AO23" s="257"/>
      <c r="AP23" s="258"/>
      <c r="AQ23" s="265"/>
      <c r="AR23" s="258"/>
      <c r="AS23" s="257"/>
      <c r="AT23" s="258"/>
      <c r="AU23" s="265"/>
      <c r="AV23" s="258"/>
      <c r="AW23" s="265"/>
      <c r="AX23" s="91">
        <v>15</v>
      </c>
      <c r="AY23" s="92">
        <f t="shared" si="0"/>
        <v>0.1</v>
      </c>
      <c r="AZ23" s="93">
        <f t="shared" si="0"/>
        <v>30</v>
      </c>
      <c r="BA23" s="94">
        <f t="shared" si="1"/>
        <v>0.1</v>
      </c>
      <c r="BB23" s="95">
        <f t="shared" si="2"/>
        <v>1</v>
      </c>
      <c r="BC23" s="214"/>
      <c r="BD23" s="197">
        <f t="shared" si="3"/>
        <v>1</v>
      </c>
      <c r="BE23" s="98">
        <f t="shared" si="4"/>
        <v>0.1</v>
      </c>
      <c r="BF23" s="99"/>
      <c r="BG23" s="86">
        <f>agosto!$BE24</f>
        <v>0</v>
      </c>
      <c r="BH23" s="97"/>
      <c r="BI23" s="197">
        <f t="shared" si="5"/>
        <v>0</v>
      </c>
    </row>
    <row r="24" spans="1:61" ht="21" customHeight="1">
      <c r="A24" s="71">
        <v>16</v>
      </c>
      <c r="B24" s="258"/>
      <c r="C24" s="257"/>
      <c r="D24" s="258"/>
      <c r="E24" s="257"/>
      <c r="F24" s="258"/>
      <c r="G24" s="257"/>
      <c r="H24" s="258"/>
      <c r="I24" s="257"/>
      <c r="J24" s="258"/>
      <c r="K24" s="257"/>
      <c r="L24" s="258"/>
      <c r="M24" s="257"/>
      <c r="N24" s="258"/>
      <c r="O24" s="257"/>
      <c r="P24" s="258"/>
      <c r="Q24" s="257"/>
      <c r="R24" s="258"/>
      <c r="S24" s="257"/>
      <c r="T24" s="258"/>
      <c r="U24" s="257"/>
      <c r="V24" s="258"/>
      <c r="W24" s="257"/>
      <c r="X24" s="258"/>
      <c r="Y24" s="257"/>
      <c r="Z24" s="258"/>
      <c r="AA24" s="257"/>
      <c r="AB24" s="258"/>
      <c r="AC24" s="257"/>
      <c r="AD24" s="258"/>
      <c r="AE24" s="257"/>
      <c r="AF24" s="258"/>
      <c r="AG24" s="257"/>
      <c r="AH24" s="258"/>
      <c r="AI24" s="257"/>
      <c r="AJ24" s="258"/>
      <c r="AK24" s="265"/>
      <c r="AL24" s="258"/>
      <c r="AM24" s="257"/>
      <c r="AN24" s="258"/>
      <c r="AO24" s="257"/>
      <c r="AP24" s="258"/>
      <c r="AQ24" s="265"/>
      <c r="AR24" s="258"/>
      <c r="AS24" s="257"/>
      <c r="AT24" s="258"/>
      <c r="AU24" s="265"/>
      <c r="AV24" s="258"/>
      <c r="AW24" s="265"/>
      <c r="AX24" s="91">
        <v>16</v>
      </c>
      <c r="AY24" s="92">
        <f t="shared" si="0"/>
        <v>0</v>
      </c>
      <c r="AZ24" s="93">
        <f t="shared" si="0"/>
        <v>0</v>
      </c>
      <c r="BA24" s="94">
        <f t="shared" si="1"/>
        <v>0</v>
      </c>
      <c r="BB24" s="95">
        <f t="shared" si="2"/>
        <v>0</v>
      </c>
      <c r="BC24" s="214"/>
      <c r="BD24" s="197">
        <f t="shared" si="3"/>
        <v>0</v>
      </c>
      <c r="BE24" s="98">
        <f t="shared" si="4"/>
        <v>0</v>
      </c>
      <c r="BF24" s="99"/>
      <c r="BG24" s="86">
        <f>agosto!$BE25</f>
        <v>0</v>
      </c>
      <c r="BH24" s="97"/>
      <c r="BI24" s="197">
        <f t="shared" si="5"/>
        <v>0</v>
      </c>
    </row>
    <row r="25" spans="1:61" ht="21" customHeight="1">
      <c r="A25" s="71">
        <v>17</v>
      </c>
      <c r="B25" s="258"/>
      <c r="C25" s="257"/>
      <c r="D25" s="258"/>
      <c r="E25" s="257"/>
      <c r="F25" s="258"/>
      <c r="G25" s="257"/>
      <c r="H25" s="258"/>
      <c r="I25" s="257"/>
      <c r="J25" s="258"/>
      <c r="K25" s="257"/>
      <c r="L25" s="258"/>
      <c r="M25" s="257"/>
      <c r="N25" s="258"/>
      <c r="O25" s="257"/>
      <c r="P25" s="258"/>
      <c r="Q25" s="257"/>
      <c r="R25" s="258"/>
      <c r="S25" s="257"/>
      <c r="T25" s="258"/>
      <c r="U25" s="257"/>
      <c r="V25" s="258"/>
      <c r="W25" s="257"/>
      <c r="X25" s="258"/>
      <c r="Y25" s="257"/>
      <c r="Z25" s="258"/>
      <c r="AA25" s="257"/>
      <c r="AB25" s="258"/>
      <c r="AC25" s="257"/>
      <c r="AD25" s="258"/>
      <c r="AE25" s="257"/>
      <c r="AF25" s="258"/>
      <c r="AG25" s="257"/>
      <c r="AH25" s="258"/>
      <c r="AI25" s="257"/>
      <c r="AJ25" s="258"/>
      <c r="AK25" s="265"/>
      <c r="AL25" s="258"/>
      <c r="AM25" s="257"/>
      <c r="AN25" s="258"/>
      <c r="AO25" s="257"/>
      <c r="AP25" s="258"/>
      <c r="AQ25" s="265"/>
      <c r="AR25" s="258"/>
      <c r="AS25" s="257"/>
      <c r="AT25" s="258"/>
      <c r="AU25" s="265"/>
      <c r="AV25" s="258"/>
      <c r="AW25" s="265"/>
      <c r="AX25" s="91">
        <v>17</v>
      </c>
      <c r="AY25" s="92">
        <f t="shared" si="0"/>
        <v>0</v>
      </c>
      <c r="AZ25" s="93">
        <f t="shared" si="0"/>
        <v>0</v>
      </c>
      <c r="BA25" s="94">
        <f t="shared" si="1"/>
        <v>0</v>
      </c>
      <c r="BB25" s="95">
        <f t="shared" si="2"/>
        <v>0</v>
      </c>
      <c r="BC25" s="214"/>
      <c r="BD25" s="197">
        <f t="shared" si="3"/>
        <v>0</v>
      </c>
      <c r="BE25" s="98">
        <f t="shared" si="4"/>
        <v>0</v>
      </c>
      <c r="BF25" s="99"/>
      <c r="BG25" s="86">
        <f>agosto!$BE26</f>
        <v>0</v>
      </c>
      <c r="BH25" s="97"/>
      <c r="BI25" s="197">
        <f t="shared" si="5"/>
        <v>0</v>
      </c>
    </row>
    <row r="26" spans="1:61" ht="21" customHeight="1">
      <c r="A26" s="71">
        <v>18</v>
      </c>
      <c r="B26" s="258"/>
      <c r="C26" s="257"/>
      <c r="D26" s="258"/>
      <c r="E26" s="257"/>
      <c r="F26" s="258"/>
      <c r="G26" s="257"/>
      <c r="H26" s="258"/>
      <c r="I26" s="257"/>
      <c r="J26" s="258"/>
      <c r="K26" s="257"/>
      <c r="L26" s="258"/>
      <c r="M26" s="257"/>
      <c r="N26" s="258"/>
      <c r="O26" s="257"/>
      <c r="P26" s="258"/>
      <c r="Q26" s="257"/>
      <c r="R26" s="258"/>
      <c r="S26" s="257"/>
      <c r="T26" s="258"/>
      <c r="U26" s="257"/>
      <c r="V26" s="258"/>
      <c r="W26" s="257"/>
      <c r="X26" s="258"/>
      <c r="Y26" s="257"/>
      <c r="Z26" s="258"/>
      <c r="AA26" s="257"/>
      <c r="AB26" s="258"/>
      <c r="AC26" s="257"/>
      <c r="AD26" s="258"/>
      <c r="AE26" s="257"/>
      <c r="AF26" s="258"/>
      <c r="AG26" s="257"/>
      <c r="AH26" s="258"/>
      <c r="AI26" s="257"/>
      <c r="AJ26" s="258"/>
      <c r="AK26" s="265"/>
      <c r="AL26" s="258"/>
      <c r="AM26" s="257"/>
      <c r="AN26" s="258"/>
      <c r="AO26" s="257"/>
      <c r="AP26" s="258"/>
      <c r="AQ26" s="265"/>
      <c r="AR26" s="258"/>
      <c r="AS26" s="257"/>
      <c r="AT26" s="258"/>
      <c r="AU26" s="265"/>
      <c r="AV26" s="258"/>
      <c r="AW26" s="265"/>
      <c r="AX26" s="91">
        <v>18</v>
      </c>
      <c r="AY26" s="92">
        <f t="shared" si="0"/>
        <v>0</v>
      </c>
      <c r="AZ26" s="93">
        <f t="shared" si="0"/>
        <v>0</v>
      </c>
      <c r="BA26" s="94">
        <f t="shared" si="1"/>
        <v>0</v>
      </c>
      <c r="BB26" s="95">
        <f t="shared" si="2"/>
        <v>0</v>
      </c>
      <c r="BC26" s="214"/>
      <c r="BD26" s="197">
        <f t="shared" si="3"/>
        <v>0</v>
      </c>
      <c r="BE26" s="98">
        <f t="shared" si="4"/>
        <v>0</v>
      </c>
      <c r="BF26" s="99"/>
      <c r="BG26" s="86">
        <f>agosto!$BE27</f>
        <v>0</v>
      </c>
      <c r="BH26" s="97"/>
      <c r="BI26" s="197">
        <f t="shared" si="5"/>
        <v>0</v>
      </c>
    </row>
    <row r="27" spans="1:61" ht="21" customHeight="1">
      <c r="A27" s="71">
        <v>19</v>
      </c>
      <c r="B27" s="258"/>
      <c r="C27" s="257"/>
      <c r="D27" s="258"/>
      <c r="E27" s="257"/>
      <c r="F27" s="258"/>
      <c r="G27" s="257"/>
      <c r="H27" s="258"/>
      <c r="I27" s="257"/>
      <c r="J27" s="258"/>
      <c r="K27" s="257"/>
      <c r="L27" s="258"/>
      <c r="M27" s="257"/>
      <c r="N27" s="258"/>
      <c r="O27" s="257"/>
      <c r="P27" s="258"/>
      <c r="Q27" s="257"/>
      <c r="R27" s="258"/>
      <c r="S27" s="257"/>
      <c r="T27" s="258"/>
      <c r="U27" s="257"/>
      <c r="V27" s="258"/>
      <c r="W27" s="257"/>
      <c r="X27" s="258"/>
      <c r="Y27" s="257"/>
      <c r="Z27" s="258"/>
      <c r="AA27" s="257"/>
      <c r="AB27" s="258"/>
      <c r="AC27" s="257"/>
      <c r="AD27" s="258"/>
      <c r="AE27" s="257"/>
      <c r="AF27" s="258"/>
      <c r="AG27" s="257"/>
      <c r="AH27" s="258"/>
      <c r="AI27" s="257"/>
      <c r="AJ27" s="258"/>
      <c r="AK27" s="265"/>
      <c r="AL27" s="258"/>
      <c r="AM27" s="257"/>
      <c r="AN27" s="258"/>
      <c r="AO27" s="257"/>
      <c r="AP27" s="258"/>
      <c r="AQ27" s="265"/>
      <c r="AR27" s="258"/>
      <c r="AS27" s="257"/>
      <c r="AT27" s="258"/>
      <c r="AU27" s="265"/>
      <c r="AV27" s="258"/>
      <c r="AW27" s="265"/>
      <c r="AX27" s="91">
        <v>19</v>
      </c>
      <c r="AY27" s="92">
        <f t="shared" si="0"/>
        <v>0</v>
      </c>
      <c r="AZ27" s="93">
        <f t="shared" si="0"/>
        <v>0</v>
      </c>
      <c r="BA27" s="94">
        <f t="shared" si="1"/>
        <v>0</v>
      </c>
      <c r="BB27" s="95">
        <f t="shared" si="2"/>
        <v>0</v>
      </c>
      <c r="BC27" s="214"/>
      <c r="BD27" s="197">
        <f t="shared" si="3"/>
        <v>0</v>
      </c>
      <c r="BE27" s="98">
        <f t="shared" si="4"/>
        <v>0</v>
      </c>
      <c r="BF27" s="99"/>
      <c r="BG27" s="86">
        <f>agosto!$BE28</f>
        <v>0</v>
      </c>
      <c r="BH27" s="97"/>
      <c r="BI27" s="197">
        <f t="shared" si="5"/>
        <v>0</v>
      </c>
    </row>
    <row r="28" spans="1:61" ht="21" customHeight="1">
      <c r="A28" s="71">
        <v>20</v>
      </c>
      <c r="B28" s="258"/>
      <c r="C28" s="257"/>
      <c r="D28" s="258"/>
      <c r="E28" s="257"/>
      <c r="F28" s="258"/>
      <c r="G28" s="257"/>
      <c r="H28" s="258"/>
      <c r="I28" s="257"/>
      <c r="J28" s="258"/>
      <c r="K28" s="257"/>
      <c r="L28" s="258"/>
      <c r="M28" s="257"/>
      <c r="N28" s="258"/>
      <c r="O28" s="257"/>
      <c r="P28" s="258"/>
      <c r="Q28" s="257"/>
      <c r="R28" s="258"/>
      <c r="S28" s="257"/>
      <c r="T28" s="258"/>
      <c r="U28" s="257"/>
      <c r="V28" s="258"/>
      <c r="W28" s="257"/>
      <c r="X28" s="258"/>
      <c r="Y28" s="257"/>
      <c r="Z28" s="258"/>
      <c r="AA28" s="257"/>
      <c r="AB28" s="258"/>
      <c r="AC28" s="257"/>
      <c r="AD28" s="258"/>
      <c r="AE28" s="257"/>
      <c r="AF28" s="258"/>
      <c r="AG28" s="257"/>
      <c r="AH28" s="258"/>
      <c r="AI28" s="257"/>
      <c r="AJ28" s="258"/>
      <c r="AK28" s="265"/>
      <c r="AL28" s="258"/>
      <c r="AM28" s="257"/>
      <c r="AN28" s="258"/>
      <c r="AO28" s="257"/>
      <c r="AP28" s="258"/>
      <c r="AQ28" s="265"/>
      <c r="AR28" s="258"/>
      <c r="AS28" s="257"/>
      <c r="AT28" s="258"/>
      <c r="AU28" s="265"/>
      <c r="AV28" s="258"/>
      <c r="AW28" s="265"/>
      <c r="AX28" s="91">
        <v>20</v>
      </c>
      <c r="AY28" s="92">
        <f t="shared" si="0"/>
        <v>0</v>
      </c>
      <c r="AZ28" s="93">
        <f t="shared" si="0"/>
        <v>0</v>
      </c>
      <c r="BA28" s="94">
        <f t="shared" si="1"/>
        <v>0</v>
      </c>
      <c r="BB28" s="95">
        <f t="shared" si="2"/>
        <v>0</v>
      </c>
      <c r="BC28" s="214"/>
      <c r="BD28" s="197">
        <f t="shared" si="3"/>
        <v>0</v>
      </c>
      <c r="BE28" s="98">
        <f t="shared" si="4"/>
        <v>0</v>
      </c>
      <c r="BF28" s="99"/>
      <c r="BG28" s="86">
        <f>agosto!$BE29</f>
        <v>0</v>
      </c>
      <c r="BH28" s="97"/>
      <c r="BI28" s="197">
        <f t="shared" si="5"/>
        <v>0</v>
      </c>
    </row>
    <row r="29" spans="1:61" ht="21" customHeight="1">
      <c r="A29" s="71">
        <v>21</v>
      </c>
      <c r="B29" s="258"/>
      <c r="C29" s="257"/>
      <c r="D29" s="258"/>
      <c r="E29" s="257"/>
      <c r="F29" s="258"/>
      <c r="G29" s="257"/>
      <c r="H29" s="258"/>
      <c r="I29" s="257"/>
      <c r="J29" s="258"/>
      <c r="K29" s="257"/>
      <c r="L29" s="258"/>
      <c r="M29" s="257"/>
      <c r="N29" s="258"/>
      <c r="O29" s="257"/>
      <c r="P29" s="258"/>
      <c r="Q29" s="257"/>
      <c r="R29" s="258"/>
      <c r="S29" s="257"/>
      <c r="T29" s="258"/>
      <c r="U29" s="257"/>
      <c r="V29" s="258"/>
      <c r="W29" s="257"/>
      <c r="X29" s="258"/>
      <c r="Y29" s="257"/>
      <c r="Z29" s="256"/>
      <c r="AA29" s="257"/>
      <c r="AB29" s="258"/>
      <c r="AC29" s="257"/>
      <c r="AD29" s="258"/>
      <c r="AE29" s="257"/>
      <c r="AF29" s="258"/>
      <c r="AG29" s="257"/>
      <c r="AH29" s="258"/>
      <c r="AI29" s="257"/>
      <c r="AJ29" s="258"/>
      <c r="AK29" s="265"/>
      <c r="AL29" s="258"/>
      <c r="AM29" s="257"/>
      <c r="AN29" s="258"/>
      <c r="AO29" s="257"/>
      <c r="AP29" s="258"/>
      <c r="AQ29" s="265"/>
      <c r="AR29" s="258"/>
      <c r="AS29" s="257"/>
      <c r="AT29" s="258"/>
      <c r="AU29" s="265"/>
      <c r="AV29" s="258"/>
      <c r="AW29" s="265"/>
      <c r="AX29" s="91">
        <v>21</v>
      </c>
      <c r="AY29" s="92">
        <f t="shared" si="0"/>
        <v>0</v>
      </c>
      <c r="AZ29" s="93">
        <f t="shared" si="0"/>
        <v>0</v>
      </c>
      <c r="BA29" s="94">
        <f t="shared" si="1"/>
        <v>0</v>
      </c>
      <c r="BB29" s="95">
        <f t="shared" si="2"/>
        <v>0</v>
      </c>
      <c r="BC29" s="214"/>
      <c r="BD29" s="197">
        <f t="shared" si="3"/>
        <v>0</v>
      </c>
      <c r="BE29" s="98">
        <f t="shared" si="4"/>
        <v>0</v>
      </c>
      <c r="BF29" s="99"/>
      <c r="BG29" s="86">
        <f>agosto!$BE30</f>
        <v>0</v>
      </c>
      <c r="BH29" s="97"/>
      <c r="BI29" s="197">
        <f t="shared" si="5"/>
        <v>0</v>
      </c>
    </row>
    <row r="30" spans="1:61" ht="21" customHeight="1">
      <c r="A30" s="71">
        <v>22</v>
      </c>
      <c r="B30" s="258"/>
      <c r="C30" s="257"/>
      <c r="D30" s="258"/>
      <c r="E30" s="257"/>
      <c r="F30" s="258"/>
      <c r="G30" s="257"/>
      <c r="H30" s="258"/>
      <c r="I30" s="257"/>
      <c r="J30" s="258"/>
      <c r="K30" s="257"/>
      <c r="L30" s="258"/>
      <c r="M30" s="257"/>
      <c r="N30" s="258"/>
      <c r="O30" s="257"/>
      <c r="P30" s="258"/>
      <c r="Q30" s="257"/>
      <c r="R30" s="258"/>
      <c r="S30" s="257"/>
      <c r="T30" s="258"/>
      <c r="U30" s="257"/>
      <c r="V30" s="258"/>
      <c r="W30" s="257"/>
      <c r="X30" s="258"/>
      <c r="Y30" s="257"/>
      <c r="Z30" s="258"/>
      <c r="AA30" s="257"/>
      <c r="AB30" s="258"/>
      <c r="AC30" s="257"/>
      <c r="AD30" s="258"/>
      <c r="AE30" s="257"/>
      <c r="AF30" s="258"/>
      <c r="AG30" s="257"/>
      <c r="AH30" s="258"/>
      <c r="AI30" s="257"/>
      <c r="AJ30" s="258"/>
      <c r="AK30" s="265"/>
      <c r="AL30" s="258"/>
      <c r="AM30" s="257"/>
      <c r="AN30" s="258"/>
      <c r="AO30" s="257"/>
      <c r="AP30" s="258"/>
      <c r="AQ30" s="265"/>
      <c r="AR30" s="258"/>
      <c r="AS30" s="257"/>
      <c r="AT30" s="258"/>
      <c r="AU30" s="265"/>
      <c r="AV30" s="258"/>
      <c r="AW30" s="265"/>
      <c r="AX30" s="91">
        <v>22</v>
      </c>
      <c r="AY30" s="92">
        <f t="shared" si="0"/>
        <v>0</v>
      </c>
      <c r="AZ30" s="93">
        <f t="shared" si="0"/>
        <v>0</v>
      </c>
      <c r="BA30" s="94">
        <f t="shared" si="1"/>
        <v>0</v>
      </c>
      <c r="BB30" s="95">
        <f t="shared" si="2"/>
        <v>0</v>
      </c>
      <c r="BC30" s="214"/>
      <c r="BD30" s="197">
        <f t="shared" si="3"/>
        <v>0</v>
      </c>
      <c r="BE30" s="98">
        <f t="shared" si="4"/>
        <v>0</v>
      </c>
      <c r="BF30" s="99"/>
      <c r="BG30" s="86">
        <f>agosto!$BE31</f>
        <v>0</v>
      </c>
      <c r="BH30" s="97"/>
      <c r="BI30" s="197">
        <f t="shared" si="5"/>
        <v>0</v>
      </c>
    </row>
    <row r="31" spans="1:61" ht="21" customHeight="1">
      <c r="A31" s="71">
        <v>23</v>
      </c>
      <c r="B31" s="258"/>
      <c r="C31" s="257"/>
      <c r="D31" s="258"/>
      <c r="E31" s="257"/>
      <c r="F31" s="258"/>
      <c r="G31" s="257"/>
      <c r="H31" s="258"/>
      <c r="I31" s="257"/>
      <c r="J31" s="258"/>
      <c r="K31" s="257"/>
      <c r="L31" s="258"/>
      <c r="M31" s="257"/>
      <c r="N31" s="258"/>
      <c r="O31" s="257"/>
      <c r="P31" s="258"/>
      <c r="Q31" s="257"/>
      <c r="R31" s="258"/>
      <c r="S31" s="257"/>
      <c r="T31" s="258"/>
      <c r="U31" s="257"/>
      <c r="V31" s="258"/>
      <c r="W31" s="257"/>
      <c r="X31" s="258"/>
      <c r="Y31" s="257"/>
      <c r="Z31" s="258"/>
      <c r="AA31" s="257"/>
      <c r="AB31" s="258"/>
      <c r="AC31" s="257"/>
      <c r="AD31" s="258"/>
      <c r="AE31" s="257"/>
      <c r="AF31" s="258"/>
      <c r="AG31" s="257"/>
      <c r="AH31" s="258"/>
      <c r="AI31" s="257"/>
      <c r="AJ31" s="258"/>
      <c r="AK31" s="265"/>
      <c r="AL31" s="258"/>
      <c r="AM31" s="257"/>
      <c r="AN31" s="258"/>
      <c r="AO31" s="257"/>
      <c r="AP31" s="258"/>
      <c r="AQ31" s="265"/>
      <c r="AR31" s="269"/>
      <c r="AS31" s="257"/>
      <c r="AT31" s="258"/>
      <c r="AU31" s="265"/>
      <c r="AV31" s="258"/>
      <c r="AW31" s="265"/>
      <c r="AX31" s="91">
        <v>23</v>
      </c>
      <c r="AY31" s="92">
        <f t="shared" si="0"/>
        <v>0</v>
      </c>
      <c r="AZ31" s="93">
        <f t="shared" si="0"/>
        <v>0</v>
      </c>
      <c r="BA31" s="94">
        <f t="shared" si="1"/>
        <v>0</v>
      </c>
      <c r="BB31" s="95">
        <f t="shared" si="2"/>
        <v>0</v>
      </c>
      <c r="BC31" s="214"/>
      <c r="BD31" s="197">
        <f t="shared" si="3"/>
        <v>0</v>
      </c>
      <c r="BE31" s="98">
        <f t="shared" si="4"/>
        <v>0</v>
      </c>
      <c r="BF31" s="99"/>
      <c r="BG31" s="86">
        <f>agosto!$BE32</f>
        <v>0</v>
      </c>
      <c r="BH31" s="97"/>
      <c r="BI31" s="197">
        <f t="shared" si="5"/>
        <v>0</v>
      </c>
    </row>
    <row r="32" spans="1:61" ht="21" customHeight="1">
      <c r="A32" s="71">
        <v>24</v>
      </c>
      <c r="B32" s="258"/>
      <c r="C32" s="257"/>
      <c r="D32" s="258"/>
      <c r="E32" s="257"/>
      <c r="F32" s="258"/>
      <c r="G32" s="257"/>
      <c r="H32" s="258"/>
      <c r="I32" s="257"/>
      <c r="J32" s="258"/>
      <c r="K32" s="257"/>
      <c r="L32" s="258"/>
      <c r="M32" s="257"/>
      <c r="N32" s="258"/>
      <c r="O32" s="257"/>
      <c r="P32" s="258"/>
      <c r="Q32" s="257"/>
      <c r="R32" s="258"/>
      <c r="S32" s="257"/>
      <c r="T32" s="258"/>
      <c r="U32" s="257"/>
      <c r="V32" s="258"/>
      <c r="W32" s="257"/>
      <c r="X32" s="258"/>
      <c r="Y32" s="257"/>
      <c r="Z32" s="258"/>
      <c r="AA32" s="257"/>
      <c r="AB32" s="258"/>
      <c r="AC32" s="257"/>
      <c r="AD32" s="258"/>
      <c r="AE32" s="257"/>
      <c r="AF32" s="258"/>
      <c r="AG32" s="257"/>
      <c r="AH32" s="258">
        <v>1.2</v>
      </c>
      <c r="AI32" s="257">
        <v>15</v>
      </c>
      <c r="AJ32" s="258">
        <v>6.6</v>
      </c>
      <c r="AK32" s="265">
        <v>60</v>
      </c>
      <c r="AL32" s="258">
        <v>0.3</v>
      </c>
      <c r="AM32" s="257">
        <v>15</v>
      </c>
      <c r="AN32" s="258">
        <v>0.5</v>
      </c>
      <c r="AO32" s="257">
        <v>60</v>
      </c>
      <c r="AP32" s="258">
        <v>1.4</v>
      </c>
      <c r="AQ32" s="265">
        <v>60</v>
      </c>
      <c r="AR32" s="269">
        <v>1.1000000000000001</v>
      </c>
      <c r="AS32" s="257">
        <v>45</v>
      </c>
      <c r="AT32" s="258">
        <v>0.3</v>
      </c>
      <c r="AU32" s="265">
        <v>15</v>
      </c>
      <c r="AV32" s="258">
        <v>0.1</v>
      </c>
      <c r="AW32" s="265">
        <v>30</v>
      </c>
      <c r="AX32" s="91">
        <v>24</v>
      </c>
      <c r="AY32" s="92">
        <f t="shared" si="0"/>
        <v>11.5</v>
      </c>
      <c r="AZ32" s="93">
        <f t="shared" si="0"/>
        <v>300</v>
      </c>
      <c r="BA32" s="94">
        <f t="shared" si="1"/>
        <v>6.6</v>
      </c>
      <c r="BB32" s="95">
        <f t="shared" si="2"/>
        <v>8</v>
      </c>
      <c r="BC32" s="214"/>
      <c r="BD32" s="197">
        <f t="shared" si="3"/>
        <v>1</v>
      </c>
      <c r="BE32" s="98">
        <f t="shared" si="4"/>
        <v>0</v>
      </c>
      <c r="BF32" s="99"/>
      <c r="BG32" s="86">
        <f>agosto!$BE33</f>
        <v>11.6</v>
      </c>
      <c r="BH32" s="97"/>
      <c r="BI32" s="197">
        <f t="shared" si="5"/>
        <v>0</v>
      </c>
    </row>
    <row r="33" spans="1:61" ht="21" customHeight="1">
      <c r="A33" s="71">
        <v>25</v>
      </c>
      <c r="B33" s="258">
        <v>0.1</v>
      </c>
      <c r="C33" s="257">
        <v>30</v>
      </c>
      <c r="D33" s="258"/>
      <c r="E33" s="257"/>
      <c r="F33" s="258"/>
      <c r="G33" s="257"/>
      <c r="H33" s="258"/>
      <c r="I33" s="257"/>
      <c r="J33" s="258"/>
      <c r="K33" s="257"/>
      <c r="L33" s="258"/>
      <c r="M33" s="257"/>
      <c r="N33" s="258"/>
      <c r="O33" s="257"/>
      <c r="P33" s="258"/>
      <c r="Q33" s="257"/>
      <c r="R33" s="258"/>
      <c r="S33" s="257"/>
      <c r="T33" s="258"/>
      <c r="U33" s="257"/>
      <c r="V33" s="258"/>
      <c r="W33" s="257"/>
      <c r="X33" s="258"/>
      <c r="Y33" s="257"/>
      <c r="Z33" s="258"/>
      <c r="AA33" s="257"/>
      <c r="AB33" s="258"/>
      <c r="AC33" s="257"/>
      <c r="AD33" s="258"/>
      <c r="AE33" s="257"/>
      <c r="AF33" s="258"/>
      <c r="AG33" s="257"/>
      <c r="AH33" s="258">
        <v>0.1</v>
      </c>
      <c r="AI33" s="257">
        <v>30</v>
      </c>
      <c r="AJ33" s="258"/>
      <c r="AK33" s="265"/>
      <c r="AL33" s="258">
        <v>0.2</v>
      </c>
      <c r="AM33" s="257">
        <v>30</v>
      </c>
      <c r="AN33" s="258"/>
      <c r="AO33" s="257"/>
      <c r="AP33" s="258">
        <v>0.1</v>
      </c>
      <c r="AQ33" s="265">
        <v>20</v>
      </c>
      <c r="AR33" s="269"/>
      <c r="AS33" s="257"/>
      <c r="AT33" s="258"/>
      <c r="AU33" s="265"/>
      <c r="AV33" s="258"/>
      <c r="AW33" s="265"/>
      <c r="AX33" s="91">
        <v>25</v>
      </c>
      <c r="AY33" s="92">
        <f t="shared" si="0"/>
        <v>0.5</v>
      </c>
      <c r="AZ33" s="93">
        <f t="shared" si="0"/>
        <v>110</v>
      </c>
      <c r="BA33" s="94">
        <f t="shared" si="1"/>
        <v>0.2</v>
      </c>
      <c r="BB33" s="95">
        <f t="shared" si="2"/>
        <v>4</v>
      </c>
      <c r="BC33" s="214"/>
      <c r="BD33" s="197">
        <f t="shared" si="3"/>
        <v>1</v>
      </c>
      <c r="BE33" s="98">
        <f t="shared" si="4"/>
        <v>11.6</v>
      </c>
      <c r="BF33" s="99"/>
      <c r="BG33" s="86">
        <f>agosto!$BE34</f>
        <v>0.4</v>
      </c>
      <c r="BH33" s="97"/>
      <c r="BI33" s="197">
        <f t="shared" si="5"/>
        <v>0</v>
      </c>
    </row>
    <row r="34" spans="1:61" ht="21" customHeight="1">
      <c r="A34" s="71">
        <v>26</v>
      </c>
      <c r="B34" s="258"/>
      <c r="C34" s="257"/>
      <c r="D34" s="258"/>
      <c r="E34" s="257"/>
      <c r="F34" s="258"/>
      <c r="G34" s="257"/>
      <c r="H34" s="258"/>
      <c r="I34" s="257"/>
      <c r="J34" s="258"/>
      <c r="K34" s="257"/>
      <c r="L34" s="258"/>
      <c r="M34" s="257"/>
      <c r="N34" s="258"/>
      <c r="O34" s="257"/>
      <c r="P34" s="258"/>
      <c r="Q34" s="257"/>
      <c r="R34" s="258"/>
      <c r="S34" s="257"/>
      <c r="T34" s="258"/>
      <c r="U34" s="257"/>
      <c r="V34" s="258"/>
      <c r="W34" s="257"/>
      <c r="X34" s="258"/>
      <c r="Y34" s="257"/>
      <c r="Z34" s="258"/>
      <c r="AA34" s="257"/>
      <c r="AB34" s="258"/>
      <c r="AC34" s="257"/>
      <c r="AD34" s="258"/>
      <c r="AE34" s="257"/>
      <c r="AF34" s="258"/>
      <c r="AG34" s="257"/>
      <c r="AH34" s="258"/>
      <c r="AI34" s="257"/>
      <c r="AJ34" s="258"/>
      <c r="AK34" s="265"/>
      <c r="AL34" s="258">
        <v>0.1</v>
      </c>
      <c r="AM34" s="257">
        <v>60</v>
      </c>
      <c r="AN34" s="258"/>
      <c r="AO34" s="257"/>
      <c r="AP34" s="258"/>
      <c r="AQ34" s="265"/>
      <c r="AR34" s="258"/>
      <c r="AS34" s="257"/>
      <c r="AT34" s="258"/>
      <c r="AU34" s="265"/>
      <c r="AV34" s="258"/>
      <c r="AW34" s="265"/>
      <c r="AX34" s="91">
        <v>26</v>
      </c>
      <c r="AY34" s="92">
        <f t="shared" si="0"/>
        <v>0.1</v>
      </c>
      <c r="AZ34" s="93">
        <f t="shared" si="0"/>
        <v>60</v>
      </c>
      <c r="BA34" s="94">
        <f t="shared" si="1"/>
        <v>0.1</v>
      </c>
      <c r="BB34" s="95">
        <f t="shared" si="2"/>
        <v>1</v>
      </c>
      <c r="BC34" s="214"/>
      <c r="BD34" s="197">
        <f t="shared" si="3"/>
        <v>1</v>
      </c>
      <c r="BE34" s="98">
        <f t="shared" si="4"/>
        <v>0.4</v>
      </c>
      <c r="BF34" s="99"/>
      <c r="BG34" s="86">
        <f>agosto!$BE35</f>
        <v>0.1</v>
      </c>
      <c r="BH34" s="97"/>
      <c r="BI34" s="197">
        <f t="shared" si="5"/>
        <v>0</v>
      </c>
    </row>
    <row r="35" spans="1:61" ht="21" customHeight="1">
      <c r="A35" s="71">
        <v>27</v>
      </c>
      <c r="B35" s="258"/>
      <c r="C35" s="257"/>
      <c r="D35" s="258"/>
      <c r="E35" s="257"/>
      <c r="F35" s="258"/>
      <c r="G35" s="257"/>
      <c r="H35" s="258"/>
      <c r="I35" s="257"/>
      <c r="J35" s="258"/>
      <c r="K35" s="257"/>
      <c r="L35" s="258"/>
      <c r="M35" s="257"/>
      <c r="N35" s="258"/>
      <c r="O35" s="257"/>
      <c r="P35" s="258"/>
      <c r="Q35" s="257"/>
      <c r="R35" s="258"/>
      <c r="S35" s="257"/>
      <c r="T35" s="258"/>
      <c r="U35" s="257"/>
      <c r="V35" s="258"/>
      <c r="W35" s="257"/>
      <c r="X35" s="258"/>
      <c r="Y35" s="257"/>
      <c r="Z35" s="258"/>
      <c r="AA35" s="257"/>
      <c r="AB35" s="258"/>
      <c r="AC35" s="257"/>
      <c r="AD35" s="258"/>
      <c r="AE35" s="257"/>
      <c r="AF35" s="258"/>
      <c r="AG35" s="257"/>
      <c r="AH35" s="258"/>
      <c r="AI35" s="257"/>
      <c r="AJ35" s="258"/>
      <c r="AK35" s="265"/>
      <c r="AL35" s="258"/>
      <c r="AM35" s="257"/>
      <c r="AN35" s="258"/>
      <c r="AO35" s="257"/>
      <c r="AP35" s="258"/>
      <c r="AQ35" s="265"/>
      <c r="AR35" s="258"/>
      <c r="AS35" s="257"/>
      <c r="AT35" s="258"/>
      <c r="AU35" s="265"/>
      <c r="AV35" s="258"/>
      <c r="AW35" s="265"/>
      <c r="AX35" s="91">
        <v>27</v>
      </c>
      <c r="AY35" s="92">
        <f t="shared" si="0"/>
        <v>0</v>
      </c>
      <c r="AZ35" s="93">
        <f t="shared" si="0"/>
        <v>0</v>
      </c>
      <c r="BA35" s="94">
        <f t="shared" si="1"/>
        <v>0</v>
      </c>
      <c r="BB35" s="95">
        <f t="shared" si="2"/>
        <v>0</v>
      </c>
      <c r="BC35" s="214"/>
      <c r="BD35" s="197">
        <f t="shared" si="3"/>
        <v>0</v>
      </c>
      <c r="BE35" s="98">
        <f t="shared" si="4"/>
        <v>0.1</v>
      </c>
      <c r="BF35" s="99"/>
      <c r="BG35" s="86">
        <f>agosto!$BE36</f>
        <v>0</v>
      </c>
      <c r="BH35" s="97"/>
      <c r="BI35" s="197">
        <f t="shared" si="5"/>
        <v>0</v>
      </c>
    </row>
    <row r="36" spans="1:61" ht="21" customHeight="1">
      <c r="A36" s="71">
        <v>28</v>
      </c>
      <c r="B36" s="258"/>
      <c r="C36" s="257"/>
      <c r="D36" s="258"/>
      <c r="E36" s="257"/>
      <c r="F36" s="258"/>
      <c r="G36" s="257"/>
      <c r="H36" s="258"/>
      <c r="I36" s="257"/>
      <c r="J36" s="258"/>
      <c r="K36" s="257"/>
      <c r="L36" s="258"/>
      <c r="M36" s="257"/>
      <c r="N36" s="258"/>
      <c r="O36" s="257"/>
      <c r="P36" s="258"/>
      <c r="Q36" s="257"/>
      <c r="R36" s="258"/>
      <c r="S36" s="257"/>
      <c r="T36" s="258"/>
      <c r="U36" s="257"/>
      <c r="V36" s="258"/>
      <c r="W36" s="257"/>
      <c r="X36" s="258"/>
      <c r="Y36" s="257"/>
      <c r="Z36" s="258"/>
      <c r="AA36" s="257"/>
      <c r="AB36" s="258"/>
      <c r="AC36" s="257"/>
      <c r="AD36" s="258"/>
      <c r="AE36" s="257"/>
      <c r="AF36" s="258"/>
      <c r="AG36" s="257"/>
      <c r="AH36" s="258"/>
      <c r="AI36" s="257"/>
      <c r="AJ36" s="258"/>
      <c r="AK36" s="265"/>
      <c r="AL36" s="258"/>
      <c r="AM36" s="257"/>
      <c r="AN36" s="258"/>
      <c r="AO36" s="257"/>
      <c r="AP36" s="258"/>
      <c r="AQ36" s="265"/>
      <c r="AR36" s="258"/>
      <c r="AS36" s="257"/>
      <c r="AT36" s="258"/>
      <c r="AU36" s="265"/>
      <c r="AV36" s="258"/>
      <c r="AW36" s="265"/>
      <c r="AX36" s="91">
        <v>28</v>
      </c>
      <c r="AY36" s="92">
        <f t="shared" si="0"/>
        <v>0</v>
      </c>
      <c r="AZ36" s="93">
        <f t="shared" si="0"/>
        <v>0</v>
      </c>
      <c r="BA36" s="94">
        <f t="shared" si="1"/>
        <v>0</v>
      </c>
      <c r="BB36" s="95">
        <f t="shared" si="2"/>
        <v>0</v>
      </c>
      <c r="BC36" s="214"/>
      <c r="BD36" s="197">
        <f t="shared" si="3"/>
        <v>0</v>
      </c>
      <c r="BE36" s="98">
        <f t="shared" si="4"/>
        <v>0</v>
      </c>
      <c r="BF36" s="99"/>
      <c r="BG36" s="86">
        <f>agosto!$BE37</f>
        <v>0</v>
      </c>
      <c r="BH36" s="97"/>
      <c r="BI36" s="197">
        <f t="shared" si="5"/>
        <v>0</v>
      </c>
    </row>
    <row r="37" spans="1:61" ht="21" customHeight="1">
      <c r="A37" s="71">
        <v>29</v>
      </c>
      <c r="B37" s="258"/>
      <c r="C37" s="257"/>
      <c r="D37" s="258"/>
      <c r="E37" s="257"/>
      <c r="F37" s="258"/>
      <c r="G37" s="257"/>
      <c r="H37" s="258"/>
      <c r="I37" s="257"/>
      <c r="J37" s="258"/>
      <c r="K37" s="257"/>
      <c r="L37" s="258"/>
      <c r="M37" s="257"/>
      <c r="N37" s="258"/>
      <c r="O37" s="257"/>
      <c r="P37" s="258"/>
      <c r="Q37" s="257"/>
      <c r="R37" s="258"/>
      <c r="S37" s="257"/>
      <c r="T37" s="258"/>
      <c r="U37" s="257"/>
      <c r="V37" s="258"/>
      <c r="W37" s="257"/>
      <c r="X37" s="258"/>
      <c r="Y37" s="257"/>
      <c r="Z37" s="258"/>
      <c r="AA37" s="257"/>
      <c r="AB37" s="258"/>
      <c r="AC37" s="257"/>
      <c r="AD37" s="258"/>
      <c r="AE37" s="257"/>
      <c r="AF37" s="258"/>
      <c r="AG37" s="257"/>
      <c r="AH37" s="258"/>
      <c r="AI37" s="257"/>
      <c r="AJ37" s="258"/>
      <c r="AK37" s="265"/>
      <c r="AL37" s="258"/>
      <c r="AM37" s="257"/>
      <c r="AN37" s="258"/>
      <c r="AO37" s="257"/>
      <c r="AP37" s="258"/>
      <c r="AQ37" s="265"/>
      <c r="AR37" s="258"/>
      <c r="AS37" s="257"/>
      <c r="AT37" s="258"/>
      <c r="AU37" s="270"/>
      <c r="AV37" s="258"/>
      <c r="AW37" s="265"/>
      <c r="AX37" s="111">
        <v>29</v>
      </c>
      <c r="AY37" s="92">
        <f t="shared" si="0"/>
        <v>0</v>
      </c>
      <c r="AZ37" s="93">
        <f t="shared" si="0"/>
        <v>0</v>
      </c>
      <c r="BA37" s="94">
        <f t="shared" si="1"/>
        <v>0</v>
      </c>
      <c r="BB37" s="95">
        <f t="shared" si="2"/>
        <v>0</v>
      </c>
      <c r="BC37" s="214"/>
      <c r="BD37" s="197">
        <f t="shared" si="3"/>
        <v>0</v>
      </c>
      <c r="BE37" s="98">
        <f t="shared" si="4"/>
        <v>0</v>
      </c>
      <c r="BF37" s="99"/>
      <c r="BG37" s="86">
        <f>agosto!$BE38</f>
        <v>0</v>
      </c>
      <c r="BH37" s="97"/>
      <c r="BI37" s="197">
        <f t="shared" si="5"/>
        <v>0</v>
      </c>
    </row>
    <row r="38" spans="1:61" ht="21" customHeight="1" thickBot="1">
      <c r="A38" s="71">
        <v>30</v>
      </c>
      <c r="B38" s="269"/>
      <c r="C38" s="257"/>
      <c r="D38" s="258"/>
      <c r="E38" s="257"/>
      <c r="F38" s="258"/>
      <c r="G38" s="257"/>
      <c r="H38" s="258"/>
      <c r="I38" s="257"/>
      <c r="J38" s="258"/>
      <c r="K38" s="257"/>
      <c r="L38" s="258"/>
      <c r="M38" s="257"/>
      <c r="N38" s="258"/>
      <c r="O38" s="257"/>
      <c r="P38" s="258"/>
      <c r="Q38" s="257"/>
      <c r="R38" s="258"/>
      <c r="S38" s="257"/>
      <c r="T38" s="258"/>
      <c r="U38" s="257"/>
      <c r="V38" s="258"/>
      <c r="W38" s="257"/>
      <c r="X38" s="258"/>
      <c r="Y38" s="257"/>
      <c r="Z38" s="258"/>
      <c r="AA38" s="257"/>
      <c r="AB38" s="258"/>
      <c r="AC38" s="257"/>
      <c r="AD38" s="258"/>
      <c r="AE38" s="257"/>
      <c r="AF38" s="258"/>
      <c r="AG38" s="257"/>
      <c r="AH38" s="258"/>
      <c r="AI38" s="257"/>
      <c r="AJ38" s="258"/>
      <c r="AK38" s="265"/>
      <c r="AL38" s="258"/>
      <c r="AM38" s="257"/>
      <c r="AN38" s="258"/>
      <c r="AO38" s="257"/>
      <c r="AP38" s="258"/>
      <c r="AQ38" s="265"/>
      <c r="AR38" s="271"/>
      <c r="AS38" s="272"/>
      <c r="AT38" s="258"/>
      <c r="AU38" s="265"/>
      <c r="AV38" s="258"/>
      <c r="AW38" s="265"/>
      <c r="AX38" s="111">
        <v>30</v>
      </c>
      <c r="AY38" s="92">
        <f t="shared" si="0"/>
        <v>0</v>
      </c>
      <c r="AZ38" s="93">
        <f t="shared" si="0"/>
        <v>0</v>
      </c>
      <c r="BA38" s="94">
        <f t="shared" si="1"/>
        <v>0</v>
      </c>
      <c r="BB38" s="95">
        <f t="shared" si="2"/>
        <v>0</v>
      </c>
      <c r="BC38" s="214"/>
      <c r="BD38" s="197">
        <f t="shared" si="3"/>
        <v>0</v>
      </c>
      <c r="BE38" s="98">
        <f t="shared" si="4"/>
        <v>0</v>
      </c>
      <c r="BF38" s="99"/>
      <c r="BG38" s="86">
        <f>agosto!$BE39</f>
        <v>0</v>
      </c>
      <c r="BH38" s="97"/>
      <c r="BI38" s="197">
        <f t="shared" si="5"/>
        <v>0</v>
      </c>
    </row>
    <row r="39" spans="1:61" ht="21" customHeight="1" thickBot="1">
      <c r="A39" s="114">
        <v>31</v>
      </c>
      <c r="B39" s="289"/>
      <c r="C39" s="274"/>
      <c r="D39" s="275"/>
      <c r="E39" s="274"/>
      <c r="F39" s="275"/>
      <c r="G39" s="274"/>
      <c r="H39" s="275"/>
      <c r="I39" s="274"/>
      <c r="J39" s="275"/>
      <c r="K39" s="274"/>
      <c r="L39" s="275"/>
      <c r="M39" s="274"/>
      <c r="N39" s="275"/>
      <c r="O39" s="274"/>
      <c r="P39" s="276"/>
      <c r="Q39" s="274"/>
      <c r="R39" s="275"/>
      <c r="S39" s="274"/>
      <c r="T39" s="275"/>
      <c r="U39" s="274"/>
      <c r="V39" s="275"/>
      <c r="W39" s="274"/>
      <c r="X39" s="275"/>
      <c r="Y39" s="274"/>
      <c r="Z39" s="275"/>
      <c r="AA39" s="274"/>
      <c r="AB39" s="275"/>
      <c r="AC39" s="274"/>
      <c r="AD39" s="275"/>
      <c r="AE39" s="274"/>
      <c r="AF39" s="275"/>
      <c r="AG39" s="274"/>
      <c r="AH39" s="275"/>
      <c r="AI39" s="274"/>
      <c r="AJ39" s="275"/>
      <c r="AK39" s="277"/>
      <c r="AL39" s="278"/>
      <c r="AM39" s="274"/>
      <c r="AN39" s="275"/>
      <c r="AO39" s="274"/>
      <c r="AP39" s="275"/>
      <c r="AQ39" s="279"/>
      <c r="AR39" s="275"/>
      <c r="AS39" s="274"/>
      <c r="AT39" s="275"/>
      <c r="AU39" s="279"/>
      <c r="AV39" s="280"/>
      <c r="AW39" s="279"/>
      <c r="AX39" s="123">
        <v>31</v>
      </c>
      <c r="AY39" s="92">
        <f>B39+D39+F39+H39+J39+L39+N39+P39+R39+T39+V39+X39+Z39+AB39+AD39+AF39+AH39+AJ39+AL39+AN39+AP39+AR39+AT39+AV39</f>
        <v>0</v>
      </c>
      <c r="AZ39" s="93">
        <f t="shared" ref="AZ39:AZ69" si="6">C39+E39+G39+I39+K39+M39+O39+Q39+S39+U39+W39+Y39+AA39+AC39+AE39+AG39+AI39+AK39+AM39+AO39+AQ39+AS39+AU39+AW39</f>
        <v>0</v>
      </c>
      <c r="BA39" s="94">
        <f t="shared" si="1"/>
        <v>0</v>
      </c>
      <c r="BB39" s="95">
        <f t="shared" si="2"/>
        <v>0</v>
      </c>
      <c r="BC39" s="214"/>
      <c r="BD39" s="197">
        <f t="shared" si="3"/>
        <v>0</v>
      </c>
      <c r="BE39" s="98">
        <f>P38+R38+T38+V38+X38+Z38+AB38+AD38+AF38+AH38+AJ38+AL38+AN38+AP38+AR38+AT38+AV38+B39+D39+F39+H39+J39+L39+N39</f>
        <v>0</v>
      </c>
      <c r="BF39" s="99"/>
      <c r="BG39" s="228">
        <f>agosto!$BH40</f>
        <v>0</v>
      </c>
      <c r="BH39" s="125" t="s">
        <v>86</v>
      </c>
      <c r="BI39" s="197">
        <f t="shared" si="5"/>
        <v>1</v>
      </c>
    </row>
    <row r="40" spans="1:61" ht="21" customHeight="1" thickBot="1">
      <c r="A40" s="284">
        <v>1</v>
      </c>
      <c r="B40" s="221"/>
      <c r="C40" s="222"/>
      <c r="D40" s="223"/>
      <c r="E40" s="222"/>
      <c r="F40" s="223"/>
      <c r="G40" s="222"/>
      <c r="H40" s="223"/>
      <c r="I40" s="222"/>
      <c r="J40" s="223"/>
      <c r="K40" s="222"/>
      <c r="L40" s="223"/>
      <c r="M40" s="222"/>
      <c r="N40" s="223"/>
      <c r="O40" s="224"/>
      <c r="P40" s="131"/>
      <c r="Q40" s="32"/>
      <c r="R40" s="31"/>
      <c r="S40" s="32"/>
      <c r="T40" s="31"/>
      <c r="U40" s="32"/>
      <c r="V40" s="31"/>
      <c r="W40" s="32"/>
      <c r="X40" s="31"/>
      <c r="Y40" s="32"/>
      <c r="Z40" s="31"/>
      <c r="AA40" s="32"/>
      <c r="AB40" s="31"/>
      <c r="AC40" s="32"/>
      <c r="AD40" s="31"/>
      <c r="AE40" s="32"/>
      <c r="AF40" s="31"/>
      <c r="AG40" s="32"/>
      <c r="AH40" s="31"/>
      <c r="AI40" s="32"/>
      <c r="AJ40" s="31"/>
      <c r="AK40" s="32"/>
      <c r="AL40" s="31"/>
      <c r="AM40" s="32"/>
      <c r="AN40" s="31"/>
      <c r="AO40" s="32"/>
      <c r="AP40" s="31"/>
      <c r="AQ40" s="32"/>
      <c r="AR40" s="31"/>
      <c r="AS40" s="32"/>
      <c r="AT40" s="31"/>
      <c r="AU40" s="32"/>
      <c r="AV40" s="31"/>
      <c r="AW40" s="32"/>
      <c r="AX40" s="132"/>
      <c r="AY40" s="231" t="s">
        <v>53</v>
      </c>
      <c r="AZ40" s="232"/>
      <c r="BA40" s="233"/>
      <c r="BB40" s="136"/>
      <c r="BC40" s="214"/>
      <c r="BD40" s="137" t="s">
        <v>54</v>
      </c>
      <c r="BE40" s="138">
        <f>SUM(BE9:BE39)</f>
        <v>57.999999999999993</v>
      </c>
      <c r="BF40" s="232"/>
      <c r="BG40" s="139"/>
      <c r="BH40" s="140">
        <f>P39+R39+T39+V39+X39+Z39+AB39+AD39+AF39+AH39+AJ39+AL39+AN39+AP39+AR39+AT39+AV39+B40+D40+F40+H40+J40+L40+N40</f>
        <v>0</v>
      </c>
      <c r="BI40" s="214"/>
    </row>
    <row r="41" spans="1:61" ht="21" customHeight="1" thickBot="1">
      <c r="A41" s="142"/>
      <c r="B41" s="25" t="s">
        <v>19</v>
      </c>
      <c r="C41" s="25"/>
      <c r="D41" s="316" t="s">
        <v>20</v>
      </c>
      <c r="E41" s="316"/>
      <c r="F41" s="25" t="s">
        <v>21</v>
      </c>
      <c r="G41" s="25"/>
      <c r="H41" s="25" t="s">
        <v>22</v>
      </c>
      <c r="I41" s="25"/>
      <c r="J41" s="317" t="s">
        <v>23</v>
      </c>
      <c r="K41" s="317"/>
      <c r="L41" s="25" t="s">
        <v>24</v>
      </c>
      <c r="M41" s="25"/>
      <c r="N41" s="25" t="s">
        <v>25</v>
      </c>
      <c r="O41" s="25"/>
      <c r="P41" s="37" t="s">
        <v>26</v>
      </c>
      <c r="Q41" s="37"/>
      <c r="R41" s="37" t="s">
        <v>27</v>
      </c>
      <c r="S41" s="37"/>
      <c r="T41" s="37" t="s">
        <v>28</v>
      </c>
      <c r="U41" s="37"/>
      <c r="V41" s="37" t="s">
        <v>29</v>
      </c>
      <c r="W41" s="37"/>
      <c r="X41" s="37" t="s">
        <v>30</v>
      </c>
      <c r="Y41" s="37"/>
      <c r="Z41" s="40" t="s">
        <v>31</v>
      </c>
      <c r="AA41" s="40"/>
      <c r="AB41" s="37" t="s">
        <v>32</v>
      </c>
      <c r="AC41" s="37"/>
      <c r="AD41" s="37" t="s">
        <v>33</v>
      </c>
      <c r="AE41" s="37"/>
      <c r="AF41" s="37" t="s">
        <v>34</v>
      </c>
      <c r="AG41" s="37"/>
      <c r="AH41" s="37" t="s">
        <v>35</v>
      </c>
      <c r="AI41" s="37"/>
      <c r="AJ41" s="37" t="s">
        <v>36</v>
      </c>
      <c r="AK41" s="37"/>
      <c r="AL41" s="37" t="s">
        <v>37</v>
      </c>
      <c r="AM41" s="37"/>
      <c r="AN41" s="37" t="s">
        <v>38</v>
      </c>
      <c r="AO41" s="37"/>
      <c r="AP41" s="37" t="s">
        <v>39</v>
      </c>
      <c r="AQ41" s="37"/>
      <c r="AR41" s="37" t="s">
        <v>40</v>
      </c>
      <c r="AS41" s="37"/>
      <c r="AT41" s="37" t="s">
        <v>41</v>
      </c>
      <c r="AU41" s="37"/>
      <c r="AV41" s="37" t="s">
        <v>42</v>
      </c>
      <c r="AW41" s="37"/>
      <c r="AX41" s="146"/>
      <c r="AY41" s="33" t="s">
        <v>15</v>
      </c>
      <c r="AZ41" s="33" t="s">
        <v>16</v>
      </c>
      <c r="BA41" s="34" t="s">
        <v>17</v>
      </c>
      <c r="BB41" s="34" t="s">
        <v>55</v>
      </c>
      <c r="BC41" s="214"/>
      <c r="BD41" s="137" t="s">
        <v>56</v>
      </c>
      <c r="BE41" s="147">
        <f>MAX(BE9:BE39)</f>
        <v>42.399999999999991</v>
      </c>
      <c r="BF41" s="148"/>
      <c r="BG41" s="148"/>
      <c r="BH41" s="148"/>
      <c r="BI41" s="214"/>
    </row>
    <row r="42" spans="1:61" ht="21" customHeight="1" thickBot="1">
      <c r="A42" s="142"/>
      <c r="B42" s="234" t="s">
        <v>47</v>
      </c>
      <c r="C42" s="235" t="s">
        <v>48</v>
      </c>
      <c r="D42" s="204" t="s">
        <v>47</v>
      </c>
      <c r="E42" s="236" t="s">
        <v>48</v>
      </c>
      <c r="F42" s="204" t="s">
        <v>47</v>
      </c>
      <c r="G42" s="237" t="s">
        <v>48</v>
      </c>
      <c r="H42" s="204" t="s">
        <v>47</v>
      </c>
      <c r="I42" s="237" t="s">
        <v>48</v>
      </c>
      <c r="J42" s="204" t="s">
        <v>47</v>
      </c>
      <c r="K42" s="237" t="s">
        <v>48</v>
      </c>
      <c r="L42" s="204" t="s">
        <v>47</v>
      </c>
      <c r="M42" s="237" t="s">
        <v>48</v>
      </c>
      <c r="N42" s="204" t="s">
        <v>47</v>
      </c>
      <c r="O42" s="237" t="s">
        <v>48</v>
      </c>
      <c r="P42" s="204" t="s">
        <v>47</v>
      </c>
      <c r="Q42" s="237" t="s">
        <v>48</v>
      </c>
      <c r="R42" s="204" t="s">
        <v>47</v>
      </c>
      <c r="S42" s="237" t="s">
        <v>48</v>
      </c>
      <c r="T42" s="204" t="s">
        <v>47</v>
      </c>
      <c r="U42" s="237" t="s">
        <v>48</v>
      </c>
      <c r="V42" s="204" t="s">
        <v>47</v>
      </c>
      <c r="W42" s="237" t="s">
        <v>48</v>
      </c>
      <c r="X42" s="204" t="s">
        <v>47</v>
      </c>
      <c r="Y42" s="237" t="s">
        <v>48</v>
      </c>
      <c r="Z42" s="204" t="s">
        <v>47</v>
      </c>
      <c r="AA42" s="237" t="s">
        <v>48</v>
      </c>
      <c r="AB42" s="204" t="s">
        <v>47</v>
      </c>
      <c r="AC42" s="237" t="s">
        <v>48</v>
      </c>
      <c r="AD42" s="204" t="s">
        <v>47</v>
      </c>
      <c r="AE42" s="237" t="s">
        <v>48</v>
      </c>
      <c r="AF42" s="204" t="s">
        <v>47</v>
      </c>
      <c r="AG42" s="237" t="s">
        <v>48</v>
      </c>
      <c r="AH42" s="204" t="s">
        <v>47</v>
      </c>
      <c r="AI42" s="237" t="s">
        <v>48</v>
      </c>
      <c r="AJ42" s="204" t="s">
        <v>47</v>
      </c>
      <c r="AK42" s="205" t="s">
        <v>48</v>
      </c>
      <c r="AL42" s="204" t="s">
        <v>47</v>
      </c>
      <c r="AM42" s="237" t="s">
        <v>48</v>
      </c>
      <c r="AN42" s="204" t="s">
        <v>47</v>
      </c>
      <c r="AO42" s="237" t="s">
        <v>48</v>
      </c>
      <c r="AP42" s="204" t="s">
        <v>47</v>
      </c>
      <c r="AQ42" s="205" t="s">
        <v>48</v>
      </c>
      <c r="AR42" s="204" t="s">
        <v>47</v>
      </c>
      <c r="AS42" s="237" t="s">
        <v>48</v>
      </c>
      <c r="AT42" s="204" t="s">
        <v>47</v>
      </c>
      <c r="AU42" s="205" t="s">
        <v>48</v>
      </c>
      <c r="AV42" s="204" t="s">
        <v>47</v>
      </c>
      <c r="AW42" s="205" t="s">
        <v>48</v>
      </c>
      <c r="AX42" s="146"/>
      <c r="AY42" s="35" t="s">
        <v>57</v>
      </c>
      <c r="AZ42" s="35" t="s">
        <v>43</v>
      </c>
      <c r="BA42" s="35" t="s">
        <v>44</v>
      </c>
      <c r="BB42" s="35" t="s">
        <v>58</v>
      </c>
      <c r="BC42" s="214"/>
      <c r="BD42" s="137" t="s">
        <v>59</v>
      </c>
      <c r="BE42" s="70">
        <f>COUNTIF(BE9:BE39,"&gt;=1")</f>
        <v>3</v>
      </c>
      <c r="BF42" s="238"/>
      <c r="BG42" s="238"/>
      <c r="BH42" s="238"/>
      <c r="BI42" s="214"/>
    </row>
    <row r="43" spans="1:61" ht="21" customHeight="1" thickBot="1">
      <c r="A43" s="238" t="s">
        <v>60</v>
      </c>
      <c r="B43" s="154">
        <f>SUM(B9:B39)</f>
        <v>5.6</v>
      </c>
      <c r="C43" s="154"/>
      <c r="D43" s="154">
        <f>SUM(D9:D39)</f>
        <v>3.5</v>
      </c>
      <c r="E43" s="154"/>
      <c r="F43" s="154">
        <f>SUM(F9:F39)</f>
        <v>2.2999999999999998</v>
      </c>
      <c r="G43" s="154"/>
      <c r="H43" s="154">
        <f>SUM(H9:H39)</f>
        <v>3.9</v>
      </c>
      <c r="I43" s="154"/>
      <c r="J43" s="154">
        <f>SUM(J9:J39)</f>
        <v>1.3</v>
      </c>
      <c r="K43" s="154"/>
      <c r="L43" s="154">
        <f>SUM(L9:L39)</f>
        <v>2.5</v>
      </c>
      <c r="M43" s="154"/>
      <c r="N43" s="154">
        <f>SUM(N9:N39)</f>
        <v>0.9</v>
      </c>
      <c r="O43" s="154"/>
      <c r="P43" s="154">
        <f>SUM(P9:P39)</f>
        <v>1.1000000000000001</v>
      </c>
      <c r="Q43" s="154"/>
      <c r="R43" s="154">
        <f>SUM(R9:R39)</f>
        <v>1</v>
      </c>
      <c r="S43" s="154"/>
      <c r="T43" s="154">
        <f>SUM(T9:T39)</f>
        <v>0.60000000000000009</v>
      </c>
      <c r="U43" s="154"/>
      <c r="V43" s="154">
        <f>SUM(V9:V39)</f>
        <v>0.9</v>
      </c>
      <c r="W43" s="154"/>
      <c r="X43" s="154">
        <f>SUM(X9:X39)</f>
        <v>0</v>
      </c>
      <c r="Y43" s="154"/>
      <c r="Z43" s="154">
        <f>SUM(Z9:Z39)</f>
        <v>0.1</v>
      </c>
      <c r="AA43" s="154"/>
      <c r="AB43" s="154">
        <f>SUM(AB9:AB39)</f>
        <v>0</v>
      </c>
      <c r="AC43" s="154"/>
      <c r="AD43" s="154">
        <f>SUM(AD9:AD39)</f>
        <v>0.7</v>
      </c>
      <c r="AE43" s="154"/>
      <c r="AF43" s="154">
        <f>SUM(AF9:AF39)</f>
        <v>0</v>
      </c>
      <c r="AG43" s="154"/>
      <c r="AH43" s="154">
        <f>SUM(AH9:AH39)</f>
        <v>1.4000000000000001</v>
      </c>
      <c r="AI43" s="154"/>
      <c r="AJ43" s="154">
        <f>SUM(AJ9:AJ39)</f>
        <v>7.1999999999999993</v>
      </c>
      <c r="AK43" s="154"/>
      <c r="AL43" s="154">
        <f>SUM(AL9:AL39)</f>
        <v>1.8</v>
      </c>
      <c r="AM43" s="154"/>
      <c r="AN43" s="154">
        <f>SUM(AN9:AN39)</f>
        <v>1.7</v>
      </c>
      <c r="AO43" s="154"/>
      <c r="AP43" s="154">
        <f>SUM(AP9:AP39)</f>
        <v>7.6999999999999993</v>
      </c>
      <c r="AQ43" s="154"/>
      <c r="AR43" s="154">
        <f>SUM(AR9:AR39)</f>
        <v>7.6999999999999993</v>
      </c>
      <c r="AS43" s="154"/>
      <c r="AT43" s="154">
        <f>SUM(AT9:AT39)</f>
        <v>3.4</v>
      </c>
      <c r="AU43" s="154"/>
      <c r="AV43" s="154">
        <f>SUM(AV9:AV39)</f>
        <v>2.7</v>
      </c>
      <c r="AW43" s="154"/>
      <c r="AX43" s="146"/>
      <c r="AY43" s="53" t="s">
        <v>49</v>
      </c>
      <c r="AZ43" s="53" t="s">
        <v>50</v>
      </c>
      <c r="BA43" s="54" t="s">
        <v>51</v>
      </c>
      <c r="BB43" s="54" t="s">
        <v>61</v>
      </c>
      <c r="BC43" s="214"/>
      <c r="BD43" s="137"/>
      <c r="BE43" s="70"/>
      <c r="BF43" s="238"/>
      <c r="BG43" s="238"/>
      <c r="BH43" s="238"/>
      <c r="BI43" s="214"/>
    </row>
    <row r="44" spans="1:61" s="161" customFormat="1" ht="21" customHeight="1" thickBot="1">
      <c r="A44" s="238" t="s">
        <v>62</v>
      </c>
      <c r="B44" s="155"/>
      <c r="C44" s="155">
        <f>SUM(C9:C39)</f>
        <v>110</v>
      </c>
      <c r="D44" s="155"/>
      <c r="E44" s="155">
        <f>SUM(E9:E39)</f>
        <v>60</v>
      </c>
      <c r="F44" s="155"/>
      <c r="G44" s="155">
        <f>SUM(G9:G39)</f>
        <v>60</v>
      </c>
      <c r="H44" s="155"/>
      <c r="I44" s="155">
        <f>SUM(I9:I39)</f>
        <v>60</v>
      </c>
      <c r="J44" s="155"/>
      <c r="K44" s="155">
        <f>SUM(K9:K39)</f>
        <v>55</v>
      </c>
      <c r="L44" s="155"/>
      <c r="M44" s="155">
        <f>SUM(M9:M39)</f>
        <v>90</v>
      </c>
      <c r="N44" s="155"/>
      <c r="O44" s="155">
        <f>SUM(O9:O39)</f>
        <v>65</v>
      </c>
      <c r="P44" s="155"/>
      <c r="Q44" s="155">
        <f>SUM(Q9:Q39)</f>
        <v>60</v>
      </c>
      <c r="R44" s="155"/>
      <c r="S44" s="155">
        <f>SUM(S9:S39)</f>
        <v>120</v>
      </c>
      <c r="T44" s="155"/>
      <c r="U44" s="155">
        <f>SUM(U9:U39)</f>
        <v>30</v>
      </c>
      <c r="V44" s="155"/>
      <c r="W44" s="155">
        <f>SUM(W9:W39)</f>
        <v>50</v>
      </c>
      <c r="X44" s="155"/>
      <c r="Y44" s="155">
        <f>SUM(Y9:Y39)</f>
        <v>0</v>
      </c>
      <c r="Z44" s="155"/>
      <c r="AA44" s="155">
        <f>SUM(AA9:AA39)</f>
        <v>5</v>
      </c>
      <c r="AB44" s="155"/>
      <c r="AC44" s="155">
        <f>SUM(AC9:AC39)</f>
        <v>0</v>
      </c>
      <c r="AD44" s="155"/>
      <c r="AE44" s="155">
        <f>SUM(AE9:AE39)</f>
        <v>45</v>
      </c>
      <c r="AF44" s="155"/>
      <c r="AG44" s="155">
        <f>SUM(AG9:AG39)</f>
        <v>0</v>
      </c>
      <c r="AH44" s="155"/>
      <c r="AI44" s="155">
        <f>SUM(AI9:AI39)</f>
        <v>55</v>
      </c>
      <c r="AJ44" s="155"/>
      <c r="AK44" s="155">
        <f>SUM(AK9:AK39)</f>
        <v>110</v>
      </c>
      <c r="AL44" s="155"/>
      <c r="AM44" s="155">
        <f>SUM(AM9:AM39)</f>
        <v>165</v>
      </c>
      <c r="AN44" s="155"/>
      <c r="AO44" s="155">
        <f>SUM(AO9:AO39)</f>
        <v>120</v>
      </c>
      <c r="AP44" s="155"/>
      <c r="AQ44" s="155">
        <f>SUM(AQ9:AQ39)</f>
        <v>140</v>
      </c>
      <c r="AR44" s="155"/>
      <c r="AS44" s="155">
        <f>SUM(AS9:AS39)</f>
        <v>105</v>
      </c>
      <c r="AT44" s="155"/>
      <c r="AU44" s="155">
        <f>SUM(AU9:AU39)</f>
        <v>75</v>
      </c>
      <c r="AV44" s="155"/>
      <c r="AW44" s="155">
        <f>SUM(AW9:AW39)</f>
        <v>90</v>
      </c>
      <c r="AX44" s="239"/>
      <c r="AY44" s="157">
        <f>AY9+AY10+AY11+AY12+AY13+AY14+AY15+AY16+AY17+AY18+AY19+AY20+AY21+AY22+AY23+AY24+AY25+AY26+AY27+AY28+AY29+AY30+AY31+AY32+AY33+AY34+AY35+AY36+AY37+AY38+AY39</f>
        <v>58</v>
      </c>
      <c r="AZ44" s="158">
        <f>AZ9+AZ10+AZ11+AZ12+AZ13+AZ14+AZ15+AZ16+AZ17+AZ18+AZ19+AZ20+AZ21+AZ22+AZ23+AZ24+AZ25+AZ26+AZ27+AZ28+AZ29+AZ30+AZ31+AZ32+AZ33+AZ34+AZ35+AZ36+AZ37+AZ38+AZ39</f>
        <v>1670</v>
      </c>
      <c r="BA44" s="154">
        <f>MAX(BA9:BA39)</f>
        <v>6.6</v>
      </c>
      <c r="BB44" s="155">
        <f>SUM(BB8:BB39)</f>
        <v>42</v>
      </c>
      <c r="BC44" s="42"/>
      <c r="BD44" s="197"/>
      <c r="BE44" s="240"/>
      <c r="BF44" s="241"/>
      <c r="BG44" s="240"/>
      <c r="BH44" s="242"/>
      <c r="BI44" s="214"/>
    </row>
    <row r="45" spans="1:61" s="161" customFormat="1" ht="21" customHeight="1" thickBot="1">
      <c r="A45" s="238" t="s">
        <v>63</v>
      </c>
      <c r="B45" s="155">
        <f>COUNT(B9:B39)</f>
        <v>3</v>
      </c>
      <c r="C45" s="155"/>
      <c r="D45" s="155">
        <f>COUNT(D9:D39)</f>
        <v>1</v>
      </c>
      <c r="E45" s="155"/>
      <c r="F45" s="155">
        <f>COUNT(F9:F39)</f>
        <v>1</v>
      </c>
      <c r="G45" s="155"/>
      <c r="H45" s="155">
        <f>COUNT(H9:H39)</f>
        <v>1</v>
      </c>
      <c r="I45" s="155"/>
      <c r="J45" s="155">
        <f>COUNT(J9:J39)</f>
        <v>2</v>
      </c>
      <c r="K45" s="155"/>
      <c r="L45" s="155">
        <f>COUNT(L9:L39)</f>
        <v>3</v>
      </c>
      <c r="M45" s="155"/>
      <c r="N45" s="155">
        <f>COUNT(N9:N39)</f>
        <v>2</v>
      </c>
      <c r="O45" s="155"/>
      <c r="P45" s="155">
        <f>COUNT(P9:P39)</f>
        <v>2</v>
      </c>
      <c r="Q45" s="155"/>
      <c r="R45" s="155">
        <f>COUNT(R9:R39)</f>
        <v>2</v>
      </c>
      <c r="S45" s="155"/>
      <c r="T45" s="155">
        <f>COUNT(T9:T39)</f>
        <v>2</v>
      </c>
      <c r="U45" s="155"/>
      <c r="V45" s="155">
        <f>COUNT(V9:V39)</f>
        <v>1</v>
      </c>
      <c r="W45" s="155"/>
      <c r="X45" s="155">
        <f>COUNT(X9:X39)</f>
        <v>0</v>
      </c>
      <c r="Y45" s="155"/>
      <c r="Z45" s="155">
        <f>COUNT(Z9:Z39)</f>
        <v>1</v>
      </c>
      <c r="AA45" s="155"/>
      <c r="AB45" s="155">
        <f>COUNT(AB9:AB39)</f>
        <v>0</v>
      </c>
      <c r="AC45" s="155"/>
      <c r="AD45" s="155">
        <f>COUNT(AD9:AD39)</f>
        <v>1</v>
      </c>
      <c r="AE45" s="155"/>
      <c r="AF45" s="155">
        <f>COUNT(AF9:AF39)</f>
        <v>0</v>
      </c>
      <c r="AG45" s="155"/>
      <c r="AH45" s="155">
        <f>COUNT(AH9:AH39)</f>
        <v>3</v>
      </c>
      <c r="AI45" s="155"/>
      <c r="AJ45" s="155">
        <f>COUNT(AJ9:AJ39)</f>
        <v>2</v>
      </c>
      <c r="AK45" s="155"/>
      <c r="AL45" s="155">
        <f>COUNT(AL9:AL39)</f>
        <v>4</v>
      </c>
      <c r="AM45" s="155"/>
      <c r="AN45" s="155">
        <f>COUNT(AN9:AN39)</f>
        <v>2</v>
      </c>
      <c r="AO45" s="162"/>
      <c r="AP45" s="155">
        <f>COUNT(AP9:AP39)</f>
        <v>3</v>
      </c>
      <c r="AQ45" s="155"/>
      <c r="AR45" s="155">
        <f>COUNT(AR9:AR39)</f>
        <v>2</v>
      </c>
      <c r="AS45" s="155"/>
      <c r="AT45" s="155">
        <f>COUNT(AT9:AT39)</f>
        <v>2</v>
      </c>
      <c r="AU45" s="155"/>
      <c r="AV45" s="155">
        <f>COUNT(AV9:AV39)</f>
        <v>2</v>
      </c>
      <c r="AW45" s="155"/>
      <c r="AX45" s="243"/>
      <c r="AY45" s="164" t="s">
        <v>64</v>
      </c>
      <c r="AZ45" s="165" t="s">
        <v>65</v>
      </c>
      <c r="BA45" s="240"/>
      <c r="BB45" s="34" t="s">
        <v>66</v>
      </c>
      <c r="BC45" s="214"/>
      <c r="BD45" s="197"/>
      <c r="BE45" s="238"/>
      <c r="BF45" s="241"/>
      <c r="BG45" s="240"/>
      <c r="BH45" s="238"/>
      <c r="BI45" s="214"/>
    </row>
    <row r="46" spans="1:61" s="161" customFormat="1" ht="21" customHeight="1" thickBot="1">
      <c r="A46" s="196"/>
      <c r="B46" s="196"/>
      <c r="C46" s="196"/>
      <c r="D46" s="196"/>
      <c r="E46" s="196"/>
      <c r="F46" s="196"/>
      <c r="G46" s="196"/>
      <c r="H46" s="196"/>
      <c r="I46" s="196"/>
      <c r="J46" s="196"/>
      <c r="K46" s="196"/>
      <c r="L46" s="196"/>
      <c r="M46" s="196"/>
      <c r="N46" s="196"/>
      <c r="O46" s="196"/>
      <c r="P46" s="196"/>
      <c r="Q46" s="196"/>
      <c r="R46" s="196"/>
      <c r="S46" s="196"/>
      <c r="T46" s="196"/>
      <c r="U46" s="196"/>
      <c r="V46" s="196"/>
      <c r="W46" s="196"/>
      <c r="X46" s="196"/>
      <c r="Y46" s="196"/>
      <c r="Z46" s="196"/>
      <c r="AA46" s="196"/>
      <c r="AB46" s="196"/>
      <c r="AC46" s="196"/>
      <c r="AD46" s="196"/>
      <c r="AE46" s="196"/>
      <c r="AF46" s="196"/>
      <c r="AG46" s="196"/>
      <c r="AH46" s="196"/>
      <c r="AI46" s="196"/>
      <c r="AJ46" s="196"/>
      <c r="AK46" s="196"/>
      <c r="AL46" s="196"/>
      <c r="AM46" s="196"/>
      <c r="AN46" s="196"/>
      <c r="AO46" s="196"/>
      <c r="AP46" s="196"/>
      <c r="AQ46" s="196"/>
      <c r="AR46" s="196"/>
      <c r="AS46" s="196"/>
      <c r="AT46" s="196"/>
      <c r="AU46" s="196"/>
      <c r="AV46" s="196"/>
      <c r="AW46" s="31"/>
      <c r="AX46" s="244"/>
      <c r="AY46" s="157">
        <f>[1]ano!J44</f>
        <v>39.14</v>
      </c>
      <c r="AZ46" s="167"/>
      <c r="BA46" s="245"/>
      <c r="BB46" s="35" t="s">
        <v>58</v>
      </c>
      <c r="BC46" s="214"/>
      <c r="BD46" s="197"/>
      <c r="BE46" s="240"/>
      <c r="BF46" s="238"/>
      <c r="BG46" s="245"/>
      <c r="BH46" s="238"/>
      <c r="BI46" s="214"/>
    </row>
    <row r="47" spans="1:61" s="161" customFormat="1" ht="21" customHeight="1" thickBot="1">
      <c r="A47" s="246"/>
      <c r="B47" s="247" t="s">
        <v>67</v>
      </c>
      <c r="C47" s="248"/>
      <c r="D47" s="248"/>
      <c r="E47" s="248"/>
      <c r="F47" s="248"/>
      <c r="G47" s="248"/>
      <c r="H47" s="248"/>
      <c r="I47" s="248"/>
      <c r="J47" s="248"/>
      <c r="K47" s="248"/>
      <c r="L47" s="248"/>
      <c r="M47" s="248"/>
      <c r="N47" s="242"/>
      <c r="O47" s="242"/>
      <c r="P47" s="242"/>
      <c r="Q47" s="242"/>
      <c r="R47" s="242"/>
      <c r="S47" s="242"/>
      <c r="T47" s="242"/>
      <c r="U47" s="242"/>
      <c r="V47" s="242"/>
      <c r="W47" s="242"/>
      <c r="X47" s="242"/>
      <c r="Y47" s="242"/>
      <c r="Z47" s="242"/>
      <c r="AA47" s="242"/>
      <c r="AB47" s="242"/>
      <c r="AC47" s="242"/>
      <c r="AD47" s="242"/>
      <c r="AE47" s="242"/>
      <c r="AF47" s="242"/>
      <c r="AG47" s="242"/>
      <c r="AH47" s="242"/>
      <c r="AI47" s="242"/>
      <c r="AJ47" s="242"/>
      <c r="AK47" s="242"/>
      <c r="AL47" s="242"/>
      <c r="AM47" s="242"/>
      <c r="AN47" s="242"/>
      <c r="AO47" s="242"/>
      <c r="AP47" s="242"/>
      <c r="AQ47" s="242"/>
      <c r="AR47" s="242"/>
      <c r="AS47" s="242"/>
      <c r="AT47" s="242"/>
      <c r="AU47" s="242"/>
      <c r="AV47" s="242"/>
      <c r="AW47" s="242"/>
      <c r="AX47" s="249"/>
      <c r="AY47" s="26" t="s">
        <v>68</v>
      </c>
      <c r="AZ47" s="167"/>
      <c r="BA47" s="245"/>
      <c r="BB47" s="54" t="s">
        <v>61</v>
      </c>
      <c r="BC47" s="214"/>
      <c r="BD47" s="197"/>
      <c r="BE47" s="238"/>
      <c r="BF47" s="238"/>
      <c r="BG47" s="245"/>
      <c r="BH47" s="238"/>
      <c r="BI47" s="214"/>
    </row>
    <row r="48" spans="1:61" s="161" customFormat="1" ht="21" customHeight="1" thickBot="1">
      <c r="A48" s="245"/>
      <c r="B48" s="250" t="s">
        <v>69</v>
      </c>
      <c r="C48" s="245"/>
      <c r="D48" s="245"/>
      <c r="E48" s="245"/>
      <c r="F48" s="245"/>
      <c r="G48" s="245"/>
      <c r="H48" s="245"/>
      <c r="I48" s="245"/>
      <c r="J48" s="245"/>
      <c r="K48" s="245"/>
      <c r="L48" s="245"/>
      <c r="M48" s="245"/>
      <c r="N48" s="196"/>
      <c r="O48" s="196"/>
      <c r="P48" s="196"/>
      <c r="Q48" s="196"/>
      <c r="R48" s="196"/>
      <c r="S48" s="196"/>
      <c r="T48" s="196"/>
      <c r="U48" s="196"/>
      <c r="V48" s="196"/>
      <c r="W48" s="196"/>
      <c r="X48" s="196"/>
      <c r="Y48" s="196"/>
      <c r="Z48" s="196"/>
      <c r="AA48" s="196"/>
      <c r="AB48" s="196"/>
      <c r="AC48" s="196"/>
      <c r="AD48" s="196"/>
      <c r="AE48" s="196"/>
      <c r="AF48" s="196"/>
      <c r="AG48" s="196"/>
      <c r="AH48" s="196"/>
      <c r="AI48" s="196"/>
      <c r="AJ48" s="196"/>
      <c r="AK48" s="196"/>
      <c r="AL48" s="196"/>
      <c r="AM48" s="196"/>
      <c r="AN48" s="196"/>
      <c r="AO48" s="196"/>
      <c r="AP48" s="196"/>
      <c r="AQ48" s="196"/>
      <c r="AR48" s="196"/>
      <c r="AS48" s="196"/>
      <c r="AT48" s="196"/>
      <c r="AU48" s="196"/>
      <c r="AV48" s="196"/>
      <c r="AW48" s="196"/>
      <c r="AX48" s="178"/>
      <c r="AY48" s="157">
        <f>AY44-AY46</f>
        <v>18.86</v>
      </c>
      <c r="AZ48" s="179"/>
      <c r="BA48" s="245"/>
      <c r="BB48" s="155">
        <f>SUM(BD9:BD39)</f>
        <v>7</v>
      </c>
      <c r="BC48" s="180"/>
      <c r="BD48" s="197"/>
      <c r="BE48" s="240"/>
      <c r="BF48" s="240"/>
      <c r="BG48" s="245"/>
      <c r="BH48" s="242"/>
      <c r="BI48" s="214"/>
    </row>
    <row r="49" spans="1:61" ht="24" customHeight="1">
      <c r="A49" s="1"/>
      <c r="B49" s="251" t="s">
        <v>71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7"/>
      <c r="BD49" s="197"/>
      <c r="BE49" s="1"/>
      <c r="BF49" s="1"/>
      <c r="BG49" s="1"/>
      <c r="BH49" s="1"/>
      <c r="BI49" s="17"/>
    </row>
    <row r="50" spans="1:61" ht="23.25">
      <c r="A50" s="294"/>
      <c r="B50" s="252"/>
      <c r="C50" s="252"/>
      <c r="D50" s="252"/>
      <c r="E50" s="252"/>
      <c r="F50" s="252"/>
      <c r="G50" s="252"/>
      <c r="H50" s="252"/>
      <c r="I50" s="252"/>
      <c r="J50" s="252"/>
      <c r="K50" s="252"/>
      <c r="L50" s="252"/>
      <c r="M50" s="252"/>
      <c r="N50" s="252"/>
      <c r="O50" s="252"/>
      <c r="P50" s="252"/>
      <c r="Q50" s="252"/>
      <c r="R50" s="252"/>
      <c r="S50" s="252"/>
      <c r="T50" s="252"/>
      <c r="U50" s="252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61" s="189" customFormat="1" ht="18">
      <c r="A51" s="188"/>
      <c r="B51" s="188"/>
      <c r="C51" s="188"/>
      <c r="D51" s="188"/>
      <c r="E51" s="188"/>
      <c r="F51" s="188"/>
      <c r="G51" s="188"/>
      <c r="H51" s="188"/>
      <c r="I51" s="188"/>
      <c r="J51" s="188"/>
      <c r="K51" s="188"/>
      <c r="L51" s="188"/>
      <c r="M51" s="188"/>
      <c r="N51" s="188"/>
      <c r="O51" s="188"/>
      <c r="P51" s="188"/>
      <c r="Q51" s="188"/>
      <c r="R51" s="188"/>
      <c r="S51" s="188"/>
      <c r="T51" s="188"/>
      <c r="U51" s="188"/>
      <c r="V51" s="188"/>
      <c r="W51" s="188"/>
      <c r="X51" s="188"/>
      <c r="Y51" s="188"/>
      <c r="Z51" s="188"/>
      <c r="AA51" s="188"/>
      <c r="AB51" s="188"/>
      <c r="AC51" s="188"/>
      <c r="AD51" s="188"/>
      <c r="AE51" s="188"/>
      <c r="AF51" s="188"/>
      <c r="AG51" s="188"/>
      <c r="AH51" s="188"/>
      <c r="AI51" s="188"/>
      <c r="AJ51" s="188"/>
      <c r="AK51" s="188"/>
      <c r="AL51" s="188"/>
      <c r="AM51" s="188"/>
      <c r="AN51" s="188"/>
      <c r="AO51" s="188"/>
      <c r="AP51" s="188"/>
      <c r="AQ51" s="188"/>
      <c r="AR51" s="188"/>
      <c r="AS51" s="188"/>
      <c r="AT51" s="188"/>
      <c r="AU51" s="188"/>
      <c r="AV51" s="188"/>
      <c r="BD51" s="191"/>
    </row>
    <row r="52" spans="1:61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61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1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295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1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1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12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1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1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</sheetData>
  <sheetProtection selectLockedCells="1" selectUnlockedCells="1"/>
  <mergeCells count="55">
    <mergeCell ref="AN41:AO41"/>
    <mergeCell ref="AP41:AQ41"/>
    <mergeCell ref="AR41:AS41"/>
    <mergeCell ref="AT41:AU41"/>
    <mergeCell ref="AV41:AW41"/>
    <mergeCell ref="AB41:AC41"/>
    <mergeCell ref="AD41:AE41"/>
    <mergeCell ref="AF41:AG41"/>
    <mergeCell ref="AH41:AI41"/>
    <mergeCell ref="AJ41:AK41"/>
    <mergeCell ref="AL41:AM41"/>
    <mergeCell ref="P41:Q41"/>
    <mergeCell ref="R41:S41"/>
    <mergeCell ref="T41:U41"/>
    <mergeCell ref="V41:W41"/>
    <mergeCell ref="X41:Y41"/>
    <mergeCell ref="Z41:AA41"/>
    <mergeCell ref="AR7:AS7"/>
    <mergeCell ref="AT7:AU7"/>
    <mergeCell ref="AV7:AW7"/>
    <mergeCell ref="B41:C41"/>
    <mergeCell ref="D41:E41"/>
    <mergeCell ref="F41:G41"/>
    <mergeCell ref="H41:I41"/>
    <mergeCell ref="J41:K41"/>
    <mergeCell ref="L41:M41"/>
    <mergeCell ref="N41:O41"/>
    <mergeCell ref="AF7:AG7"/>
    <mergeCell ref="AH7:AI7"/>
    <mergeCell ref="AJ7:AK7"/>
    <mergeCell ref="AL7:AM7"/>
    <mergeCell ref="AN7:AO7"/>
    <mergeCell ref="AP7:AQ7"/>
    <mergeCell ref="T7:U7"/>
    <mergeCell ref="V7:W7"/>
    <mergeCell ref="X7:Y7"/>
    <mergeCell ref="Z7:AA7"/>
    <mergeCell ref="AB7:AC7"/>
    <mergeCell ref="AD7:AE7"/>
    <mergeCell ref="AY5:BB5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BE2:BF2"/>
    <mergeCell ref="BG2:BH2"/>
    <mergeCell ref="G3:I3"/>
    <mergeCell ref="BE3:BF3"/>
    <mergeCell ref="AY4:BB4"/>
    <mergeCell ref="BE4:BH4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BI59"/>
  <sheetViews>
    <sheetView showGridLines="0" defaultGridColor="0" colorId="8" zoomScale="60" zoomScaleNormal="60" workbookViewId="0">
      <selection activeCell="B5" sqref="B5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193" customWidth="1"/>
    <col min="57" max="58" width="13.140625" customWidth="1"/>
    <col min="59" max="59" width="12.42578125" customWidth="1"/>
    <col min="60" max="60" width="14.42578125" customWidth="1"/>
  </cols>
  <sheetData>
    <row r="1" spans="1:61" s="6" customFormat="1" ht="21" customHeight="1">
      <c r="A1" s="318"/>
      <c r="B1" s="319" t="s">
        <v>87</v>
      </c>
      <c r="C1" s="3"/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1"/>
      <c r="B2" s="7" t="s">
        <v>88</v>
      </c>
      <c r="C2" s="8"/>
      <c r="D2" s="8"/>
      <c r="E2" s="8"/>
      <c r="F2" s="9"/>
      <c r="G2" s="9"/>
      <c r="H2" s="31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</row>
    <row r="3" spans="1:61" s="6" customFormat="1" ht="21" customHeight="1" thickBot="1">
      <c r="A3" s="1"/>
      <c r="B3" s="7" t="s">
        <v>89</v>
      </c>
      <c r="C3" s="8"/>
      <c r="D3" s="8"/>
      <c r="E3" s="8"/>
      <c r="F3" s="9"/>
      <c r="G3" s="9"/>
      <c r="H3" s="320"/>
      <c r="I3" s="320"/>
      <c r="J3" s="320"/>
      <c r="K3" s="1"/>
      <c r="L3" s="1"/>
      <c r="M3" s="3" t="s">
        <v>8</v>
      </c>
      <c r="N3" s="1"/>
      <c r="O3" s="1"/>
      <c r="P3" s="1"/>
      <c r="Q3" s="1"/>
      <c r="R3" s="1"/>
      <c r="S3" s="1"/>
      <c r="T3" s="1"/>
      <c r="U3" s="1"/>
      <c r="V3" s="1"/>
      <c r="W3" s="13"/>
      <c r="X3" s="13"/>
      <c r="Y3" s="13"/>
      <c r="Z3" s="13"/>
      <c r="AA3" s="13"/>
      <c r="AB3" s="13"/>
      <c r="AC3" s="13"/>
      <c r="AD3" s="13"/>
      <c r="AE3" s="10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</row>
    <row r="4" spans="1:61" ht="21" customHeight="1" thickBot="1">
      <c r="A4" s="195"/>
      <c r="B4" s="196"/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  <c r="X4" s="196"/>
      <c r="Y4" s="196"/>
      <c r="Z4" s="196"/>
      <c r="AA4" s="196"/>
      <c r="AB4" s="196"/>
      <c r="AC4" s="196"/>
      <c r="AD4" s="196"/>
      <c r="AE4" s="196"/>
      <c r="AF4" s="196"/>
      <c r="AG4" s="196"/>
      <c r="AH4" s="196"/>
      <c r="AI4" s="196"/>
      <c r="AJ4" s="196"/>
      <c r="AK4" s="196"/>
      <c r="AL4" s="196"/>
      <c r="AM4" s="196"/>
      <c r="AN4" s="196"/>
      <c r="AO4" s="196"/>
      <c r="AP4" s="196"/>
      <c r="AQ4" s="196"/>
      <c r="AR4" s="196"/>
      <c r="AS4" s="196"/>
      <c r="AT4" s="196"/>
      <c r="AU4" s="196"/>
      <c r="AV4" s="196"/>
      <c r="AW4" s="196"/>
      <c r="AX4" s="196"/>
      <c r="AY4" s="18" t="s">
        <v>9</v>
      </c>
      <c r="AZ4" s="18"/>
      <c r="BA4" s="18"/>
      <c r="BB4" s="18"/>
      <c r="BC4" s="17"/>
      <c r="BD4" s="19"/>
      <c r="BE4" s="18" t="s">
        <v>9</v>
      </c>
      <c r="BF4" s="18"/>
      <c r="BG4" s="18"/>
      <c r="BH4" s="18"/>
    </row>
    <row r="5" spans="1:61" ht="21" customHeight="1" thickBo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"/>
      <c r="AS5" s="1"/>
      <c r="AT5" s="1"/>
      <c r="AU5" s="1"/>
      <c r="AV5" s="1"/>
      <c r="AW5" s="1"/>
      <c r="AX5" s="17"/>
      <c r="AY5" s="25" t="s">
        <v>11</v>
      </c>
      <c r="AZ5" s="25"/>
      <c r="BA5" s="25"/>
      <c r="BB5" s="25"/>
      <c r="BC5" s="17"/>
      <c r="BD5" s="19"/>
      <c r="BE5" s="26" t="s">
        <v>12</v>
      </c>
      <c r="BF5" s="27" t="s">
        <v>13</v>
      </c>
      <c r="BG5" s="28" t="s">
        <v>14</v>
      </c>
      <c r="BH5" s="29"/>
    </row>
    <row r="6" spans="1:61" ht="21" customHeight="1" thickBot="1">
      <c r="A6" s="30"/>
      <c r="B6" s="31"/>
      <c r="C6" s="32"/>
      <c r="D6" s="31"/>
      <c r="E6" s="32"/>
      <c r="F6" s="31"/>
      <c r="G6" s="32"/>
      <c r="H6" s="31"/>
      <c r="I6" s="32"/>
      <c r="J6" s="31"/>
      <c r="K6" s="32"/>
      <c r="L6" s="31"/>
      <c r="M6" s="32"/>
      <c r="N6" s="31"/>
      <c r="O6" s="32"/>
      <c r="P6" s="31"/>
      <c r="Q6" s="32"/>
      <c r="R6" s="31"/>
      <c r="S6" s="32"/>
      <c r="T6" s="31"/>
      <c r="U6" s="32"/>
      <c r="V6" s="31"/>
      <c r="W6" s="32"/>
      <c r="X6" s="31"/>
      <c r="Y6" s="32"/>
      <c r="Z6" s="31"/>
      <c r="AA6" s="32"/>
      <c r="AB6" s="31"/>
      <c r="AC6" s="32"/>
      <c r="AD6" s="31"/>
      <c r="AE6" s="32"/>
      <c r="AF6" s="31"/>
      <c r="AG6" s="32"/>
      <c r="AH6" s="31"/>
      <c r="AI6" s="32"/>
      <c r="AJ6" s="31"/>
      <c r="AK6" s="32"/>
      <c r="AL6" s="31"/>
      <c r="AM6" s="32"/>
      <c r="AN6" s="31"/>
      <c r="AO6" s="32"/>
      <c r="AP6" s="31"/>
      <c r="AQ6" s="32"/>
      <c r="AR6" s="31"/>
      <c r="AS6" s="32"/>
      <c r="AT6" s="31"/>
      <c r="AU6" s="32"/>
      <c r="AV6" s="31"/>
      <c r="AW6" s="32"/>
      <c r="AX6" s="31"/>
      <c r="AY6" s="33" t="s">
        <v>15</v>
      </c>
      <c r="AZ6" s="33" t="s">
        <v>16</v>
      </c>
      <c r="BA6" s="34" t="s">
        <v>17</v>
      </c>
      <c r="BB6" s="34"/>
      <c r="BC6" s="17"/>
      <c r="BD6" s="19"/>
      <c r="BE6" s="35" t="s">
        <v>15</v>
      </c>
      <c r="BF6" s="35"/>
      <c r="BG6" s="35" t="s">
        <v>17</v>
      </c>
      <c r="BH6" s="35"/>
    </row>
    <row r="7" spans="1:61" ht="21" customHeight="1" thickBot="1">
      <c r="A7" s="36" t="s">
        <v>18</v>
      </c>
      <c r="B7" s="37" t="s">
        <v>19</v>
      </c>
      <c r="C7" s="37"/>
      <c r="D7" s="38" t="s">
        <v>20</v>
      </c>
      <c r="E7" s="38"/>
      <c r="F7" s="37" t="s">
        <v>21</v>
      </c>
      <c r="G7" s="37"/>
      <c r="H7" s="37" t="s">
        <v>22</v>
      </c>
      <c r="I7" s="37"/>
      <c r="J7" s="39" t="s">
        <v>23</v>
      </c>
      <c r="K7" s="39"/>
      <c r="L7" s="37" t="s">
        <v>24</v>
      </c>
      <c r="M7" s="37"/>
      <c r="N7" s="37" t="s">
        <v>25</v>
      </c>
      <c r="O7" s="37"/>
      <c r="P7" s="37" t="s">
        <v>26</v>
      </c>
      <c r="Q7" s="37"/>
      <c r="R7" s="37" t="s">
        <v>27</v>
      </c>
      <c r="S7" s="37"/>
      <c r="T7" s="37" t="s">
        <v>28</v>
      </c>
      <c r="U7" s="37"/>
      <c r="V7" s="37" t="s">
        <v>29</v>
      </c>
      <c r="W7" s="37"/>
      <c r="X7" s="37" t="s">
        <v>30</v>
      </c>
      <c r="Y7" s="37"/>
      <c r="Z7" s="40" t="s">
        <v>31</v>
      </c>
      <c r="AA7" s="40"/>
      <c r="AB7" s="37" t="s">
        <v>32</v>
      </c>
      <c r="AC7" s="37"/>
      <c r="AD7" s="37" t="s">
        <v>33</v>
      </c>
      <c r="AE7" s="37"/>
      <c r="AF7" s="37" t="s">
        <v>34</v>
      </c>
      <c r="AG7" s="37"/>
      <c r="AH7" s="37" t="s">
        <v>35</v>
      </c>
      <c r="AI7" s="37"/>
      <c r="AJ7" s="37" t="s">
        <v>36</v>
      </c>
      <c r="AK7" s="37"/>
      <c r="AL7" s="37" t="s">
        <v>37</v>
      </c>
      <c r="AM7" s="37"/>
      <c r="AN7" s="37" t="s">
        <v>38</v>
      </c>
      <c r="AO7" s="37"/>
      <c r="AP7" s="37" t="s">
        <v>39</v>
      </c>
      <c r="AQ7" s="37"/>
      <c r="AR7" s="37" t="s">
        <v>40</v>
      </c>
      <c r="AS7" s="37"/>
      <c r="AT7" s="37" t="s">
        <v>41</v>
      </c>
      <c r="AU7" s="37"/>
      <c r="AV7" s="37" t="s">
        <v>42</v>
      </c>
      <c r="AW7" s="37"/>
      <c r="AX7" s="41" t="s">
        <v>18</v>
      </c>
      <c r="AY7" s="35" t="s">
        <v>43</v>
      </c>
      <c r="AZ7" s="35" t="s">
        <v>43</v>
      </c>
      <c r="BA7" s="35" t="s">
        <v>44</v>
      </c>
      <c r="BB7" s="35" t="s">
        <v>45</v>
      </c>
      <c r="BC7" s="42"/>
      <c r="BD7" s="197"/>
      <c r="BE7" s="35" t="s">
        <v>43</v>
      </c>
      <c r="BF7" s="35"/>
      <c r="BG7" s="35" t="s">
        <v>44</v>
      </c>
      <c r="BH7" s="35"/>
    </row>
    <row r="8" spans="1:61" ht="21" customHeight="1" thickBot="1">
      <c r="A8" s="43" t="s">
        <v>46</v>
      </c>
      <c r="B8" s="198" t="s">
        <v>47</v>
      </c>
      <c r="C8" s="199" t="s">
        <v>48</v>
      </c>
      <c r="D8" s="200" t="s">
        <v>47</v>
      </c>
      <c r="E8" s="201" t="s">
        <v>48</v>
      </c>
      <c r="F8" s="200" t="s">
        <v>47</v>
      </c>
      <c r="G8" s="202" t="s">
        <v>48</v>
      </c>
      <c r="H8" s="200" t="s">
        <v>47</v>
      </c>
      <c r="I8" s="202" t="s">
        <v>48</v>
      </c>
      <c r="J8" s="200" t="s">
        <v>47</v>
      </c>
      <c r="K8" s="202" t="s">
        <v>48</v>
      </c>
      <c r="L8" s="200" t="s">
        <v>47</v>
      </c>
      <c r="M8" s="202" t="s">
        <v>48</v>
      </c>
      <c r="N8" s="200" t="s">
        <v>47</v>
      </c>
      <c r="O8" s="202" t="s">
        <v>48</v>
      </c>
      <c r="P8" s="200" t="s">
        <v>47</v>
      </c>
      <c r="Q8" s="202" t="s">
        <v>48</v>
      </c>
      <c r="R8" s="200" t="s">
        <v>47</v>
      </c>
      <c r="S8" s="202" t="s">
        <v>48</v>
      </c>
      <c r="T8" s="200" t="s">
        <v>47</v>
      </c>
      <c r="U8" s="202" t="s">
        <v>48</v>
      </c>
      <c r="V8" s="200" t="s">
        <v>47</v>
      </c>
      <c r="W8" s="202" t="s">
        <v>48</v>
      </c>
      <c r="X8" s="200" t="s">
        <v>47</v>
      </c>
      <c r="Y8" s="202" t="s">
        <v>48</v>
      </c>
      <c r="Z8" s="200" t="s">
        <v>47</v>
      </c>
      <c r="AA8" s="202" t="s">
        <v>48</v>
      </c>
      <c r="AB8" s="200" t="s">
        <v>47</v>
      </c>
      <c r="AC8" s="202" t="s">
        <v>48</v>
      </c>
      <c r="AD8" s="200" t="s">
        <v>47</v>
      </c>
      <c r="AE8" s="202" t="s">
        <v>48</v>
      </c>
      <c r="AF8" s="200" t="s">
        <v>47</v>
      </c>
      <c r="AG8" s="202" t="s">
        <v>48</v>
      </c>
      <c r="AH8" s="200" t="s">
        <v>47</v>
      </c>
      <c r="AI8" s="202" t="s">
        <v>48</v>
      </c>
      <c r="AJ8" s="200" t="s">
        <v>47</v>
      </c>
      <c r="AK8" s="203" t="s">
        <v>48</v>
      </c>
      <c r="AL8" s="200" t="s">
        <v>47</v>
      </c>
      <c r="AM8" s="202" t="s">
        <v>48</v>
      </c>
      <c r="AN8" s="200" t="s">
        <v>47</v>
      </c>
      <c r="AO8" s="202" t="s">
        <v>48</v>
      </c>
      <c r="AP8" s="200" t="s">
        <v>47</v>
      </c>
      <c r="AQ8" s="203" t="s">
        <v>48</v>
      </c>
      <c r="AR8" s="200" t="s">
        <v>47</v>
      </c>
      <c r="AS8" s="202" t="s">
        <v>48</v>
      </c>
      <c r="AT8" s="204" t="s">
        <v>47</v>
      </c>
      <c r="AU8" s="205" t="s">
        <v>48</v>
      </c>
      <c r="AV8" s="204" t="s">
        <v>47</v>
      </c>
      <c r="AW8" s="205" t="s">
        <v>48</v>
      </c>
      <c r="AX8" s="52" t="s">
        <v>46</v>
      </c>
      <c r="AY8" s="53" t="s">
        <v>49</v>
      </c>
      <c r="AZ8" s="53" t="s">
        <v>50</v>
      </c>
      <c r="BA8" s="54" t="s">
        <v>51</v>
      </c>
      <c r="BB8" s="54" t="s">
        <v>52</v>
      </c>
      <c r="BC8" s="206"/>
      <c r="BD8" s="197"/>
      <c r="BE8" s="54" t="s">
        <v>49</v>
      </c>
      <c r="BF8" s="54"/>
      <c r="BG8" s="54" t="s">
        <v>51</v>
      </c>
      <c r="BH8" s="54" t="s">
        <v>52</v>
      </c>
    </row>
    <row r="9" spans="1:61" ht="21" customHeight="1" thickBot="1">
      <c r="A9" s="71">
        <v>1</v>
      </c>
      <c r="B9" s="256"/>
      <c r="C9" s="257"/>
      <c r="D9" s="258"/>
      <c r="E9" s="257"/>
      <c r="F9" s="258"/>
      <c r="G9" s="257"/>
      <c r="H9" s="258"/>
      <c r="I9" s="257"/>
      <c r="J9" s="258"/>
      <c r="K9" s="257"/>
      <c r="L9" s="258"/>
      <c r="M9" s="257"/>
      <c r="N9" s="258"/>
      <c r="O9" s="257"/>
      <c r="P9" s="258"/>
      <c r="Q9" s="257"/>
      <c r="R9" s="258"/>
      <c r="S9" s="257"/>
      <c r="T9" s="258"/>
      <c r="U9" s="257"/>
      <c r="V9" s="258"/>
      <c r="W9" s="257"/>
      <c r="X9" s="258"/>
      <c r="Y9" s="257"/>
      <c r="Z9" s="258"/>
      <c r="AA9" s="257"/>
      <c r="AB9" s="258"/>
      <c r="AC9" s="257"/>
      <c r="AD9" s="258"/>
      <c r="AE9" s="257"/>
      <c r="AF9" s="259"/>
      <c r="AG9" s="257"/>
      <c r="AH9" s="258"/>
      <c r="AI9" s="257"/>
      <c r="AJ9" s="258"/>
      <c r="AK9" s="260"/>
      <c r="AL9" s="256"/>
      <c r="AM9" s="261"/>
      <c r="AN9" s="256"/>
      <c r="AO9" s="261"/>
      <c r="AP9" s="256"/>
      <c r="AQ9" s="262"/>
      <c r="AR9" s="256"/>
      <c r="AS9" s="257"/>
      <c r="AT9" s="256"/>
      <c r="AU9" s="262"/>
      <c r="AV9" s="256"/>
      <c r="AW9" s="262"/>
      <c r="AX9" s="91">
        <v>1</v>
      </c>
      <c r="AY9" s="92">
        <f t="shared" ref="AY9:AZ38" si="0">B9+D9+F9+H9+J9+L9+N9+P9+R9+T9+V9+X9+Z9+AB9+AD9+AF9+AH9+AJ9+AL9+AN9+AP9+AR9+AT9+AV9</f>
        <v>0</v>
      </c>
      <c r="AZ9" s="93">
        <f t="shared" si="0"/>
        <v>0</v>
      </c>
      <c r="BA9" s="94">
        <f t="shared" ref="BA9:BA38" si="1">MAX(B9,D9,F9,H9,J9,L9,N9,P9,R9,T9,V9,X9,Z9,AB9,AD9,AF9,AH9,AJ9,AL9,AN9,AP9,AR9,AT9,AV9)</f>
        <v>0</v>
      </c>
      <c r="BB9" s="95">
        <f t="shared" ref="BB9:BB38" si="2">COUNT(B9,D9,F9,H9,J9,L9,N9,P9,R9,T9,V9,X9,Z9,AB9,AD9,AF9,AH9,AJ9,AL9,AN9,AP9,AR9,AT9,AV9)</f>
        <v>0</v>
      </c>
      <c r="BC9" s="214"/>
      <c r="BD9" s="197">
        <f t="shared" ref="BD9:BD38" si="3">IF(BB9&gt;0,1,0)</f>
        <v>0</v>
      </c>
      <c r="BE9" s="264">
        <f>agosto!$BH40</f>
        <v>0</v>
      </c>
      <c r="BF9" s="85">
        <v>39325</v>
      </c>
      <c r="BG9" s="86">
        <f>setembro!$BE10</f>
        <v>0</v>
      </c>
      <c r="BH9" s="87"/>
      <c r="BI9" s="197">
        <f>IF(BH9&gt;0,1,0)</f>
        <v>0</v>
      </c>
    </row>
    <row r="10" spans="1:61" ht="21" customHeight="1" thickBot="1">
      <c r="A10" s="71">
        <v>2</v>
      </c>
      <c r="B10" s="258"/>
      <c r="C10" s="257"/>
      <c r="D10" s="258"/>
      <c r="E10" s="257"/>
      <c r="F10" s="258"/>
      <c r="G10" s="257"/>
      <c r="H10" s="258"/>
      <c r="I10" s="257"/>
      <c r="J10" s="258"/>
      <c r="K10" s="257"/>
      <c r="L10" s="258"/>
      <c r="M10" s="257"/>
      <c r="N10" s="258"/>
      <c r="O10" s="257"/>
      <c r="P10" s="258"/>
      <c r="Q10" s="257"/>
      <c r="R10" s="258"/>
      <c r="S10" s="257"/>
      <c r="T10" s="258"/>
      <c r="U10" s="257"/>
      <c r="V10" s="258"/>
      <c r="W10" s="257"/>
      <c r="X10" s="258"/>
      <c r="Y10" s="257"/>
      <c r="Z10" s="258"/>
      <c r="AA10" s="257"/>
      <c r="AB10" s="258"/>
      <c r="AC10" s="257"/>
      <c r="AD10" s="258"/>
      <c r="AE10" s="257"/>
      <c r="AF10" s="258"/>
      <c r="AG10" s="257"/>
      <c r="AH10" s="258"/>
      <c r="AI10" s="257"/>
      <c r="AJ10" s="258"/>
      <c r="AK10" s="265"/>
      <c r="AL10" s="258"/>
      <c r="AM10" s="257"/>
      <c r="AN10" s="258"/>
      <c r="AO10" s="257"/>
      <c r="AP10" s="258"/>
      <c r="AQ10" s="265"/>
      <c r="AR10" s="258"/>
      <c r="AS10" s="257"/>
      <c r="AT10" s="258"/>
      <c r="AU10" s="265"/>
      <c r="AV10" s="258"/>
      <c r="AW10" s="265"/>
      <c r="AX10" s="91">
        <v>2</v>
      </c>
      <c r="AY10" s="92">
        <f t="shared" si="0"/>
        <v>0</v>
      </c>
      <c r="AZ10" s="93">
        <f t="shared" si="0"/>
        <v>0</v>
      </c>
      <c r="BA10" s="94">
        <f t="shared" si="1"/>
        <v>0</v>
      </c>
      <c r="BB10" s="95">
        <f t="shared" si="2"/>
        <v>0</v>
      </c>
      <c r="BC10" s="214"/>
      <c r="BD10" s="197">
        <f t="shared" si="3"/>
        <v>0</v>
      </c>
      <c r="BE10" s="84">
        <f t="shared" ref="BE10:BE37" si="4">P9+R9+T9+V9+X9+Z9+AB9+AD9+AF9+AH9+AJ9+AL9+AN9+AP9+AR9+AT9+AV9+B10+D10+F10+H10+J10+L10+N10</f>
        <v>0</v>
      </c>
      <c r="BF10" s="96"/>
      <c r="BG10" s="86">
        <f>setembro!$BE11</f>
        <v>0</v>
      </c>
      <c r="BH10" s="97"/>
      <c r="BI10" s="197">
        <f>IF(BH10&gt;0,1,0)</f>
        <v>0</v>
      </c>
    </row>
    <row r="11" spans="1:61" ht="21" customHeight="1">
      <c r="A11" s="71">
        <v>3</v>
      </c>
      <c r="B11" s="258"/>
      <c r="C11" s="257"/>
      <c r="D11" s="258"/>
      <c r="E11" s="257"/>
      <c r="F11" s="258"/>
      <c r="G11" s="257"/>
      <c r="H11" s="258"/>
      <c r="I11" s="257"/>
      <c r="J11" s="258"/>
      <c r="K11" s="257"/>
      <c r="L11" s="258"/>
      <c r="M11" s="257"/>
      <c r="N11" s="258"/>
      <c r="O11" s="257"/>
      <c r="P11" s="258"/>
      <c r="Q11" s="257"/>
      <c r="R11" s="258"/>
      <c r="S11" s="257"/>
      <c r="T11" s="258"/>
      <c r="U11" s="257"/>
      <c r="V11" s="258"/>
      <c r="W11" s="257"/>
      <c r="X11" s="258"/>
      <c r="Y11" s="257"/>
      <c r="Z11" s="258"/>
      <c r="AA11" s="257"/>
      <c r="AB11" s="258"/>
      <c r="AC11" s="257"/>
      <c r="AD11" s="258"/>
      <c r="AE11" s="257"/>
      <c r="AF11" s="258"/>
      <c r="AG11" s="257"/>
      <c r="AH11" s="258"/>
      <c r="AI11" s="257"/>
      <c r="AJ11" s="258"/>
      <c r="AK11" s="265"/>
      <c r="AL11" s="258"/>
      <c r="AM11" s="257"/>
      <c r="AN11" s="258"/>
      <c r="AO11" s="257"/>
      <c r="AP11" s="258"/>
      <c r="AQ11" s="265"/>
      <c r="AR11" s="258"/>
      <c r="AS11" s="257"/>
      <c r="AT11" s="258"/>
      <c r="AU11" s="265"/>
      <c r="AV11" s="258"/>
      <c r="AW11" s="265"/>
      <c r="AX11" s="91">
        <v>3</v>
      </c>
      <c r="AY11" s="92">
        <f t="shared" si="0"/>
        <v>0</v>
      </c>
      <c r="AZ11" s="93">
        <f t="shared" si="0"/>
        <v>0</v>
      </c>
      <c r="BA11" s="94">
        <f t="shared" si="1"/>
        <v>0</v>
      </c>
      <c r="BB11" s="95">
        <f t="shared" si="2"/>
        <v>0</v>
      </c>
      <c r="BC11" s="214"/>
      <c r="BD11" s="197">
        <f t="shared" si="3"/>
        <v>0</v>
      </c>
      <c r="BE11" s="98">
        <f t="shared" si="4"/>
        <v>0</v>
      </c>
      <c r="BF11" s="99"/>
      <c r="BG11" s="86">
        <f>setembro!$BE12</f>
        <v>0</v>
      </c>
      <c r="BH11" s="97"/>
      <c r="BI11" s="197">
        <f t="shared" ref="BI11:BI38" si="5">IF(BH11&gt;0,1,0)</f>
        <v>0</v>
      </c>
    </row>
    <row r="12" spans="1:61" ht="21" customHeight="1">
      <c r="A12" s="71">
        <v>4</v>
      </c>
      <c r="B12" s="258"/>
      <c r="C12" s="257"/>
      <c r="D12" s="258"/>
      <c r="E12" s="257"/>
      <c r="F12" s="258"/>
      <c r="G12" s="257"/>
      <c r="H12" s="258"/>
      <c r="I12" s="257"/>
      <c r="J12" s="258"/>
      <c r="K12" s="257"/>
      <c r="L12" s="258"/>
      <c r="M12" s="257"/>
      <c r="N12" s="258"/>
      <c r="O12" s="257"/>
      <c r="P12" s="258"/>
      <c r="Q12" s="257"/>
      <c r="R12" s="258"/>
      <c r="S12" s="257"/>
      <c r="T12" s="258"/>
      <c r="U12" s="257"/>
      <c r="V12" s="258"/>
      <c r="W12" s="257"/>
      <c r="X12" s="258"/>
      <c r="Y12" s="257"/>
      <c r="Z12" s="258"/>
      <c r="AA12" s="257"/>
      <c r="AB12" s="258"/>
      <c r="AC12" s="257"/>
      <c r="AD12" s="258"/>
      <c r="AE12" s="257"/>
      <c r="AF12" s="258"/>
      <c r="AG12" s="257"/>
      <c r="AH12" s="258"/>
      <c r="AI12" s="257"/>
      <c r="AJ12" s="258"/>
      <c r="AK12" s="265"/>
      <c r="AL12" s="258"/>
      <c r="AM12" s="257"/>
      <c r="AN12" s="258"/>
      <c r="AO12" s="257"/>
      <c r="AP12" s="258"/>
      <c r="AQ12" s="265"/>
      <c r="AR12" s="258"/>
      <c r="AS12" s="257"/>
      <c r="AT12" s="258"/>
      <c r="AU12" s="265"/>
      <c r="AV12" s="258"/>
      <c r="AW12" s="265"/>
      <c r="AX12" s="91">
        <v>4</v>
      </c>
      <c r="AY12" s="92">
        <f t="shared" si="0"/>
        <v>0</v>
      </c>
      <c r="AZ12" s="93">
        <f t="shared" si="0"/>
        <v>0</v>
      </c>
      <c r="BA12" s="94">
        <f t="shared" si="1"/>
        <v>0</v>
      </c>
      <c r="BB12" s="95">
        <f t="shared" si="2"/>
        <v>0</v>
      </c>
      <c r="BC12" s="214"/>
      <c r="BD12" s="197">
        <f t="shared" si="3"/>
        <v>0</v>
      </c>
      <c r="BE12" s="98">
        <f t="shared" si="4"/>
        <v>0</v>
      </c>
      <c r="BF12" s="99"/>
      <c r="BG12" s="86">
        <f>setembro!$BE13</f>
        <v>0</v>
      </c>
      <c r="BH12" s="97"/>
      <c r="BI12" s="197">
        <f t="shared" si="5"/>
        <v>0</v>
      </c>
    </row>
    <row r="13" spans="1:61" ht="21" customHeight="1">
      <c r="A13" s="71">
        <v>5</v>
      </c>
      <c r="B13" s="258"/>
      <c r="C13" s="257"/>
      <c r="D13" s="258"/>
      <c r="E13" s="257"/>
      <c r="F13" s="258"/>
      <c r="G13" s="257"/>
      <c r="H13" s="258"/>
      <c r="I13" s="257"/>
      <c r="J13" s="258"/>
      <c r="K13" s="257"/>
      <c r="L13" s="258"/>
      <c r="M13" s="257"/>
      <c r="N13" s="258"/>
      <c r="O13" s="257"/>
      <c r="P13" s="258"/>
      <c r="Q13" s="257"/>
      <c r="R13" s="258"/>
      <c r="S13" s="257"/>
      <c r="T13" s="258"/>
      <c r="U13" s="257"/>
      <c r="V13" s="258"/>
      <c r="W13" s="257"/>
      <c r="X13" s="258"/>
      <c r="Y13" s="257"/>
      <c r="Z13" s="258"/>
      <c r="AA13" s="257"/>
      <c r="AB13" s="258"/>
      <c r="AC13" s="257"/>
      <c r="AD13" s="258"/>
      <c r="AE13" s="257"/>
      <c r="AF13" s="258"/>
      <c r="AG13" s="257"/>
      <c r="AH13" s="258"/>
      <c r="AI13" s="257"/>
      <c r="AJ13" s="258"/>
      <c r="AK13" s="265"/>
      <c r="AL13" s="258"/>
      <c r="AM13" s="257"/>
      <c r="AN13" s="258"/>
      <c r="AO13" s="257"/>
      <c r="AP13" s="258"/>
      <c r="AQ13" s="265"/>
      <c r="AR13" s="258"/>
      <c r="AS13" s="257"/>
      <c r="AT13" s="258"/>
      <c r="AU13" s="265"/>
      <c r="AV13" s="258"/>
      <c r="AW13" s="265"/>
      <c r="AX13" s="91">
        <v>5</v>
      </c>
      <c r="AY13" s="92">
        <f t="shared" si="0"/>
        <v>0</v>
      </c>
      <c r="AZ13" s="93">
        <f t="shared" si="0"/>
        <v>0</v>
      </c>
      <c r="BA13" s="94">
        <f t="shared" si="1"/>
        <v>0</v>
      </c>
      <c r="BB13" s="95">
        <f t="shared" si="2"/>
        <v>0</v>
      </c>
      <c r="BC13" s="214"/>
      <c r="BD13" s="197">
        <f t="shared" si="3"/>
        <v>0</v>
      </c>
      <c r="BE13" s="98">
        <f t="shared" si="4"/>
        <v>0</v>
      </c>
      <c r="BF13" s="99"/>
      <c r="BG13" s="86">
        <f>setembro!$BE14</f>
        <v>0</v>
      </c>
      <c r="BH13" s="97"/>
      <c r="BI13" s="197">
        <f t="shared" si="5"/>
        <v>0</v>
      </c>
    </row>
    <row r="14" spans="1:61" ht="21" customHeight="1">
      <c r="A14" s="71">
        <v>6</v>
      </c>
      <c r="B14" s="258"/>
      <c r="C14" s="257"/>
      <c r="D14" s="258"/>
      <c r="E14" s="257"/>
      <c r="F14" s="258"/>
      <c r="G14" s="257"/>
      <c r="H14" s="258"/>
      <c r="I14" s="257"/>
      <c r="J14" s="258"/>
      <c r="K14" s="257"/>
      <c r="L14" s="258"/>
      <c r="M14" s="257"/>
      <c r="N14" s="258"/>
      <c r="O14" s="257"/>
      <c r="P14" s="258"/>
      <c r="Q14" s="257"/>
      <c r="R14" s="258"/>
      <c r="S14" s="257"/>
      <c r="T14" s="258"/>
      <c r="U14" s="257"/>
      <c r="V14" s="258"/>
      <c r="W14" s="257"/>
      <c r="X14" s="258"/>
      <c r="Y14" s="257"/>
      <c r="Z14" s="258"/>
      <c r="AA14" s="257"/>
      <c r="AB14" s="258"/>
      <c r="AC14" s="257"/>
      <c r="AD14" s="258"/>
      <c r="AE14" s="257"/>
      <c r="AF14" s="258"/>
      <c r="AG14" s="257"/>
      <c r="AH14" s="258"/>
      <c r="AI14" s="257"/>
      <c r="AJ14" s="258"/>
      <c r="AK14" s="265"/>
      <c r="AL14" s="258"/>
      <c r="AM14" s="257"/>
      <c r="AN14" s="258"/>
      <c r="AO14" s="257"/>
      <c r="AP14" s="258"/>
      <c r="AQ14" s="265"/>
      <c r="AR14" s="258"/>
      <c r="AS14" s="257"/>
      <c r="AT14" s="258"/>
      <c r="AU14" s="265"/>
      <c r="AV14" s="258"/>
      <c r="AW14" s="265"/>
      <c r="AX14" s="91">
        <v>6</v>
      </c>
      <c r="AY14" s="92">
        <f t="shared" si="0"/>
        <v>0</v>
      </c>
      <c r="AZ14" s="93">
        <f t="shared" si="0"/>
        <v>0</v>
      </c>
      <c r="BA14" s="94">
        <f t="shared" si="1"/>
        <v>0</v>
      </c>
      <c r="BB14" s="95">
        <f t="shared" si="2"/>
        <v>0</v>
      </c>
      <c r="BC14" s="214"/>
      <c r="BD14" s="197">
        <f t="shared" si="3"/>
        <v>0</v>
      </c>
      <c r="BE14" s="98">
        <f t="shared" si="4"/>
        <v>0</v>
      </c>
      <c r="BF14" s="99"/>
      <c r="BG14" s="86">
        <f>setembro!$BE15</f>
        <v>0</v>
      </c>
      <c r="BH14" s="97"/>
      <c r="BI14" s="197">
        <f t="shared" si="5"/>
        <v>0</v>
      </c>
    </row>
    <row r="15" spans="1:61" ht="21" customHeight="1">
      <c r="A15" s="71">
        <v>7</v>
      </c>
      <c r="B15" s="258"/>
      <c r="C15" s="257"/>
      <c r="D15" s="258"/>
      <c r="E15" s="257"/>
      <c r="F15" s="258"/>
      <c r="G15" s="257"/>
      <c r="H15" s="258"/>
      <c r="I15" s="257"/>
      <c r="J15" s="258"/>
      <c r="K15" s="257"/>
      <c r="L15" s="258"/>
      <c r="M15" s="257"/>
      <c r="N15" s="258"/>
      <c r="O15" s="257"/>
      <c r="P15" s="258"/>
      <c r="Q15" s="257"/>
      <c r="R15" s="258"/>
      <c r="S15" s="257"/>
      <c r="T15" s="258"/>
      <c r="U15" s="257"/>
      <c r="V15" s="258"/>
      <c r="W15" s="257"/>
      <c r="X15" s="258"/>
      <c r="Y15" s="257"/>
      <c r="Z15" s="258"/>
      <c r="AA15" s="257"/>
      <c r="AB15" s="258"/>
      <c r="AC15" s="257"/>
      <c r="AD15" s="258"/>
      <c r="AE15" s="257"/>
      <c r="AF15" s="258"/>
      <c r="AG15" s="257"/>
      <c r="AH15" s="258"/>
      <c r="AI15" s="257"/>
      <c r="AJ15" s="258"/>
      <c r="AK15" s="265"/>
      <c r="AL15" s="258"/>
      <c r="AM15" s="257"/>
      <c r="AN15" s="258"/>
      <c r="AO15" s="257"/>
      <c r="AP15" s="258"/>
      <c r="AQ15" s="265"/>
      <c r="AR15" s="258"/>
      <c r="AS15" s="257"/>
      <c r="AT15" s="258"/>
      <c r="AU15" s="265"/>
      <c r="AV15" s="258"/>
      <c r="AW15" s="265"/>
      <c r="AX15" s="91">
        <v>7</v>
      </c>
      <c r="AY15" s="92">
        <f t="shared" si="0"/>
        <v>0</v>
      </c>
      <c r="AZ15" s="93">
        <f t="shared" si="0"/>
        <v>0</v>
      </c>
      <c r="BA15" s="94">
        <f t="shared" si="1"/>
        <v>0</v>
      </c>
      <c r="BB15" s="95">
        <f t="shared" si="2"/>
        <v>0</v>
      </c>
      <c r="BC15" s="214"/>
      <c r="BD15" s="197">
        <f t="shared" si="3"/>
        <v>0</v>
      </c>
      <c r="BE15" s="98">
        <f t="shared" si="4"/>
        <v>0</v>
      </c>
      <c r="BF15" s="99"/>
      <c r="BG15" s="86">
        <f>setembro!$BE16</f>
        <v>0</v>
      </c>
      <c r="BH15" s="97"/>
      <c r="BI15" s="197">
        <f t="shared" si="5"/>
        <v>0</v>
      </c>
    </row>
    <row r="16" spans="1:61" ht="21" customHeight="1">
      <c r="A16" s="71">
        <v>8</v>
      </c>
      <c r="B16" s="258"/>
      <c r="C16" s="257"/>
      <c r="D16" s="258"/>
      <c r="E16" s="257"/>
      <c r="F16" s="258"/>
      <c r="G16" s="257"/>
      <c r="H16" s="258"/>
      <c r="I16" s="257"/>
      <c r="J16" s="258"/>
      <c r="K16" s="257"/>
      <c r="L16" s="258"/>
      <c r="M16" s="257"/>
      <c r="N16" s="258"/>
      <c r="O16" s="257"/>
      <c r="P16" s="258"/>
      <c r="Q16" s="257"/>
      <c r="R16" s="258"/>
      <c r="S16" s="257"/>
      <c r="T16" s="258"/>
      <c r="U16" s="257"/>
      <c r="V16" s="258"/>
      <c r="W16" s="257"/>
      <c r="X16" s="258"/>
      <c r="Y16" s="257"/>
      <c r="Z16" s="258"/>
      <c r="AA16" s="257"/>
      <c r="AB16" s="258"/>
      <c r="AC16" s="257"/>
      <c r="AD16" s="258"/>
      <c r="AE16" s="257"/>
      <c r="AF16" s="258"/>
      <c r="AG16" s="257"/>
      <c r="AH16" s="258"/>
      <c r="AI16" s="257"/>
      <c r="AJ16" s="258"/>
      <c r="AK16" s="265"/>
      <c r="AL16" s="258"/>
      <c r="AM16" s="257"/>
      <c r="AN16" s="258"/>
      <c r="AO16" s="257"/>
      <c r="AP16" s="258"/>
      <c r="AQ16" s="265"/>
      <c r="AR16" s="258"/>
      <c r="AS16" s="257"/>
      <c r="AT16" s="258"/>
      <c r="AU16" s="265"/>
      <c r="AV16" s="258"/>
      <c r="AW16" s="265"/>
      <c r="AX16" s="91">
        <v>8</v>
      </c>
      <c r="AY16" s="92">
        <f t="shared" si="0"/>
        <v>0</v>
      </c>
      <c r="AZ16" s="93">
        <f t="shared" si="0"/>
        <v>0</v>
      </c>
      <c r="BA16" s="94">
        <f t="shared" si="1"/>
        <v>0</v>
      </c>
      <c r="BB16" s="95">
        <f t="shared" si="2"/>
        <v>0</v>
      </c>
      <c r="BC16" s="216"/>
      <c r="BD16" s="197">
        <f t="shared" si="3"/>
        <v>0</v>
      </c>
      <c r="BE16" s="98">
        <f t="shared" si="4"/>
        <v>0</v>
      </c>
      <c r="BF16" s="99"/>
      <c r="BG16" s="86">
        <f>setembro!$BE17</f>
        <v>0</v>
      </c>
      <c r="BH16" s="97"/>
      <c r="BI16" s="197">
        <f t="shared" si="5"/>
        <v>0</v>
      </c>
    </row>
    <row r="17" spans="1:61" ht="21" customHeight="1">
      <c r="A17" s="71">
        <v>9</v>
      </c>
      <c r="B17" s="258"/>
      <c r="C17" s="257"/>
      <c r="D17" s="258"/>
      <c r="E17" s="257"/>
      <c r="F17" s="258"/>
      <c r="G17" s="257"/>
      <c r="H17" s="258"/>
      <c r="I17" s="257"/>
      <c r="J17" s="258"/>
      <c r="K17" s="257"/>
      <c r="L17" s="258"/>
      <c r="M17" s="257"/>
      <c r="N17" s="258"/>
      <c r="O17" s="257"/>
      <c r="P17" s="258"/>
      <c r="Q17" s="257"/>
      <c r="R17" s="258"/>
      <c r="S17" s="257"/>
      <c r="T17" s="258"/>
      <c r="U17" s="257"/>
      <c r="V17" s="258"/>
      <c r="W17" s="257"/>
      <c r="X17" s="258"/>
      <c r="Y17" s="257"/>
      <c r="Z17" s="258"/>
      <c r="AA17" s="257"/>
      <c r="AB17" s="258"/>
      <c r="AC17" s="257"/>
      <c r="AD17" s="258"/>
      <c r="AE17" s="257"/>
      <c r="AF17" s="258"/>
      <c r="AG17" s="257"/>
      <c r="AH17" s="258"/>
      <c r="AI17" s="257"/>
      <c r="AJ17" s="258"/>
      <c r="AK17" s="265"/>
      <c r="AL17" s="258"/>
      <c r="AM17" s="257"/>
      <c r="AN17" s="258"/>
      <c r="AO17" s="257"/>
      <c r="AP17" s="258"/>
      <c r="AQ17" s="265"/>
      <c r="AR17" s="258"/>
      <c r="AS17" s="257"/>
      <c r="AT17" s="258"/>
      <c r="AU17" s="265"/>
      <c r="AV17" s="258"/>
      <c r="AW17" s="265"/>
      <c r="AX17" s="91">
        <v>9</v>
      </c>
      <c r="AY17" s="92">
        <f t="shared" si="0"/>
        <v>0</v>
      </c>
      <c r="AZ17" s="93">
        <f t="shared" si="0"/>
        <v>0</v>
      </c>
      <c r="BA17" s="94">
        <f t="shared" si="1"/>
        <v>0</v>
      </c>
      <c r="BB17" s="95">
        <f t="shared" si="2"/>
        <v>0</v>
      </c>
      <c r="BC17" s="216"/>
      <c r="BD17" s="197">
        <f t="shared" si="3"/>
        <v>0</v>
      </c>
      <c r="BE17" s="98">
        <f t="shared" si="4"/>
        <v>0</v>
      </c>
      <c r="BF17" s="99"/>
      <c r="BG17" s="86">
        <f>setembro!$BE18</f>
        <v>0</v>
      </c>
      <c r="BH17" s="97"/>
      <c r="BI17" s="197">
        <f t="shared" si="5"/>
        <v>0</v>
      </c>
    </row>
    <row r="18" spans="1:61" ht="21" customHeight="1">
      <c r="A18" s="71">
        <v>10</v>
      </c>
      <c r="B18" s="258"/>
      <c r="C18" s="257"/>
      <c r="D18" s="258"/>
      <c r="E18" s="257"/>
      <c r="F18" s="258"/>
      <c r="G18" s="257"/>
      <c r="H18" s="258"/>
      <c r="I18" s="257"/>
      <c r="J18" s="258"/>
      <c r="K18" s="257"/>
      <c r="L18" s="258"/>
      <c r="M18" s="257"/>
      <c r="N18" s="258"/>
      <c r="O18" s="257"/>
      <c r="P18" s="258"/>
      <c r="Q18" s="257"/>
      <c r="R18" s="258"/>
      <c r="S18" s="257"/>
      <c r="T18" s="258"/>
      <c r="U18" s="257"/>
      <c r="V18" s="258"/>
      <c r="W18" s="257"/>
      <c r="X18" s="258"/>
      <c r="Y18" s="257"/>
      <c r="Z18" s="258"/>
      <c r="AA18" s="257"/>
      <c r="AB18" s="258"/>
      <c r="AC18" s="257"/>
      <c r="AD18" s="258"/>
      <c r="AE18" s="257"/>
      <c r="AF18" s="258"/>
      <c r="AG18" s="257"/>
      <c r="AH18" s="258"/>
      <c r="AI18" s="257"/>
      <c r="AJ18" s="258"/>
      <c r="AK18" s="265"/>
      <c r="AL18" s="258"/>
      <c r="AM18" s="257"/>
      <c r="AN18" s="258"/>
      <c r="AO18" s="257"/>
      <c r="AP18" s="258"/>
      <c r="AQ18" s="265"/>
      <c r="AR18" s="258"/>
      <c r="AS18" s="257"/>
      <c r="AT18" s="258"/>
      <c r="AU18" s="265"/>
      <c r="AV18" s="258"/>
      <c r="AW18" s="265"/>
      <c r="AX18" s="91">
        <v>10</v>
      </c>
      <c r="AY18" s="92">
        <f t="shared" si="0"/>
        <v>0</v>
      </c>
      <c r="AZ18" s="93">
        <f t="shared" si="0"/>
        <v>0</v>
      </c>
      <c r="BA18" s="94">
        <f t="shared" si="1"/>
        <v>0</v>
      </c>
      <c r="BB18" s="95">
        <f t="shared" si="2"/>
        <v>0</v>
      </c>
      <c r="BC18" s="214"/>
      <c r="BD18" s="197">
        <f t="shared" si="3"/>
        <v>0</v>
      </c>
      <c r="BE18" s="98">
        <f t="shared" si="4"/>
        <v>0</v>
      </c>
      <c r="BF18" s="99"/>
      <c r="BG18" s="86">
        <f>setembro!$BE19</f>
        <v>0</v>
      </c>
      <c r="BH18" s="97"/>
      <c r="BI18" s="197">
        <f t="shared" si="5"/>
        <v>0</v>
      </c>
    </row>
    <row r="19" spans="1:61" ht="21" customHeight="1">
      <c r="A19" s="71">
        <v>11</v>
      </c>
      <c r="B19" s="258"/>
      <c r="C19" s="257"/>
      <c r="D19" s="258"/>
      <c r="E19" s="257"/>
      <c r="F19" s="258"/>
      <c r="G19" s="257"/>
      <c r="H19" s="258"/>
      <c r="I19" s="257"/>
      <c r="J19" s="258"/>
      <c r="K19" s="257"/>
      <c r="L19" s="258"/>
      <c r="M19" s="257"/>
      <c r="N19" s="258"/>
      <c r="O19" s="257"/>
      <c r="P19" s="258"/>
      <c r="Q19" s="257"/>
      <c r="R19" s="258"/>
      <c r="S19" s="257"/>
      <c r="T19" s="258"/>
      <c r="U19" s="257"/>
      <c r="V19" s="258"/>
      <c r="W19" s="257"/>
      <c r="X19" s="258"/>
      <c r="Y19" s="257"/>
      <c r="Z19" s="258"/>
      <c r="AA19" s="257"/>
      <c r="AB19" s="258"/>
      <c r="AC19" s="257"/>
      <c r="AD19" s="258"/>
      <c r="AE19" s="257"/>
      <c r="AF19" s="258"/>
      <c r="AG19" s="257"/>
      <c r="AH19" s="258"/>
      <c r="AI19" s="257"/>
      <c r="AJ19" s="258"/>
      <c r="AK19" s="265"/>
      <c r="AL19" s="258"/>
      <c r="AM19" s="257"/>
      <c r="AN19" s="258"/>
      <c r="AO19" s="257"/>
      <c r="AP19" s="258"/>
      <c r="AQ19" s="265"/>
      <c r="AR19" s="258"/>
      <c r="AS19" s="257"/>
      <c r="AT19" s="258"/>
      <c r="AU19" s="265"/>
      <c r="AV19" s="258"/>
      <c r="AW19" s="265"/>
      <c r="AX19" s="91">
        <v>11</v>
      </c>
      <c r="AY19" s="92">
        <f t="shared" si="0"/>
        <v>0</v>
      </c>
      <c r="AZ19" s="93">
        <f t="shared" si="0"/>
        <v>0</v>
      </c>
      <c r="BA19" s="94">
        <f t="shared" si="1"/>
        <v>0</v>
      </c>
      <c r="BB19" s="95">
        <f t="shared" si="2"/>
        <v>0</v>
      </c>
      <c r="BC19" s="214"/>
      <c r="BD19" s="197">
        <f t="shared" si="3"/>
        <v>0</v>
      </c>
      <c r="BE19" s="98">
        <f t="shared" si="4"/>
        <v>0</v>
      </c>
      <c r="BF19" s="99"/>
      <c r="BG19" s="86">
        <f>setembro!$BE20</f>
        <v>0</v>
      </c>
      <c r="BH19" s="97"/>
      <c r="BI19" s="197">
        <f t="shared" si="5"/>
        <v>0</v>
      </c>
    </row>
    <row r="20" spans="1:61" ht="21" customHeight="1">
      <c r="A20" s="71">
        <v>12</v>
      </c>
      <c r="B20" s="258"/>
      <c r="C20" s="257"/>
      <c r="D20" s="258"/>
      <c r="E20" s="257"/>
      <c r="F20" s="258"/>
      <c r="G20" s="257"/>
      <c r="H20" s="258"/>
      <c r="I20" s="257"/>
      <c r="J20" s="258"/>
      <c r="K20" s="257"/>
      <c r="L20" s="258"/>
      <c r="M20" s="257"/>
      <c r="N20" s="258"/>
      <c r="O20" s="257"/>
      <c r="P20" s="258"/>
      <c r="Q20" s="257"/>
      <c r="R20" s="258"/>
      <c r="S20" s="257"/>
      <c r="T20" s="258"/>
      <c r="U20" s="257"/>
      <c r="V20" s="258"/>
      <c r="W20" s="257"/>
      <c r="X20" s="258"/>
      <c r="Y20" s="257"/>
      <c r="Z20" s="258"/>
      <c r="AA20" s="257"/>
      <c r="AB20" s="258"/>
      <c r="AC20" s="257"/>
      <c r="AD20" s="258"/>
      <c r="AE20" s="257"/>
      <c r="AF20" s="258"/>
      <c r="AG20" s="257"/>
      <c r="AH20" s="258"/>
      <c r="AI20" s="257"/>
      <c r="AJ20" s="258"/>
      <c r="AK20" s="265"/>
      <c r="AL20" s="258"/>
      <c r="AM20" s="257"/>
      <c r="AN20" s="258"/>
      <c r="AO20" s="257"/>
      <c r="AP20" s="258"/>
      <c r="AQ20" s="265"/>
      <c r="AR20" s="258"/>
      <c r="AS20" s="257"/>
      <c r="AT20" s="258"/>
      <c r="AU20" s="265"/>
      <c r="AV20" s="258"/>
      <c r="AW20" s="265"/>
      <c r="AX20" s="91">
        <v>12</v>
      </c>
      <c r="AY20" s="92">
        <f t="shared" si="0"/>
        <v>0</v>
      </c>
      <c r="AZ20" s="93">
        <f t="shared" si="0"/>
        <v>0</v>
      </c>
      <c r="BA20" s="94">
        <f t="shared" si="1"/>
        <v>0</v>
      </c>
      <c r="BB20" s="95">
        <f t="shared" si="2"/>
        <v>0</v>
      </c>
      <c r="BC20" s="214"/>
      <c r="BD20" s="197">
        <f t="shared" si="3"/>
        <v>0</v>
      </c>
      <c r="BE20" s="98">
        <f t="shared" si="4"/>
        <v>0</v>
      </c>
      <c r="BF20" s="99"/>
      <c r="BG20" s="86">
        <f>setembro!$BE21</f>
        <v>0</v>
      </c>
      <c r="BH20" s="97"/>
      <c r="BI20" s="197">
        <f t="shared" si="5"/>
        <v>0</v>
      </c>
    </row>
    <row r="21" spans="1:61" ht="21" customHeight="1">
      <c r="A21" s="71">
        <v>13</v>
      </c>
      <c r="B21" s="258"/>
      <c r="C21" s="257"/>
      <c r="D21" s="258"/>
      <c r="E21" s="257"/>
      <c r="F21" s="258"/>
      <c r="G21" s="257"/>
      <c r="H21" s="258"/>
      <c r="I21" s="257"/>
      <c r="J21" s="258"/>
      <c r="K21" s="257"/>
      <c r="L21" s="258"/>
      <c r="M21" s="257"/>
      <c r="N21" s="258"/>
      <c r="O21" s="257"/>
      <c r="P21" s="258"/>
      <c r="Q21" s="257"/>
      <c r="R21" s="258"/>
      <c r="S21" s="257"/>
      <c r="T21" s="258"/>
      <c r="U21" s="257"/>
      <c r="V21" s="258"/>
      <c r="W21" s="257"/>
      <c r="X21" s="258"/>
      <c r="Y21" s="257"/>
      <c r="Z21" s="258"/>
      <c r="AA21" s="257"/>
      <c r="AB21" s="258"/>
      <c r="AC21" s="257"/>
      <c r="AD21" s="258"/>
      <c r="AE21" s="257"/>
      <c r="AF21" s="258"/>
      <c r="AG21" s="257"/>
      <c r="AH21" s="258"/>
      <c r="AI21" s="257"/>
      <c r="AJ21" s="258"/>
      <c r="AK21" s="265"/>
      <c r="AL21" s="258"/>
      <c r="AM21" s="257"/>
      <c r="AN21" s="258"/>
      <c r="AO21" s="257"/>
      <c r="AP21" s="258"/>
      <c r="AQ21" s="265"/>
      <c r="AR21" s="258"/>
      <c r="AS21" s="257"/>
      <c r="AT21" s="258"/>
      <c r="AU21" s="265"/>
      <c r="AV21" s="258"/>
      <c r="AW21" s="265"/>
      <c r="AX21" s="91">
        <v>13</v>
      </c>
      <c r="AY21" s="92">
        <f t="shared" si="0"/>
        <v>0</v>
      </c>
      <c r="AZ21" s="93">
        <f t="shared" si="0"/>
        <v>0</v>
      </c>
      <c r="BA21" s="94">
        <f t="shared" si="1"/>
        <v>0</v>
      </c>
      <c r="BB21" s="95">
        <f t="shared" si="2"/>
        <v>0</v>
      </c>
      <c r="BC21" s="214"/>
      <c r="BD21" s="197">
        <f t="shared" si="3"/>
        <v>0</v>
      </c>
      <c r="BE21" s="98">
        <f t="shared" si="4"/>
        <v>0</v>
      </c>
      <c r="BF21" s="99"/>
      <c r="BG21" s="86">
        <f>setembro!$BE22</f>
        <v>0</v>
      </c>
      <c r="BH21" s="97"/>
      <c r="BI21" s="197">
        <f t="shared" si="5"/>
        <v>0</v>
      </c>
    </row>
    <row r="22" spans="1:61" ht="21" customHeight="1">
      <c r="A22" s="71">
        <v>14</v>
      </c>
      <c r="B22" s="258"/>
      <c r="C22" s="257"/>
      <c r="D22" s="258"/>
      <c r="E22" s="257"/>
      <c r="F22" s="258"/>
      <c r="G22" s="257"/>
      <c r="H22" s="258"/>
      <c r="I22" s="257"/>
      <c r="J22" s="258"/>
      <c r="K22" s="257"/>
      <c r="L22" s="258"/>
      <c r="M22" s="257"/>
      <c r="N22" s="258"/>
      <c r="O22" s="257"/>
      <c r="P22" s="258"/>
      <c r="Q22" s="257"/>
      <c r="R22" s="258"/>
      <c r="S22" s="257"/>
      <c r="T22" s="258"/>
      <c r="U22" s="257"/>
      <c r="V22" s="258"/>
      <c r="W22" s="257"/>
      <c r="X22" s="258"/>
      <c r="Y22" s="257"/>
      <c r="Z22" s="258"/>
      <c r="AA22" s="257"/>
      <c r="AB22" s="258"/>
      <c r="AC22" s="257"/>
      <c r="AD22" s="258"/>
      <c r="AE22" s="257"/>
      <c r="AF22" s="258"/>
      <c r="AG22" s="257"/>
      <c r="AH22" s="258"/>
      <c r="AI22" s="257"/>
      <c r="AJ22" s="258"/>
      <c r="AK22" s="265"/>
      <c r="AL22" s="258"/>
      <c r="AM22" s="257"/>
      <c r="AN22" s="258"/>
      <c r="AO22" s="257"/>
      <c r="AP22" s="258"/>
      <c r="AQ22" s="265"/>
      <c r="AR22" s="258"/>
      <c r="AS22" s="257"/>
      <c r="AT22" s="258"/>
      <c r="AU22" s="265"/>
      <c r="AV22" s="258"/>
      <c r="AW22" s="265"/>
      <c r="AX22" s="91">
        <v>14</v>
      </c>
      <c r="AY22" s="92">
        <f t="shared" si="0"/>
        <v>0</v>
      </c>
      <c r="AZ22" s="93">
        <f t="shared" si="0"/>
        <v>0</v>
      </c>
      <c r="BA22" s="94">
        <f t="shared" si="1"/>
        <v>0</v>
      </c>
      <c r="BB22" s="95">
        <f t="shared" si="2"/>
        <v>0</v>
      </c>
      <c r="BC22" s="214"/>
      <c r="BD22" s="197">
        <f t="shared" si="3"/>
        <v>0</v>
      </c>
      <c r="BE22" s="98">
        <f t="shared" si="4"/>
        <v>0</v>
      </c>
      <c r="BF22" s="99"/>
      <c r="BG22" s="86">
        <f>setembro!$BE23</f>
        <v>0</v>
      </c>
      <c r="BH22" s="97"/>
      <c r="BI22" s="197">
        <f t="shared" si="5"/>
        <v>0</v>
      </c>
    </row>
    <row r="23" spans="1:61" ht="21" customHeight="1">
      <c r="A23" s="71">
        <v>15</v>
      </c>
      <c r="B23" s="258"/>
      <c r="C23" s="257"/>
      <c r="D23" s="258"/>
      <c r="E23" s="257"/>
      <c r="F23" s="258"/>
      <c r="G23" s="257"/>
      <c r="H23" s="258"/>
      <c r="I23" s="257"/>
      <c r="J23" s="258"/>
      <c r="K23" s="257"/>
      <c r="L23" s="258"/>
      <c r="M23" s="257"/>
      <c r="N23" s="258"/>
      <c r="O23" s="257"/>
      <c r="P23" s="258"/>
      <c r="Q23" s="257"/>
      <c r="R23" s="258"/>
      <c r="S23" s="257"/>
      <c r="T23" s="258"/>
      <c r="U23" s="257"/>
      <c r="V23" s="258"/>
      <c r="W23" s="257"/>
      <c r="X23" s="258"/>
      <c r="Y23" s="257"/>
      <c r="Z23" s="258"/>
      <c r="AA23" s="257"/>
      <c r="AB23" s="258"/>
      <c r="AC23" s="257"/>
      <c r="AD23" s="258"/>
      <c r="AE23" s="257"/>
      <c r="AF23" s="258"/>
      <c r="AG23" s="257"/>
      <c r="AH23" s="258"/>
      <c r="AI23" s="257"/>
      <c r="AJ23" s="258"/>
      <c r="AK23" s="265"/>
      <c r="AL23" s="258">
        <v>0.1</v>
      </c>
      <c r="AM23" s="257">
        <v>60</v>
      </c>
      <c r="AN23" s="258"/>
      <c r="AO23" s="257"/>
      <c r="AP23" s="258"/>
      <c r="AQ23" s="265"/>
      <c r="AR23" s="258"/>
      <c r="AS23" s="257"/>
      <c r="AT23" s="258">
        <v>1</v>
      </c>
      <c r="AU23" s="265">
        <v>40</v>
      </c>
      <c r="AV23" s="258">
        <v>0.2</v>
      </c>
      <c r="AW23" s="265">
        <v>30</v>
      </c>
      <c r="AX23" s="91">
        <v>15</v>
      </c>
      <c r="AY23" s="92">
        <f t="shared" si="0"/>
        <v>1.3</v>
      </c>
      <c r="AZ23" s="93">
        <f t="shared" si="0"/>
        <v>130</v>
      </c>
      <c r="BA23" s="94">
        <f t="shared" si="1"/>
        <v>1</v>
      </c>
      <c r="BB23" s="95">
        <f t="shared" si="2"/>
        <v>3</v>
      </c>
      <c r="BC23" s="214"/>
      <c r="BD23" s="197">
        <f t="shared" si="3"/>
        <v>1</v>
      </c>
      <c r="BE23" s="98">
        <f t="shared" si="4"/>
        <v>0</v>
      </c>
      <c r="BF23" s="99"/>
      <c r="BG23" s="86">
        <f>setembro!$BE24</f>
        <v>6.9</v>
      </c>
      <c r="BH23" s="97"/>
      <c r="BI23" s="197">
        <f t="shared" si="5"/>
        <v>0</v>
      </c>
    </row>
    <row r="24" spans="1:61" ht="21" customHeight="1">
      <c r="A24" s="71">
        <v>16</v>
      </c>
      <c r="B24" s="258">
        <v>0.3</v>
      </c>
      <c r="C24" s="257">
        <v>30</v>
      </c>
      <c r="D24" s="258">
        <v>0.2</v>
      </c>
      <c r="E24" s="257">
        <v>15</v>
      </c>
      <c r="F24" s="258">
        <v>0.1</v>
      </c>
      <c r="G24" s="257">
        <v>30</v>
      </c>
      <c r="H24" s="258"/>
      <c r="I24" s="257"/>
      <c r="J24" s="258">
        <v>0.1</v>
      </c>
      <c r="K24" s="257">
        <v>20</v>
      </c>
      <c r="L24" s="258">
        <v>0.7</v>
      </c>
      <c r="M24" s="257">
        <v>50</v>
      </c>
      <c r="N24" s="258">
        <v>4.2</v>
      </c>
      <c r="O24" s="257">
        <v>60</v>
      </c>
      <c r="P24" s="258">
        <v>1.7</v>
      </c>
      <c r="Q24" s="257">
        <v>60</v>
      </c>
      <c r="R24" s="258">
        <v>1.6</v>
      </c>
      <c r="S24" s="257">
        <v>60</v>
      </c>
      <c r="T24" s="258">
        <v>0.6</v>
      </c>
      <c r="U24" s="257">
        <v>50</v>
      </c>
      <c r="V24" s="258"/>
      <c r="W24" s="257"/>
      <c r="X24" s="258">
        <v>2.1</v>
      </c>
      <c r="Y24" s="257">
        <v>55</v>
      </c>
      <c r="Z24" s="258"/>
      <c r="AA24" s="257"/>
      <c r="AB24" s="258">
        <v>0.5</v>
      </c>
      <c r="AC24" s="257">
        <v>30</v>
      </c>
      <c r="AD24" s="258">
        <v>0.1</v>
      </c>
      <c r="AE24" s="257">
        <v>25</v>
      </c>
      <c r="AF24" s="258">
        <v>0.2</v>
      </c>
      <c r="AG24" s="257">
        <v>60</v>
      </c>
      <c r="AH24" s="258">
        <v>0.2</v>
      </c>
      <c r="AI24" s="257">
        <v>55</v>
      </c>
      <c r="AJ24" s="258">
        <v>0.1</v>
      </c>
      <c r="AK24" s="265">
        <v>30</v>
      </c>
      <c r="AL24" s="258"/>
      <c r="AM24" s="257"/>
      <c r="AN24" s="258">
        <v>0.2</v>
      </c>
      <c r="AO24" s="257">
        <v>25</v>
      </c>
      <c r="AP24" s="258"/>
      <c r="AQ24" s="265"/>
      <c r="AR24" s="258"/>
      <c r="AS24" s="257"/>
      <c r="AT24" s="258">
        <v>0.4</v>
      </c>
      <c r="AU24" s="265">
        <v>40</v>
      </c>
      <c r="AV24" s="258">
        <v>0.4</v>
      </c>
      <c r="AW24" s="265">
        <v>40</v>
      </c>
      <c r="AX24" s="91">
        <v>16</v>
      </c>
      <c r="AY24" s="92">
        <f t="shared" si="0"/>
        <v>13.699999999999998</v>
      </c>
      <c r="AZ24" s="93">
        <f t="shared" si="0"/>
        <v>735</v>
      </c>
      <c r="BA24" s="94">
        <f t="shared" si="1"/>
        <v>4.2</v>
      </c>
      <c r="BB24" s="95">
        <f t="shared" si="2"/>
        <v>18</v>
      </c>
      <c r="BC24" s="214"/>
      <c r="BD24" s="197">
        <f t="shared" si="3"/>
        <v>1</v>
      </c>
      <c r="BE24" s="98">
        <f t="shared" si="4"/>
        <v>6.9</v>
      </c>
      <c r="BF24" s="99"/>
      <c r="BG24" s="86">
        <f>setembro!$BE25</f>
        <v>9.1999999999999975</v>
      </c>
      <c r="BH24" s="97"/>
      <c r="BI24" s="197">
        <f t="shared" si="5"/>
        <v>0</v>
      </c>
    </row>
    <row r="25" spans="1:61" ht="21" customHeight="1">
      <c r="A25" s="291">
        <v>17</v>
      </c>
      <c r="B25" s="258">
        <v>0.2</v>
      </c>
      <c r="C25" s="257">
        <v>20</v>
      </c>
      <c r="D25" s="258">
        <v>0.2</v>
      </c>
      <c r="E25" s="257">
        <v>60</v>
      </c>
      <c r="F25" s="258"/>
      <c r="G25" s="257"/>
      <c r="H25" s="258"/>
      <c r="I25" s="257"/>
      <c r="J25" s="258">
        <v>0.5</v>
      </c>
      <c r="K25" s="257">
        <v>45</v>
      </c>
      <c r="L25" s="258"/>
      <c r="M25" s="257"/>
      <c r="N25" s="258">
        <v>0.2</v>
      </c>
      <c r="O25" s="257">
        <v>25</v>
      </c>
      <c r="P25" s="258"/>
      <c r="Q25" s="257"/>
      <c r="R25" s="258"/>
      <c r="S25" s="257"/>
      <c r="T25" s="258"/>
      <c r="U25" s="257"/>
      <c r="V25" s="258"/>
      <c r="W25" s="257"/>
      <c r="X25" s="258"/>
      <c r="Y25" s="257"/>
      <c r="Z25" s="258"/>
      <c r="AA25" s="257"/>
      <c r="AB25" s="258"/>
      <c r="AC25" s="257"/>
      <c r="AD25" s="258"/>
      <c r="AE25" s="257"/>
      <c r="AF25" s="258"/>
      <c r="AG25" s="257"/>
      <c r="AH25" s="258"/>
      <c r="AI25" s="257"/>
      <c r="AJ25" s="258"/>
      <c r="AK25" s="265"/>
      <c r="AL25" s="258"/>
      <c r="AM25" s="257"/>
      <c r="AN25" s="258"/>
      <c r="AO25" s="257"/>
      <c r="AP25" s="258"/>
      <c r="AQ25" s="265"/>
      <c r="AR25" s="258"/>
      <c r="AS25" s="257"/>
      <c r="AT25" s="258"/>
      <c r="AU25" s="265"/>
      <c r="AV25" s="258"/>
      <c r="AW25" s="265"/>
      <c r="AX25" s="91">
        <v>17</v>
      </c>
      <c r="AY25" s="92">
        <f t="shared" si="0"/>
        <v>1.1000000000000001</v>
      </c>
      <c r="AZ25" s="93">
        <f t="shared" si="0"/>
        <v>150</v>
      </c>
      <c r="BA25" s="94">
        <f t="shared" si="1"/>
        <v>0.5</v>
      </c>
      <c r="BB25" s="95">
        <f t="shared" si="2"/>
        <v>4</v>
      </c>
      <c r="BC25" s="214"/>
      <c r="BD25" s="197">
        <f t="shared" si="3"/>
        <v>1</v>
      </c>
      <c r="BE25" s="98">
        <f t="shared" si="4"/>
        <v>9.1999999999999975</v>
      </c>
      <c r="BF25" s="99"/>
      <c r="BG25" s="86">
        <f>setembro!$BE26</f>
        <v>0</v>
      </c>
      <c r="BH25" s="97"/>
      <c r="BI25" s="197">
        <f t="shared" si="5"/>
        <v>0</v>
      </c>
    </row>
    <row r="26" spans="1:61" ht="21" customHeight="1">
      <c r="A26" s="71">
        <v>18</v>
      </c>
      <c r="B26" s="258"/>
      <c r="C26" s="257"/>
      <c r="D26" s="258"/>
      <c r="E26" s="257"/>
      <c r="F26" s="258"/>
      <c r="G26" s="257"/>
      <c r="H26" s="258"/>
      <c r="I26" s="257"/>
      <c r="J26" s="258"/>
      <c r="K26" s="257"/>
      <c r="L26" s="258"/>
      <c r="M26" s="257"/>
      <c r="N26" s="258"/>
      <c r="O26" s="257"/>
      <c r="P26" s="258"/>
      <c r="Q26" s="257"/>
      <c r="R26" s="258"/>
      <c r="S26" s="257"/>
      <c r="T26" s="258"/>
      <c r="U26" s="257"/>
      <c r="V26" s="258"/>
      <c r="W26" s="257"/>
      <c r="X26" s="258"/>
      <c r="Y26" s="257"/>
      <c r="Z26" s="258"/>
      <c r="AA26" s="257"/>
      <c r="AB26" s="258"/>
      <c r="AC26" s="257"/>
      <c r="AD26" s="258"/>
      <c r="AE26" s="257"/>
      <c r="AF26" s="258"/>
      <c r="AG26" s="257"/>
      <c r="AH26" s="258"/>
      <c r="AI26" s="257"/>
      <c r="AJ26" s="258"/>
      <c r="AK26" s="265"/>
      <c r="AL26" s="258"/>
      <c r="AM26" s="257"/>
      <c r="AN26" s="258"/>
      <c r="AO26" s="257"/>
      <c r="AP26" s="258"/>
      <c r="AQ26" s="265"/>
      <c r="AR26" s="258"/>
      <c r="AS26" s="257"/>
      <c r="AT26" s="258"/>
      <c r="AU26" s="265"/>
      <c r="AV26" s="258"/>
      <c r="AW26" s="265"/>
      <c r="AX26" s="91">
        <v>18</v>
      </c>
      <c r="AY26" s="92">
        <f t="shared" si="0"/>
        <v>0</v>
      </c>
      <c r="AZ26" s="93">
        <f t="shared" si="0"/>
        <v>0</v>
      </c>
      <c r="BA26" s="94">
        <f t="shared" si="1"/>
        <v>0</v>
      </c>
      <c r="BB26" s="95">
        <f t="shared" si="2"/>
        <v>0</v>
      </c>
      <c r="BC26" s="214"/>
      <c r="BD26" s="197">
        <f t="shared" si="3"/>
        <v>0</v>
      </c>
      <c r="BE26" s="98">
        <f t="shared" si="4"/>
        <v>0</v>
      </c>
      <c r="BF26" s="99"/>
      <c r="BG26" s="86">
        <f>setembro!$BE27</f>
        <v>0</v>
      </c>
      <c r="BH26" s="97"/>
      <c r="BI26" s="197">
        <f t="shared" si="5"/>
        <v>0</v>
      </c>
    </row>
    <row r="27" spans="1:61" ht="21" customHeight="1">
      <c r="A27" s="71">
        <v>19</v>
      </c>
      <c r="B27" s="258"/>
      <c r="C27" s="257"/>
      <c r="D27" s="258"/>
      <c r="E27" s="257"/>
      <c r="F27" s="258"/>
      <c r="G27" s="257"/>
      <c r="H27" s="258"/>
      <c r="I27" s="257"/>
      <c r="J27" s="258"/>
      <c r="K27" s="257"/>
      <c r="L27" s="258"/>
      <c r="M27" s="257"/>
      <c r="N27" s="258"/>
      <c r="O27" s="257"/>
      <c r="P27" s="258"/>
      <c r="Q27" s="257"/>
      <c r="R27" s="258"/>
      <c r="S27" s="257"/>
      <c r="T27" s="258"/>
      <c r="U27" s="257"/>
      <c r="V27" s="258"/>
      <c r="W27" s="257"/>
      <c r="X27" s="258"/>
      <c r="Y27" s="257"/>
      <c r="Z27" s="258">
        <v>0.8</v>
      </c>
      <c r="AA27" s="257">
        <v>5</v>
      </c>
      <c r="AB27" s="258">
        <v>0.2</v>
      </c>
      <c r="AC27" s="257">
        <v>10</v>
      </c>
      <c r="AD27" s="258"/>
      <c r="AE27" s="257"/>
      <c r="AF27" s="258"/>
      <c r="AG27" s="257"/>
      <c r="AH27" s="258"/>
      <c r="AI27" s="257"/>
      <c r="AJ27" s="258"/>
      <c r="AK27" s="265"/>
      <c r="AL27" s="258"/>
      <c r="AM27" s="257"/>
      <c r="AN27" s="258"/>
      <c r="AO27" s="257"/>
      <c r="AP27" s="258"/>
      <c r="AQ27" s="265"/>
      <c r="AR27" s="258"/>
      <c r="AS27" s="257"/>
      <c r="AT27" s="258"/>
      <c r="AU27" s="265"/>
      <c r="AV27" s="258"/>
      <c r="AW27" s="265"/>
      <c r="AX27" s="91">
        <v>19</v>
      </c>
      <c r="AY27" s="92">
        <f t="shared" si="0"/>
        <v>1</v>
      </c>
      <c r="AZ27" s="93">
        <f t="shared" si="0"/>
        <v>15</v>
      </c>
      <c r="BA27" s="94">
        <f t="shared" si="1"/>
        <v>0.8</v>
      </c>
      <c r="BB27" s="95">
        <f t="shared" si="2"/>
        <v>2</v>
      </c>
      <c r="BC27" s="214"/>
      <c r="BD27" s="197">
        <f t="shared" si="3"/>
        <v>1</v>
      </c>
      <c r="BE27" s="98">
        <f t="shared" si="4"/>
        <v>0</v>
      </c>
      <c r="BF27" s="99"/>
      <c r="BG27" s="86">
        <f>setembro!$BE28</f>
        <v>1</v>
      </c>
      <c r="BH27" s="97"/>
      <c r="BI27" s="197">
        <f t="shared" si="5"/>
        <v>0</v>
      </c>
    </row>
    <row r="28" spans="1:61" ht="21" customHeight="1">
      <c r="A28" s="71">
        <v>20</v>
      </c>
      <c r="B28" s="258"/>
      <c r="C28" s="257"/>
      <c r="D28" s="258"/>
      <c r="E28" s="257"/>
      <c r="F28" s="258"/>
      <c r="G28" s="257"/>
      <c r="H28" s="258"/>
      <c r="I28" s="257"/>
      <c r="J28" s="258"/>
      <c r="K28" s="257"/>
      <c r="L28" s="258"/>
      <c r="M28" s="257"/>
      <c r="N28" s="258"/>
      <c r="O28" s="257"/>
      <c r="P28" s="258"/>
      <c r="Q28" s="257"/>
      <c r="R28" s="258"/>
      <c r="S28" s="257"/>
      <c r="T28" s="258"/>
      <c r="U28" s="257"/>
      <c r="V28" s="258"/>
      <c r="W28" s="257"/>
      <c r="X28" s="258"/>
      <c r="Y28" s="257"/>
      <c r="Z28" s="258"/>
      <c r="AA28" s="257"/>
      <c r="AB28" s="258"/>
      <c r="AC28" s="257"/>
      <c r="AD28" s="258"/>
      <c r="AE28" s="257"/>
      <c r="AF28" s="258"/>
      <c r="AG28" s="257"/>
      <c r="AH28" s="258"/>
      <c r="AI28" s="257"/>
      <c r="AJ28" s="258">
        <v>0.6</v>
      </c>
      <c r="AK28" s="265">
        <v>5</v>
      </c>
      <c r="AL28" s="258">
        <v>0.1</v>
      </c>
      <c r="AM28" s="257">
        <v>20</v>
      </c>
      <c r="AN28" s="258">
        <v>0.1</v>
      </c>
      <c r="AO28" s="257">
        <v>20</v>
      </c>
      <c r="AP28" s="258"/>
      <c r="AQ28" s="265"/>
      <c r="AR28" s="258"/>
      <c r="AS28" s="257"/>
      <c r="AT28" s="258"/>
      <c r="AU28" s="265"/>
      <c r="AV28" s="258">
        <v>0.3</v>
      </c>
      <c r="AW28" s="265">
        <v>40</v>
      </c>
      <c r="AX28" s="91">
        <v>20</v>
      </c>
      <c r="AY28" s="92">
        <f t="shared" si="0"/>
        <v>1.0999999999999999</v>
      </c>
      <c r="AZ28" s="93">
        <f t="shared" si="0"/>
        <v>85</v>
      </c>
      <c r="BA28" s="94">
        <f t="shared" si="1"/>
        <v>0.6</v>
      </c>
      <c r="BB28" s="95">
        <f t="shared" si="2"/>
        <v>4</v>
      </c>
      <c r="BC28" s="214"/>
      <c r="BD28" s="197">
        <f t="shared" si="3"/>
        <v>1</v>
      </c>
      <c r="BE28" s="98">
        <f t="shared" si="4"/>
        <v>1</v>
      </c>
      <c r="BF28" s="99"/>
      <c r="BG28" s="86">
        <f>setembro!$BE29</f>
        <v>1.2</v>
      </c>
      <c r="BH28" s="97"/>
      <c r="BI28" s="197">
        <f t="shared" si="5"/>
        <v>0</v>
      </c>
    </row>
    <row r="29" spans="1:61" ht="21" customHeight="1">
      <c r="A29" s="71">
        <v>21</v>
      </c>
      <c r="B29" s="258">
        <v>0.1</v>
      </c>
      <c r="C29" s="257">
        <v>10</v>
      </c>
      <c r="D29" s="258"/>
      <c r="E29" s="257"/>
      <c r="F29" s="258"/>
      <c r="G29" s="257"/>
      <c r="H29" s="258"/>
      <c r="I29" s="257"/>
      <c r="J29" s="258"/>
      <c r="K29" s="257"/>
      <c r="L29" s="258"/>
      <c r="M29" s="257"/>
      <c r="N29" s="258"/>
      <c r="O29" s="257"/>
      <c r="P29" s="258"/>
      <c r="Q29" s="257"/>
      <c r="R29" s="258"/>
      <c r="S29" s="257"/>
      <c r="T29" s="258"/>
      <c r="U29" s="257"/>
      <c r="V29" s="258"/>
      <c r="W29" s="257"/>
      <c r="X29" s="258"/>
      <c r="Y29" s="257"/>
      <c r="Z29" s="256"/>
      <c r="AA29" s="257"/>
      <c r="AB29" s="258"/>
      <c r="AC29" s="257"/>
      <c r="AD29" s="258"/>
      <c r="AE29" s="257"/>
      <c r="AF29" s="258"/>
      <c r="AG29" s="257"/>
      <c r="AH29" s="258"/>
      <c r="AI29" s="257"/>
      <c r="AJ29" s="258"/>
      <c r="AK29" s="265"/>
      <c r="AL29" s="258"/>
      <c r="AM29" s="257"/>
      <c r="AN29" s="258"/>
      <c r="AO29" s="257"/>
      <c r="AP29" s="258"/>
      <c r="AQ29" s="265"/>
      <c r="AR29" s="258"/>
      <c r="AS29" s="257"/>
      <c r="AT29" s="258"/>
      <c r="AU29" s="265"/>
      <c r="AV29" s="258"/>
      <c r="AW29" s="265"/>
      <c r="AX29" s="91">
        <v>21</v>
      </c>
      <c r="AY29" s="92">
        <f t="shared" si="0"/>
        <v>0.1</v>
      </c>
      <c r="AZ29" s="93">
        <f t="shared" si="0"/>
        <v>10</v>
      </c>
      <c r="BA29" s="94">
        <f t="shared" si="1"/>
        <v>0.1</v>
      </c>
      <c r="BB29" s="95">
        <f t="shared" si="2"/>
        <v>1</v>
      </c>
      <c r="BC29" s="214"/>
      <c r="BD29" s="197">
        <f t="shared" si="3"/>
        <v>1</v>
      </c>
      <c r="BE29" s="98">
        <f t="shared" si="4"/>
        <v>1.2</v>
      </c>
      <c r="BF29" s="99"/>
      <c r="BG29" s="86">
        <f>setembro!$BE30</f>
        <v>0</v>
      </c>
      <c r="BH29" s="97"/>
      <c r="BI29" s="197">
        <f t="shared" si="5"/>
        <v>0</v>
      </c>
    </row>
    <row r="30" spans="1:61" ht="21" customHeight="1">
      <c r="A30" s="71">
        <v>22</v>
      </c>
      <c r="B30" s="258"/>
      <c r="C30" s="257"/>
      <c r="D30" s="258"/>
      <c r="E30" s="257"/>
      <c r="F30" s="258"/>
      <c r="G30" s="257"/>
      <c r="H30" s="258"/>
      <c r="I30" s="257"/>
      <c r="J30" s="258"/>
      <c r="K30" s="257"/>
      <c r="L30" s="258"/>
      <c r="M30" s="257"/>
      <c r="N30" s="258"/>
      <c r="O30" s="257"/>
      <c r="P30" s="258"/>
      <c r="Q30" s="257"/>
      <c r="R30" s="258"/>
      <c r="S30" s="257"/>
      <c r="T30" s="258"/>
      <c r="U30" s="257"/>
      <c r="V30" s="258"/>
      <c r="W30" s="257"/>
      <c r="X30" s="258"/>
      <c r="Y30" s="257"/>
      <c r="Z30" s="258"/>
      <c r="AA30" s="257"/>
      <c r="AB30" s="258"/>
      <c r="AC30" s="257"/>
      <c r="AD30" s="258"/>
      <c r="AE30" s="257"/>
      <c r="AF30" s="258"/>
      <c r="AG30" s="257"/>
      <c r="AH30" s="258"/>
      <c r="AI30" s="257"/>
      <c r="AJ30" s="258"/>
      <c r="AK30" s="265"/>
      <c r="AL30" s="258"/>
      <c r="AM30" s="257"/>
      <c r="AN30" s="258">
        <v>0.1</v>
      </c>
      <c r="AO30" s="257">
        <v>60</v>
      </c>
      <c r="AP30" s="258"/>
      <c r="AQ30" s="265"/>
      <c r="AR30" s="258"/>
      <c r="AS30" s="257"/>
      <c r="AT30" s="258"/>
      <c r="AU30" s="265"/>
      <c r="AV30" s="258"/>
      <c r="AW30" s="265"/>
      <c r="AX30" s="91">
        <v>22</v>
      </c>
      <c r="AY30" s="92">
        <f t="shared" si="0"/>
        <v>0.1</v>
      </c>
      <c r="AZ30" s="93">
        <f t="shared" si="0"/>
        <v>60</v>
      </c>
      <c r="BA30" s="94">
        <f t="shared" si="1"/>
        <v>0.1</v>
      </c>
      <c r="BB30" s="95">
        <f t="shared" si="2"/>
        <v>1</v>
      </c>
      <c r="BC30" s="214"/>
      <c r="BD30" s="197">
        <f t="shared" si="3"/>
        <v>1</v>
      </c>
      <c r="BE30" s="98">
        <f t="shared" si="4"/>
        <v>0</v>
      </c>
      <c r="BF30" s="99"/>
      <c r="BG30" s="86">
        <f>setembro!$BE31</f>
        <v>0.1</v>
      </c>
      <c r="BH30" s="97"/>
      <c r="BI30" s="197">
        <f t="shared" si="5"/>
        <v>0</v>
      </c>
    </row>
    <row r="31" spans="1:61" ht="21" customHeight="1">
      <c r="A31" s="71">
        <v>23</v>
      </c>
      <c r="B31" s="258"/>
      <c r="C31" s="257"/>
      <c r="D31" s="258"/>
      <c r="E31" s="257"/>
      <c r="F31" s="258"/>
      <c r="G31" s="257"/>
      <c r="H31" s="258"/>
      <c r="I31" s="257"/>
      <c r="J31" s="258"/>
      <c r="K31" s="257"/>
      <c r="L31" s="258"/>
      <c r="M31" s="257"/>
      <c r="N31" s="258"/>
      <c r="O31" s="257"/>
      <c r="P31" s="258"/>
      <c r="Q31" s="257"/>
      <c r="R31" s="258"/>
      <c r="S31" s="257"/>
      <c r="T31" s="258"/>
      <c r="U31" s="257"/>
      <c r="V31" s="258"/>
      <c r="W31" s="257"/>
      <c r="X31" s="258"/>
      <c r="Y31" s="257"/>
      <c r="Z31" s="258"/>
      <c r="AA31" s="257"/>
      <c r="AB31" s="258"/>
      <c r="AC31" s="257"/>
      <c r="AD31" s="258"/>
      <c r="AE31" s="257"/>
      <c r="AF31" s="258"/>
      <c r="AG31" s="257"/>
      <c r="AH31" s="258"/>
      <c r="AI31" s="257"/>
      <c r="AJ31" s="258"/>
      <c r="AK31" s="265"/>
      <c r="AL31" s="258"/>
      <c r="AM31" s="257"/>
      <c r="AN31" s="258"/>
      <c r="AO31" s="257"/>
      <c r="AP31" s="258"/>
      <c r="AQ31" s="265"/>
      <c r="AR31" s="269"/>
      <c r="AS31" s="257"/>
      <c r="AT31" s="258"/>
      <c r="AU31" s="265"/>
      <c r="AV31" s="258"/>
      <c r="AW31" s="265"/>
      <c r="AX31" s="91">
        <v>23</v>
      </c>
      <c r="AY31" s="92">
        <f t="shared" si="0"/>
        <v>0</v>
      </c>
      <c r="AZ31" s="93">
        <f t="shared" si="0"/>
        <v>0</v>
      </c>
      <c r="BA31" s="94">
        <f t="shared" si="1"/>
        <v>0</v>
      </c>
      <c r="BB31" s="95">
        <f t="shared" si="2"/>
        <v>0</v>
      </c>
      <c r="BC31" s="214"/>
      <c r="BD31" s="197">
        <f t="shared" si="3"/>
        <v>0</v>
      </c>
      <c r="BE31" s="98">
        <f t="shared" si="4"/>
        <v>0.1</v>
      </c>
      <c r="BF31" s="99"/>
      <c r="BG31" s="86">
        <f>setembro!$BE32</f>
        <v>0</v>
      </c>
      <c r="BH31" s="97"/>
      <c r="BI31" s="197">
        <f t="shared" si="5"/>
        <v>0</v>
      </c>
    </row>
    <row r="32" spans="1:61" ht="21" customHeight="1">
      <c r="A32" s="71">
        <v>24</v>
      </c>
      <c r="B32" s="258"/>
      <c r="C32" s="257"/>
      <c r="D32" s="258"/>
      <c r="E32" s="257"/>
      <c r="F32" s="258"/>
      <c r="G32" s="257"/>
      <c r="H32" s="258"/>
      <c r="I32" s="257"/>
      <c r="J32" s="258"/>
      <c r="K32" s="257"/>
      <c r="L32" s="258"/>
      <c r="M32" s="257"/>
      <c r="N32" s="258"/>
      <c r="O32" s="257"/>
      <c r="P32" s="258"/>
      <c r="Q32" s="257"/>
      <c r="R32" s="258"/>
      <c r="S32" s="257"/>
      <c r="T32" s="258"/>
      <c r="U32" s="257"/>
      <c r="V32" s="258"/>
      <c r="W32" s="257"/>
      <c r="X32" s="258"/>
      <c r="Y32" s="257"/>
      <c r="Z32" s="258"/>
      <c r="AA32" s="257"/>
      <c r="AB32" s="258"/>
      <c r="AC32" s="257"/>
      <c r="AD32" s="258"/>
      <c r="AE32" s="257"/>
      <c r="AF32" s="258"/>
      <c r="AG32" s="257"/>
      <c r="AH32" s="258"/>
      <c r="AI32" s="257"/>
      <c r="AJ32" s="258"/>
      <c r="AK32" s="265"/>
      <c r="AL32" s="258"/>
      <c r="AM32" s="257"/>
      <c r="AN32" s="258"/>
      <c r="AO32" s="257"/>
      <c r="AP32" s="258"/>
      <c r="AQ32" s="265"/>
      <c r="AR32" s="269"/>
      <c r="AS32" s="257"/>
      <c r="AT32" s="258"/>
      <c r="AU32" s="265"/>
      <c r="AV32" s="258"/>
      <c r="AW32" s="265"/>
      <c r="AX32" s="91">
        <v>24</v>
      </c>
      <c r="AY32" s="92">
        <f t="shared" si="0"/>
        <v>0</v>
      </c>
      <c r="AZ32" s="93">
        <f t="shared" si="0"/>
        <v>0</v>
      </c>
      <c r="BA32" s="94">
        <f t="shared" si="1"/>
        <v>0</v>
      </c>
      <c r="BB32" s="95">
        <f t="shared" si="2"/>
        <v>0</v>
      </c>
      <c r="BC32" s="214"/>
      <c r="BD32" s="197">
        <f t="shared" si="3"/>
        <v>0</v>
      </c>
      <c r="BE32" s="98">
        <f t="shared" si="4"/>
        <v>0</v>
      </c>
      <c r="BF32" s="99"/>
      <c r="BG32" s="86">
        <f>setembro!$BE33</f>
        <v>0</v>
      </c>
      <c r="BH32" s="97"/>
      <c r="BI32" s="197">
        <f t="shared" si="5"/>
        <v>0</v>
      </c>
    </row>
    <row r="33" spans="1:61" ht="21" customHeight="1">
      <c r="A33" s="71">
        <v>25</v>
      </c>
      <c r="B33" s="258"/>
      <c r="C33" s="257"/>
      <c r="D33" s="258"/>
      <c r="E33" s="257"/>
      <c r="F33" s="258"/>
      <c r="G33" s="257"/>
      <c r="H33" s="258"/>
      <c r="I33" s="257"/>
      <c r="J33" s="258"/>
      <c r="K33" s="257"/>
      <c r="L33" s="258"/>
      <c r="M33" s="257"/>
      <c r="N33" s="258"/>
      <c r="O33" s="257"/>
      <c r="P33" s="258"/>
      <c r="Q33" s="257"/>
      <c r="R33" s="258"/>
      <c r="S33" s="257"/>
      <c r="T33" s="258"/>
      <c r="U33" s="257"/>
      <c r="V33" s="258"/>
      <c r="W33" s="257"/>
      <c r="X33" s="258"/>
      <c r="Y33" s="257"/>
      <c r="Z33" s="258"/>
      <c r="AA33" s="257"/>
      <c r="AB33" s="258"/>
      <c r="AC33" s="257"/>
      <c r="AD33" s="258"/>
      <c r="AE33" s="257"/>
      <c r="AF33" s="258"/>
      <c r="AG33" s="257"/>
      <c r="AH33" s="258"/>
      <c r="AI33" s="257"/>
      <c r="AJ33" s="258"/>
      <c r="AK33" s="265"/>
      <c r="AL33" s="258"/>
      <c r="AM33" s="257"/>
      <c r="AN33" s="258"/>
      <c r="AO33" s="257"/>
      <c r="AP33" s="258"/>
      <c r="AQ33" s="265"/>
      <c r="AR33" s="269"/>
      <c r="AS33" s="257"/>
      <c r="AT33" s="258"/>
      <c r="AU33" s="265"/>
      <c r="AV33" s="258"/>
      <c r="AW33" s="265"/>
      <c r="AX33" s="91">
        <v>25</v>
      </c>
      <c r="AY33" s="92">
        <f t="shared" si="0"/>
        <v>0</v>
      </c>
      <c r="AZ33" s="93">
        <f t="shared" si="0"/>
        <v>0</v>
      </c>
      <c r="BA33" s="94">
        <f t="shared" si="1"/>
        <v>0</v>
      </c>
      <c r="BB33" s="95">
        <f t="shared" si="2"/>
        <v>0</v>
      </c>
      <c r="BC33" s="214"/>
      <c r="BD33" s="197">
        <f t="shared" si="3"/>
        <v>0</v>
      </c>
      <c r="BE33" s="98">
        <f t="shared" si="4"/>
        <v>0</v>
      </c>
      <c r="BF33" s="99"/>
      <c r="BG33" s="86">
        <f>setembro!$BE34</f>
        <v>0</v>
      </c>
      <c r="BH33" s="97"/>
      <c r="BI33" s="197">
        <f t="shared" si="5"/>
        <v>0</v>
      </c>
    </row>
    <row r="34" spans="1:61" ht="21" customHeight="1">
      <c r="A34" s="102">
        <v>26</v>
      </c>
      <c r="B34" s="258"/>
      <c r="C34" s="257"/>
      <c r="D34" s="258"/>
      <c r="E34" s="257"/>
      <c r="F34" s="258"/>
      <c r="G34" s="257"/>
      <c r="H34" s="258"/>
      <c r="I34" s="257"/>
      <c r="J34" s="258"/>
      <c r="K34" s="257"/>
      <c r="L34" s="258"/>
      <c r="M34" s="257"/>
      <c r="N34" s="258"/>
      <c r="O34" s="257"/>
      <c r="P34" s="258"/>
      <c r="Q34" s="257"/>
      <c r="R34" s="258"/>
      <c r="S34" s="257"/>
      <c r="T34" s="258"/>
      <c r="U34" s="257"/>
      <c r="V34" s="258"/>
      <c r="W34" s="257"/>
      <c r="X34" s="258"/>
      <c r="Y34" s="257"/>
      <c r="Z34" s="258"/>
      <c r="AA34" s="257"/>
      <c r="AB34" s="258"/>
      <c r="AC34" s="257"/>
      <c r="AD34" s="258"/>
      <c r="AE34" s="257"/>
      <c r="AF34" s="258"/>
      <c r="AG34" s="257"/>
      <c r="AH34" s="258"/>
      <c r="AI34" s="257"/>
      <c r="AJ34" s="258"/>
      <c r="AK34" s="265"/>
      <c r="AL34" s="258"/>
      <c r="AM34" s="257"/>
      <c r="AN34" s="258"/>
      <c r="AO34" s="257"/>
      <c r="AP34" s="258"/>
      <c r="AQ34" s="265"/>
      <c r="AR34" s="258"/>
      <c r="AS34" s="257"/>
      <c r="AT34" s="258"/>
      <c r="AU34" s="265"/>
      <c r="AV34" s="258"/>
      <c r="AW34" s="265"/>
      <c r="AX34" s="91">
        <v>26</v>
      </c>
      <c r="AY34" s="92">
        <f t="shared" si="0"/>
        <v>0</v>
      </c>
      <c r="AZ34" s="93">
        <f t="shared" si="0"/>
        <v>0</v>
      </c>
      <c r="BA34" s="94">
        <f t="shared" si="1"/>
        <v>0</v>
      </c>
      <c r="BB34" s="95">
        <f t="shared" si="2"/>
        <v>0</v>
      </c>
      <c r="BC34" s="214"/>
      <c r="BD34" s="197">
        <f t="shared" si="3"/>
        <v>0</v>
      </c>
      <c r="BE34" s="98">
        <f t="shared" si="4"/>
        <v>0</v>
      </c>
      <c r="BF34" s="99"/>
      <c r="BG34" s="86">
        <f>setembro!$BE35</f>
        <v>0</v>
      </c>
      <c r="BH34" s="97"/>
      <c r="BI34" s="197">
        <f t="shared" si="5"/>
        <v>0</v>
      </c>
    </row>
    <row r="35" spans="1:61" ht="21" customHeight="1">
      <c r="A35" s="71">
        <v>27</v>
      </c>
      <c r="B35" s="258"/>
      <c r="C35" s="257"/>
      <c r="D35" s="258"/>
      <c r="E35" s="257"/>
      <c r="F35" s="258"/>
      <c r="G35" s="257"/>
      <c r="H35" s="258"/>
      <c r="I35" s="257"/>
      <c r="J35" s="258"/>
      <c r="K35" s="257"/>
      <c r="L35" s="258"/>
      <c r="M35" s="257"/>
      <c r="N35" s="258"/>
      <c r="O35" s="257"/>
      <c r="P35" s="258"/>
      <c r="Q35" s="257"/>
      <c r="R35" s="258"/>
      <c r="S35" s="257"/>
      <c r="T35" s="258">
        <v>0.7</v>
      </c>
      <c r="U35" s="257">
        <v>15</v>
      </c>
      <c r="V35" s="258"/>
      <c r="W35" s="257"/>
      <c r="X35" s="258"/>
      <c r="Y35" s="257"/>
      <c r="Z35" s="258"/>
      <c r="AA35" s="257"/>
      <c r="AB35" s="258"/>
      <c r="AC35" s="257"/>
      <c r="AD35" s="258">
        <v>0.1</v>
      </c>
      <c r="AE35" s="257">
        <v>5</v>
      </c>
      <c r="AF35" s="258"/>
      <c r="AG35" s="257"/>
      <c r="AH35" s="258"/>
      <c r="AI35" s="257"/>
      <c r="AJ35" s="258"/>
      <c r="AK35" s="265"/>
      <c r="AL35" s="258"/>
      <c r="AM35" s="257"/>
      <c r="AN35" s="258"/>
      <c r="AO35" s="257"/>
      <c r="AP35" s="258"/>
      <c r="AQ35" s="265"/>
      <c r="AR35" s="258"/>
      <c r="AS35" s="257"/>
      <c r="AT35" s="258"/>
      <c r="AU35" s="265"/>
      <c r="AV35" s="258"/>
      <c r="AW35" s="265"/>
      <c r="AX35" s="91">
        <v>27</v>
      </c>
      <c r="AY35" s="92">
        <f t="shared" si="0"/>
        <v>0.79999999999999993</v>
      </c>
      <c r="AZ35" s="93">
        <f>C35+E35+G35+I35+K35+M35+O35+Q35+S35+U35+W35+Y35+AA35+AC35+AE35+AG35+AI35+AK35+AM35+AO35+AQ35+AS35+AU35+AW35</f>
        <v>20</v>
      </c>
      <c r="BA35" s="94">
        <f t="shared" si="1"/>
        <v>0.7</v>
      </c>
      <c r="BB35" s="95">
        <f t="shared" si="2"/>
        <v>2</v>
      </c>
      <c r="BC35" s="214"/>
      <c r="BD35" s="197">
        <f t="shared" si="3"/>
        <v>1</v>
      </c>
      <c r="BE35" s="98">
        <f t="shared" si="4"/>
        <v>0</v>
      </c>
      <c r="BF35" s="99"/>
      <c r="BG35" s="86">
        <f>setembro!$BE36</f>
        <v>0.79999999999999993</v>
      </c>
      <c r="BH35" s="97"/>
      <c r="BI35" s="197">
        <f t="shared" si="5"/>
        <v>0</v>
      </c>
    </row>
    <row r="36" spans="1:61" ht="21" customHeight="1">
      <c r="A36" s="71">
        <v>28</v>
      </c>
      <c r="B36" s="258"/>
      <c r="C36" s="257"/>
      <c r="D36" s="258"/>
      <c r="E36" s="257"/>
      <c r="F36" s="258"/>
      <c r="G36" s="257"/>
      <c r="H36" s="258"/>
      <c r="I36" s="257"/>
      <c r="J36" s="258"/>
      <c r="K36" s="257"/>
      <c r="L36" s="258"/>
      <c r="M36" s="257"/>
      <c r="N36" s="258"/>
      <c r="O36" s="257"/>
      <c r="P36" s="258"/>
      <c r="Q36" s="257"/>
      <c r="R36" s="258"/>
      <c r="S36" s="257"/>
      <c r="T36" s="258"/>
      <c r="U36" s="257"/>
      <c r="V36" s="258"/>
      <c r="W36" s="257"/>
      <c r="X36" s="258"/>
      <c r="Y36" s="257"/>
      <c r="Z36" s="258"/>
      <c r="AA36" s="257"/>
      <c r="AB36" s="258"/>
      <c r="AC36" s="257"/>
      <c r="AD36" s="258"/>
      <c r="AE36" s="257"/>
      <c r="AF36" s="258"/>
      <c r="AG36" s="257"/>
      <c r="AH36" s="258"/>
      <c r="AI36" s="257"/>
      <c r="AJ36" s="258"/>
      <c r="AK36" s="265"/>
      <c r="AL36" s="258"/>
      <c r="AM36" s="257"/>
      <c r="AN36" s="258"/>
      <c r="AO36" s="257"/>
      <c r="AP36" s="258"/>
      <c r="AQ36" s="265"/>
      <c r="AR36" s="258"/>
      <c r="AS36" s="257"/>
      <c r="AT36" s="258"/>
      <c r="AU36" s="265"/>
      <c r="AV36" s="258"/>
      <c r="AW36" s="265"/>
      <c r="AX36" s="91">
        <v>28</v>
      </c>
      <c r="AY36" s="92">
        <f t="shared" si="0"/>
        <v>0</v>
      </c>
      <c r="AZ36" s="93">
        <f t="shared" si="0"/>
        <v>0</v>
      </c>
      <c r="BA36" s="94">
        <f t="shared" si="1"/>
        <v>0</v>
      </c>
      <c r="BB36" s="95">
        <f t="shared" si="2"/>
        <v>0</v>
      </c>
      <c r="BC36" s="214"/>
      <c r="BD36" s="197">
        <f t="shared" si="3"/>
        <v>0</v>
      </c>
      <c r="BE36" s="98">
        <f t="shared" si="4"/>
        <v>0.79999999999999993</v>
      </c>
      <c r="BF36" s="99"/>
      <c r="BG36" s="86">
        <f>setembro!$BE37</f>
        <v>0</v>
      </c>
      <c r="BH36" s="97"/>
      <c r="BI36" s="197">
        <f t="shared" si="5"/>
        <v>0</v>
      </c>
    </row>
    <row r="37" spans="1:61" ht="21" customHeight="1">
      <c r="A37" s="71">
        <v>29</v>
      </c>
      <c r="B37" s="258"/>
      <c r="C37" s="257"/>
      <c r="D37" s="258"/>
      <c r="E37" s="257"/>
      <c r="F37" s="258"/>
      <c r="G37" s="257"/>
      <c r="H37" s="258"/>
      <c r="I37" s="257"/>
      <c r="J37" s="258"/>
      <c r="K37" s="257"/>
      <c r="L37" s="258"/>
      <c r="M37" s="257"/>
      <c r="N37" s="258"/>
      <c r="O37" s="257"/>
      <c r="P37" s="258"/>
      <c r="Q37" s="257"/>
      <c r="R37" s="258"/>
      <c r="S37" s="257"/>
      <c r="T37" s="258"/>
      <c r="U37" s="257"/>
      <c r="V37" s="258"/>
      <c r="W37" s="257"/>
      <c r="X37" s="258"/>
      <c r="Y37" s="257"/>
      <c r="Z37" s="258"/>
      <c r="AA37" s="257"/>
      <c r="AB37" s="258"/>
      <c r="AC37" s="257"/>
      <c r="AD37" s="258"/>
      <c r="AE37" s="257"/>
      <c r="AF37" s="258"/>
      <c r="AG37" s="257"/>
      <c r="AH37" s="258"/>
      <c r="AI37" s="257"/>
      <c r="AJ37" s="258"/>
      <c r="AK37" s="265"/>
      <c r="AL37" s="258"/>
      <c r="AM37" s="257"/>
      <c r="AN37" s="258"/>
      <c r="AO37" s="257"/>
      <c r="AP37" s="258"/>
      <c r="AQ37" s="265"/>
      <c r="AR37" s="258"/>
      <c r="AS37" s="257"/>
      <c r="AT37" s="258"/>
      <c r="AU37" s="270"/>
      <c r="AV37" s="258"/>
      <c r="AW37" s="265"/>
      <c r="AX37" s="111">
        <v>29</v>
      </c>
      <c r="AY37" s="92">
        <f t="shared" si="0"/>
        <v>0</v>
      </c>
      <c r="AZ37" s="93">
        <f t="shared" si="0"/>
        <v>0</v>
      </c>
      <c r="BA37" s="94">
        <f t="shared" si="1"/>
        <v>0</v>
      </c>
      <c r="BB37" s="95">
        <f t="shared" si="2"/>
        <v>0</v>
      </c>
      <c r="BC37" s="214"/>
      <c r="BD37" s="197">
        <f t="shared" si="3"/>
        <v>0</v>
      </c>
      <c r="BE37" s="98">
        <f t="shared" si="4"/>
        <v>0</v>
      </c>
      <c r="BF37" s="99"/>
      <c r="BG37" s="86">
        <f>setembro!$BE38</f>
        <v>0</v>
      </c>
      <c r="BH37" s="97"/>
      <c r="BI37" s="197">
        <f t="shared" si="5"/>
        <v>0</v>
      </c>
    </row>
    <row r="38" spans="1:61" ht="21" customHeight="1" thickBot="1">
      <c r="A38" s="71">
        <v>30</v>
      </c>
      <c r="B38" s="283"/>
      <c r="C38" s="128"/>
      <c r="D38" s="276"/>
      <c r="E38" s="128"/>
      <c r="F38" s="276"/>
      <c r="G38" s="128"/>
      <c r="H38" s="276"/>
      <c r="I38" s="128"/>
      <c r="J38" s="276"/>
      <c r="K38" s="128"/>
      <c r="L38" s="276"/>
      <c r="M38" s="128"/>
      <c r="N38" s="276"/>
      <c r="O38" s="128"/>
      <c r="P38" s="276"/>
      <c r="Q38" s="257"/>
      <c r="R38" s="258"/>
      <c r="S38" s="257"/>
      <c r="T38" s="258"/>
      <c r="U38" s="257"/>
      <c r="V38" s="258"/>
      <c r="W38" s="257"/>
      <c r="X38" s="258"/>
      <c r="Y38" s="257"/>
      <c r="Z38" s="258"/>
      <c r="AA38" s="257"/>
      <c r="AB38" s="258"/>
      <c r="AC38" s="257"/>
      <c r="AD38" s="258"/>
      <c r="AE38" s="257"/>
      <c r="AF38" s="258"/>
      <c r="AG38" s="257"/>
      <c r="AH38" s="258"/>
      <c r="AI38" s="257"/>
      <c r="AJ38" s="258"/>
      <c r="AK38" s="265"/>
      <c r="AL38" s="258"/>
      <c r="AM38" s="257"/>
      <c r="AN38" s="258"/>
      <c r="AO38" s="257"/>
      <c r="AP38" s="258"/>
      <c r="AQ38" s="265"/>
      <c r="AR38" s="321"/>
      <c r="AS38" s="272"/>
      <c r="AT38" s="258"/>
      <c r="AU38" s="265"/>
      <c r="AV38" s="258"/>
      <c r="AW38" s="265"/>
      <c r="AX38" s="111">
        <v>30</v>
      </c>
      <c r="AY38" s="92">
        <f t="shared" si="0"/>
        <v>0</v>
      </c>
      <c r="AZ38" s="93">
        <f t="shared" si="0"/>
        <v>0</v>
      </c>
      <c r="BA38" s="94">
        <f t="shared" si="1"/>
        <v>0</v>
      </c>
      <c r="BB38" s="95">
        <f t="shared" si="2"/>
        <v>0</v>
      </c>
      <c r="BC38" s="214"/>
      <c r="BD38" s="197">
        <f t="shared" si="3"/>
        <v>0</v>
      </c>
      <c r="BE38" s="98">
        <f>P37+R37+T37+V37+X37+Z37+AB37+AD37+AF37+AH37+AJ37+AL37+AN37+AP37+AR37+AT37+AV37+B38+D38+F38+H38+J38+L38+N38</f>
        <v>0</v>
      </c>
      <c r="BF38" s="99"/>
      <c r="BG38" s="86">
        <f>setembro!$BH40</f>
        <v>0</v>
      </c>
      <c r="BH38" s="97"/>
      <c r="BI38" s="197">
        <f t="shared" si="5"/>
        <v>0</v>
      </c>
    </row>
    <row r="39" spans="1:61" ht="21" customHeight="1" thickBot="1">
      <c r="A39" s="284">
        <v>1</v>
      </c>
      <c r="B39" s="221"/>
      <c r="C39" s="222"/>
      <c r="D39" s="223"/>
      <c r="E39" s="222"/>
      <c r="F39" s="223"/>
      <c r="G39" s="222"/>
      <c r="H39" s="223"/>
      <c r="I39" s="222"/>
      <c r="J39" s="223"/>
      <c r="K39" s="222"/>
      <c r="L39" s="223"/>
      <c r="M39" s="222"/>
      <c r="N39" s="223"/>
      <c r="O39" s="224"/>
      <c r="P39" s="131"/>
      <c r="Q39" s="32"/>
      <c r="R39" s="31"/>
      <c r="S39" s="32"/>
      <c r="T39" s="31"/>
      <c r="U39" s="32"/>
      <c r="V39" s="31"/>
      <c r="W39" s="32"/>
      <c r="X39" s="31"/>
      <c r="Y39" s="32"/>
      <c r="Z39" s="31"/>
      <c r="AA39" s="32"/>
      <c r="AB39" s="31"/>
      <c r="AC39" s="32"/>
      <c r="AD39" s="31"/>
      <c r="AE39" s="32"/>
      <c r="AF39" s="31"/>
      <c r="AG39" s="32"/>
      <c r="AH39" s="31"/>
      <c r="AI39" s="32"/>
      <c r="AJ39" s="31"/>
      <c r="AK39" s="32"/>
      <c r="AL39" s="31"/>
      <c r="AM39" s="32"/>
      <c r="AN39" s="31"/>
      <c r="AO39" s="32"/>
      <c r="AP39" s="31"/>
      <c r="AQ39" s="32"/>
      <c r="AR39" s="31"/>
      <c r="AS39" s="32"/>
      <c r="AT39" s="31"/>
      <c r="AU39" s="32"/>
      <c r="AV39" s="31"/>
      <c r="AW39" s="32"/>
      <c r="AX39" s="123"/>
      <c r="AY39" s="92"/>
      <c r="AZ39" s="93"/>
      <c r="BA39" s="94"/>
      <c r="BB39" s="95"/>
      <c r="BC39" s="214"/>
      <c r="BD39" s="197"/>
      <c r="BE39" s="98"/>
      <c r="BF39" s="99"/>
      <c r="BG39" s="228"/>
      <c r="BH39" s="125" t="s">
        <v>90</v>
      </c>
      <c r="BI39" s="214"/>
    </row>
    <row r="40" spans="1:61" ht="21" customHeight="1" thickBot="1">
      <c r="A40" s="229"/>
      <c r="B40" s="230"/>
      <c r="C40" s="32"/>
      <c r="D40" s="31"/>
      <c r="E40" s="32"/>
      <c r="F40" s="31"/>
      <c r="G40" s="32"/>
      <c r="H40" s="31"/>
      <c r="I40" s="32"/>
      <c r="J40" s="31"/>
      <c r="K40" s="32"/>
      <c r="L40" s="31"/>
      <c r="M40" s="32"/>
      <c r="N40" s="31"/>
      <c r="O40" s="31"/>
      <c r="P40" s="230"/>
      <c r="Q40" s="32"/>
      <c r="R40" s="31"/>
      <c r="S40" s="32"/>
      <c r="T40" s="31"/>
      <c r="U40" s="32"/>
      <c r="V40" s="31"/>
      <c r="W40" s="32"/>
      <c r="X40" s="31"/>
      <c r="Y40" s="32"/>
      <c r="Z40" s="31"/>
      <c r="AA40" s="32"/>
      <c r="AB40" s="31"/>
      <c r="AC40" s="32"/>
      <c r="AD40" s="31"/>
      <c r="AE40" s="32"/>
      <c r="AF40" s="31"/>
      <c r="AG40" s="32"/>
      <c r="AH40" s="31"/>
      <c r="AI40" s="32"/>
      <c r="AJ40" s="31"/>
      <c r="AK40" s="32"/>
      <c r="AL40" s="31"/>
      <c r="AM40" s="32"/>
      <c r="AN40" s="31"/>
      <c r="AO40" s="32"/>
      <c r="AP40" s="31"/>
      <c r="AQ40" s="32"/>
      <c r="AR40" s="31"/>
      <c r="AS40" s="32"/>
      <c r="AT40" s="31"/>
      <c r="AU40" s="32"/>
      <c r="AV40" s="31"/>
      <c r="AW40" s="32"/>
      <c r="AX40" s="132"/>
      <c r="AY40" s="231" t="s">
        <v>53</v>
      </c>
      <c r="AZ40" s="232"/>
      <c r="BA40" s="233"/>
      <c r="BB40" s="136"/>
      <c r="BC40" s="214"/>
      <c r="BD40" s="137" t="s">
        <v>54</v>
      </c>
      <c r="BE40" s="138">
        <f>SUM(BE9:BE39)</f>
        <v>19.2</v>
      </c>
      <c r="BF40" s="232"/>
      <c r="BG40" s="139"/>
      <c r="BH40" s="140">
        <f>P38+R38+T38+V38+X38+Z38+AB38+AD38+AF38+AH38+AJ38+AL38+AN38+AP38+AR38+AT38+AV38+B39+D39+F39+H39+J39+L39+N39</f>
        <v>0</v>
      </c>
      <c r="BI40" s="214"/>
    </row>
    <row r="41" spans="1:61" ht="21" customHeight="1" thickBot="1">
      <c r="A41" s="142"/>
      <c r="B41" s="37" t="s">
        <v>19</v>
      </c>
      <c r="C41" s="37"/>
      <c r="D41" s="38" t="s">
        <v>20</v>
      </c>
      <c r="E41" s="38"/>
      <c r="F41" s="37" t="s">
        <v>21</v>
      </c>
      <c r="G41" s="37"/>
      <c r="H41" s="37" t="s">
        <v>22</v>
      </c>
      <c r="I41" s="37"/>
      <c r="J41" s="39" t="s">
        <v>23</v>
      </c>
      <c r="K41" s="39"/>
      <c r="L41" s="37" t="s">
        <v>24</v>
      </c>
      <c r="M41" s="37"/>
      <c r="N41" s="37" t="s">
        <v>25</v>
      </c>
      <c r="O41" s="37"/>
      <c r="P41" s="37" t="s">
        <v>26</v>
      </c>
      <c r="Q41" s="37"/>
      <c r="R41" s="37" t="s">
        <v>27</v>
      </c>
      <c r="S41" s="37"/>
      <c r="T41" s="37" t="s">
        <v>28</v>
      </c>
      <c r="U41" s="37"/>
      <c r="V41" s="37" t="s">
        <v>29</v>
      </c>
      <c r="W41" s="37"/>
      <c r="X41" s="37" t="s">
        <v>30</v>
      </c>
      <c r="Y41" s="37"/>
      <c r="Z41" s="40" t="s">
        <v>31</v>
      </c>
      <c r="AA41" s="40"/>
      <c r="AB41" s="37" t="s">
        <v>32</v>
      </c>
      <c r="AC41" s="37"/>
      <c r="AD41" s="37" t="s">
        <v>33</v>
      </c>
      <c r="AE41" s="37"/>
      <c r="AF41" s="37" t="s">
        <v>34</v>
      </c>
      <c r="AG41" s="37"/>
      <c r="AH41" s="37" t="s">
        <v>35</v>
      </c>
      <c r="AI41" s="37"/>
      <c r="AJ41" s="37" t="s">
        <v>36</v>
      </c>
      <c r="AK41" s="37"/>
      <c r="AL41" s="37" t="s">
        <v>37</v>
      </c>
      <c r="AM41" s="37"/>
      <c r="AN41" s="37" t="s">
        <v>38</v>
      </c>
      <c r="AO41" s="37"/>
      <c r="AP41" s="37" t="s">
        <v>39</v>
      </c>
      <c r="AQ41" s="37"/>
      <c r="AR41" s="37" t="s">
        <v>40</v>
      </c>
      <c r="AS41" s="37"/>
      <c r="AT41" s="37" t="s">
        <v>41</v>
      </c>
      <c r="AU41" s="37"/>
      <c r="AV41" s="37" t="s">
        <v>42</v>
      </c>
      <c r="AW41" s="37"/>
      <c r="AX41" s="146"/>
      <c r="AY41" s="33" t="s">
        <v>15</v>
      </c>
      <c r="AZ41" s="33" t="s">
        <v>16</v>
      </c>
      <c r="BA41" s="34" t="s">
        <v>17</v>
      </c>
      <c r="BB41" s="34" t="s">
        <v>55</v>
      </c>
      <c r="BC41" s="214"/>
      <c r="BD41" s="137" t="s">
        <v>56</v>
      </c>
      <c r="BE41" s="147">
        <f>MAX(BE9:BE39)</f>
        <v>9.1999999999999975</v>
      </c>
      <c r="BF41" s="148"/>
      <c r="BG41" s="148"/>
      <c r="BH41" s="148"/>
      <c r="BI41" s="214"/>
    </row>
    <row r="42" spans="1:61" ht="21" customHeight="1" thickBot="1">
      <c r="A42" s="142"/>
      <c r="B42" s="234" t="s">
        <v>47</v>
      </c>
      <c r="C42" s="235" t="s">
        <v>48</v>
      </c>
      <c r="D42" s="204" t="s">
        <v>47</v>
      </c>
      <c r="E42" s="236" t="s">
        <v>48</v>
      </c>
      <c r="F42" s="204" t="s">
        <v>47</v>
      </c>
      <c r="G42" s="237" t="s">
        <v>48</v>
      </c>
      <c r="H42" s="204" t="s">
        <v>47</v>
      </c>
      <c r="I42" s="237" t="s">
        <v>48</v>
      </c>
      <c r="J42" s="204" t="s">
        <v>47</v>
      </c>
      <c r="K42" s="237" t="s">
        <v>48</v>
      </c>
      <c r="L42" s="204" t="s">
        <v>47</v>
      </c>
      <c r="M42" s="237" t="s">
        <v>48</v>
      </c>
      <c r="N42" s="204" t="s">
        <v>47</v>
      </c>
      <c r="O42" s="237" t="s">
        <v>48</v>
      </c>
      <c r="P42" s="204" t="s">
        <v>47</v>
      </c>
      <c r="Q42" s="237" t="s">
        <v>48</v>
      </c>
      <c r="R42" s="204" t="s">
        <v>47</v>
      </c>
      <c r="S42" s="237" t="s">
        <v>48</v>
      </c>
      <c r="T42" s="204" t="s">
        <v>47</v>
      </c>
      <c r="U42" s="237" t="s">
        <v>48</v>
      </c>
      <c r="V42" s="204" t="s">
        <v>47</v>
      </c>
      <c r="W42" s="237" t="s">
        <v>48</v>
      </c>
      <c r="X42" s="204" t="s">
        <v>47</v>
      </c>
      <c r="Y42" s="237" t="s">
        <v>48</v>
      </c>
      <c r="Z42" s="204" t="s">
        <v>47</v>
      </c>
      <c r="AA42" s="237" t="s">
        <v>48</v>
      </c>
      <c r="AB42" s="204" t="s">
        <v>47</v>
      </c>
      <c r="AC42" s="237" t="s">
        <v>48</v>
      </c>
      <c r="AD42" s="204" t="s">
        <v>47</v>
      </c>
      <c r="AE42" s="237" t="s">
        <v>48</v>
      </c>
      <c r="AF42" s="204" t="s">
        <v>47</v>
      </c>
      <c r="AG42" s="237" t="s">
        <v>48</v>
      </c>
      <c r="AH42" s="204" t="s">
        <v>47</v>
      </c>
      <c r="AI42" s="237" t="s">
        <v>48</v>
      </c>
      <c r="AJ42" s="204" t="s">
        <v>47</v>
      </c>
      <c r="AK42" s="205" t="s">
        <v>48</v>
      </c>
      <c r="AL42" s="204" t="s">
        <v>47</v>
      </c>
      <c r="AM42" s="237" t="s">
        <v>48</v>
      </c>
      <c r="AN42" s="204" t="s">
        <v>47</v>
      </c>
      <c r="AO42" s="237" t="s">
        <v>48</v>
      </c>
      <c r="AP42" s="204" t="s">
        <v>47</v>
      </c>
      <c r="AQ42" s="205" t="s">
        <v>48</v>
      </c>
      <c r="AR42" s="204" t="s">
        <v>47</v>
      </c>
      <c r="AS42" s="237" t="s">
        <v>48</v>
      </c>
      <c r="AT42" s="204" t="s">
        <v>47</v>
      </c>
      <c r="AU42" s="205" t="s">
        <v>48</v>
      </c>
      <c r="AV42" s="204" t="s">
        <v>47</v>
      </c>
      <c r="AW42" s="205" t="s">
        <v>48</v>
      </c>
      <c r="AX42" s="146"/>
      <c r="AY42" s="35" t="s">
        <v>57</v>
      </c>
      <c r="AZ42" s="35" t="s">
        <v>43</v>
      </c>
      <c r="BA42" s="35" t="s">
        <v>44</v>
      </c>
      <c r="BB42" s="35" t="s">
        <v>58</v>
      </c>
      <c r="BC42" s="214"/>
      <c r="BD42" s="137" t="s">
        <v>59</v>
      </c>
      <c r="BE42" s="70">
        <f>COUNTIF(BE9:BE39,"&gt;=1")</f>
        <v>4</v>
      </c>
      <c r="BF42" s="238"/>
      <c r="BG42" s="322">
        <f>SUM(BG9:BG38)</f>
        <v>19.2</v>
      </c>
      <c r="BH42" s="238"/>
      <c r="BI42" s="214"/>
    </row>
    <row r="43" spans="1:61" ht="21" customHeight="1" thickBot="1">
      <c r="A43" s="238" t="s">
        <v>60</v>
      </c>
      <c r="B43" s="154">
        <f>SUM(B9:B38)</f>
        <v>0.6</v>
      </c>
      <c r="C43" s="154"/>
      <c r="D43" s="154">
        <f>SUM(D9:D38)</f>
        <v>0.4</v>
      </c>
      <c r="E43" s="154"/>
      <c r="F43" s="154">
        <f>SUM(F9:F38)</f>
        <v>0.1</v>
      </c>
      <c r="G43" s="154"/>
      <c r="H43" s="154">
        <f>SUM(H9:H38)</f>
        <v>0</v>
      </c>
      <c r="I43" s="154"/>
      <c r="J43" s="154">
        <f>SUM(J9:J38)</f>
        <v>0.6</v>
      </c>
      <c r="K43" s="154"/>
      <c r="L43" s="154">
        <f>SUM(L9:L38)</f>
        <v>0.7</v>
      </c>
      <c r="M43" s="154"/>
      <c r="N43" s="154">
        <f>SUM(N9:N38)</f>
        <v>4.4000000000000004</v>
      </c>
      <c r="O43" s="154"/>
      <c r="P43" s="154">
        <f>SUM(P9:P38)</f>
        <v>1.7</v>
      </c>
      <c r="Q43" s="154"/>
      <c r="R43" s="154">
        <f>SUM(R9:R38)</f>
        <v>1.6</v>
      </c>
      <c r="S43" s="154"/>
      <c r="T43" s="154">
        <f>SUM(T9:T38)</f>
        <v>1.2999999999999998</v>
      </c>
      <c r="U43" s="154"/>
      <c r="V43" s="154">
        <f>SUM(V9:V38)</f>
        <v>0</v>
      </c>
      <c r="W43" s="154"/>
      <c r="X43" s="154">
        <f>SUM(X9:X38)</f>
        <v>2.1</v>
      </c>
      <c r="Y43" s="154"/>
      <c r="Z43" s="154">
        <f>SUM(Z9:Z38)</f>
        <v>0.8</v>
      </c>
      <c r="AA43" s="154"/>
      <c r="AB43" s="154">
        <f>SUM(AB9:AB38)</f>
        <v>0.7</v>
      </c>
      <c r="AC43" s="154"/>
      <c r="AD43" s="293">
        <f>SUM(AD9:AD38)</f>
        <v>0.2</v>
      </c>
      <c r="AE43" s="154"/>
      <c r="AF43" s="154">
        <f>SUM(AF9:AF38)</f>
        <v>0.2</v>
      </c>
      <c r="AG43" s="154"/>
      <c r="AH43" s="154">
        <f>SUM(AH9:AH38)</f>
        <v>0.2</v>
      </c>
      <c r="AI43" s="154"/>
      <c r="AJ43" s="154">
        <f>SUM(AJ9:AJ38)</f>
        <v>0.7</v>
      </c>
      <c r="AK43" s="154"/>
      <c r="AL43" s="154">
        <f>SUM(AL9:AL38)</f>
        <v>0.2</v>
      </c>
      <c r="AM43" s="154"/>
      <c r="AN43" s="154">
        <f>SUM(AN9:AN38)</f>
        <v>0.4</v>
      </c>
      <c r="AO43" s="154"/>
      <c r="AP43" s="154">
        <f>SUM(AP9:AP38)</f>
        <v>0</v>
      </c>
      <c r="AQ43" s="154"/>
      <c r="AR43" s="154">
        <f>SUM(AR9:AR38)</f>
        <v>0</v>
      </c>
      <c r="AS43" s="154"/>
      <c r="AT43" s="154">
        <f>SUM(AT9:AT38)</f>
        <v>1.4</v>
      </c>
      <c r="AU43" s="154"/>
      <c r="AV43" s="154">
        <f>SUM(AV9:AV38)</f>
        <v>0.90000000000000013</v>
      </c>
      <c r="AW43" s="154"/>
      <c r="AX43" s="146"/>
      <c r="AY43" s="53" t="s">
        <v>49</v>
      </c>
      <c r="AZ43" s="53" t="s">
        <v>50</v>
      </c>
      <c r="BA43" s="54" t="s">
        <v>51</v>
      </c>
      <c r="BB43" s="54" t="s">
        <v>61</v>
      </c>
      <c r="BC43" s="214"/>
      <c r="BD43" s="137"/>
      <c r="BE43" s="70"/>
      <c r="BF43" s="238"/>
      <c r="BG43" s="238"/>
      <c r="BH43" s="238"/>
      <c r="BI43" s="214"/>
    </row>
    <row r="44" spans="1:61" s="161" customFormat="1" ht="21" customHeight="1" thickBot="1">
      <c r="A44" s="238" t="s">
        <v>62</v>
      </c>
      <c r="B44" s="155"/>
      <c r="C44" s="155">
        <f>SUM(C9:C38)</f>
        <v>60</v>
      </c>
      <c r="D44" s="155"/>
      <c r="E44" s="155">
        <f>SUM(E9:E38)</f>
        <v>75</v>
      </c>
      <c r="F44" s="155"/>
      <c r="G44" s="155">
        <f>SUM(G9:G38)</f>
        <v>30</v>
      </c>
      <c r="H44" s="155"/>
      <c r="I44" s="155">
        <f>SUM(I9:I38)</f>
        <v>0</v>
      </c>
      <c r="J44" s="155"/>
      <c r="K44" s="155">
        <f>SUM(K9:K38)</f>
        <v>65</v>
      </c>
      <c r="L44" s="155"/>
      <c r="M44" s="155">
        <f>SUM(M9:M38)</f>
        <v>50</v>
      </c>
      <c r="N44" s="155"/>
      <c r="O44" s="155">
        <f>SUM(O9:O38)</f>
        <v>85</v>
      </c>
      <c r="P44" s="155"/>
      <c r="Q44" s="155">
        <f>SUM(Q9:Q38)</f>
        <v>60</v>
      </c>
      <c r="R44" s="155"/>
      <c r="S44" s="155">
        <f>SUM(S9:S38)</f>
        <v>60</v>
      </c>
      <c r="T44" s="155"/>
      <c r="U44" s="155">
        <f>SUM(U9:U38)</f>
        <v>65</v>
      </c>
      <c r="V44" s="155"/>
      <c r="W44" s="155">
        <f>SUM(W9:W38)</f>
        <v>0</v>
      </c>
      <c r="X44" s="155"/>
      <c r="Y44" s="155">
        <f>SUM(Y9:Y38)</f>
        <v>55</v>
      </c>
      <c r="Z44" s="155"/>
      <c r="AA44" s="155">
        <f>SUM(AA9:AA38)</f>
        <v>5</v>
      </c>
      <c r="AB44" s="155"/>
      <c r="AC44" s="155">
        <f>SUM(AC9:AC38)</f>
        <v>40</v>
      </c>
      <c r="AD44" s="155"/>
      <c r="AE44" s="155">
        <f>SUM(AE9:AE38)</f>
        <v>30</v>
      </c>
      <c r="AF44" s="155"/>
      <c r="AG44" s="155">
        <f>SUM(AG9:AG38)</f>
        <v>60</v>
      </c>
      <c r="AH44" s="155"/>
      <c r="AI44" s="155">
        <f>SUM(AI9:AI38)</f>
        <v>55</v>
      </c>
      <c r="AJ44" s="155"/>
      <c r="AK44" s="155">
        <f>SUM(AK9:AK38)</f>
        <v>35</v>
      </c>
      <c r="AL44" s="155"/>
      <c r="AM44" s="155">
        <f>SUM(AM9:AM38)</f>
        <v>80</v>
      </c>
      <c r="AN44" s="155"/>
      <c r="AO44" s="155">
        <f>SUM(AO9:AO38)</f>
        <v>105</v>
      </c>
      <c r="AP44" s="155"/>
      <c r="AQ44" s="155">
        <f>SUM(AQ9:AQ38)</f>
        <v>0</v>
      </c>
      <c r="AR44" s="155"/>
      <c r="AS44" s="155">
        <f>SUM(AS9:AS38)</f>
        <v>0</v>
      </c>
      <c r="AT44" s="155"/>
      <c r="AU44" s="155">
        <f>SUM(AU9:AU38)</f>
        <v>80</v>
      </c>
      <c r="AV44" s="155"/>
      <c r="AW44" s="155">
        <f>SUM(AW9:AW38)</f>
        <v>110</v>
      </c>
      <c r="AX44" s="239"/>
      <c r="AY44" s="157">
        <f>AY9+AY10+AY11+AY12+AY13+AY14+AY15+AY16+AY17+AY18+AY19+AY20+AY21+AY22+AY23+AY24+AY25+AY26+AY27+AY28+AY29+AY30+AY31+AY32+AY33+AY34+AY35+AY36+AY37+AY38</f>
        <v>19.200000000000003</v>
      </c>
      <c r="AZ44" s="158">
        <f>AZ9+AZ10+AZ11+AZ12+AZ13+AZ14+AZ15+AZ16+AZ17+AZ18+AZ19+AZ20+AZ21+AZ22+AZ23+AZ24+AZ25+AZ26+AZ27+AZ28+AZ29+AZ30+AZ31+AZ32+AZ33+AZ34+AZ35+AZ36+AZ37+AZ38</f>
        <v>1205</v>
      </c>
      <c r="BA44" s="154">
        <f>MAX(BA9:BA38)</f>
        <v>4.2</v>
      </c>
      <c r="BB44" s="155">
        <f>SUM(BB8:BB38)</f>
        <v>35</v>
      </c>
      <c r="BC44" s="42"/>
      <c r="BD44" s="197"/>
      <c r="BE44" s="240"/>
      <c r="BF44" s="241"/>
      <c r="BG44" s="240"/>
      <c r="BH44" s="242"/>
      <c r="BI44" s="214"/>
    </row>
    <row r="45" spans="1:61" s="161" customFormat="1" ht="21" customHeight="1" thickBot="1">
      <c r="A45" s="238" t="s">
        <v>63</v>
      </c>
      <c r="B45" s="155">
        <f>COUNT(B9:B38)</f>
        <v>3</v>
      </c>
      <c r="C45" s="155"/>
      <c r="D45" s="155">
        <f>COUNT(D9:D38)</f>
        <v>2</v>
      </c>
      <c r="E45" s="155"/>
      <c r="F45" s="155">
        <f>COUNT(F9:F38)</f>
        <v>1</v>
      </c>
      <c r="G45" s="155"/>
      <c r="H45" s="155">
        <f>COUNT(H9:H38)</f>
        <v>0</v>
      </c>
      <c r="I45" s="155"/>
      <c r="J45" s="155">
        <f>COUNT(J9:J38)</f>
        <v>2</v>
      </c>
      <c r="K45" s="155"/>
      <c r="L45" s="155">
        <f>COUNT(L9:L38)</f>
        <v>1</v>
      </c>
      <c r="M45" s="155"/>
      <c r="N45" s="155">
        <f>COUNT(N9:N38)</f>
        <v>2</v>
      </c>
      <c r="O45" s="155"/>
      <c r="P45" s="155">
        <f>COUNT(P9:P38)</f>
        <v>1</v>
      </c>
      <c r="Q45" s="155"/>
      <c r="R45" s="155">
        <f>COUNT(R9:R38)</f>
        <v>1</v>
      </c>
      <c r="S45" s="155"/>
      <c r="T45" s="155">
        <f>COUNT(T9:T38)</f>
        <v>2</v>
      </c>
      <c r="U45" s="155"/>
      <c r="V45" s="155">
        <f>COUNT(V9:V38)</f>
        <v>0</v>
      </c>
      <c r="W45" s="155"/>
      <c r="X45" s="155">
        <f>COUNT(X9:X38)</f>
        <v>1</v>
      </c>
      <c r="Y45" s="155"/>
      <c r="Z45" s="155">
        <f>COUNT(Z9:Z38)</f>
        <v>1</v>
      </c>
      <c r="AA45" s="155"/>
      <c r="AB45" s="155">
        <f>COUNT(AB9:AB38)</f>
        <v>2</v>
      </c>
      <c r="AC45" s="155"/>
      <c r="AD45" s="155">
        <f>COUNT(AD9:AD38)</f>
        <v>2</v>
      </c>
      <c r="AE45" s="155"/>
      <c r="AF45" s="155">
        <f>COUNT(AF9:AF38)</f>
        <v>1</v>
      </c>
      <c r="AG45" s="155"/>
      <c r="AH45" s="155">
        <f>COUNT(AH9:AH38)</f>
        <v>1</v>
      </c>
      <c r="AI45" s="155"/>
      <c r="AJ45" s="155">
        <f>COUNT(AJ9:AJ38)</f>
        <v>2</v>
      </c>
      <c r="AK45" s="155"/>
      <c r="AL45" s="155">
        <f>COUNT(AL9:AL38)</f>
        <v>2</v>
      </c>
      <c r="AM45" s="155"/>
      <c r="AN45" s="155">
        <f>COUNT(AN9:AN38)</f>
        <v>3</v>
      </c>
      <c r="AO45" s="162"/>
      <c r="AP45" s="155">
        <f>COUNT(AP9:AP38)</f>
        <v>0</v>
      </c>
      <c r="AQ45" s="155"/>
      <c r="AR45" s="155">
        <f>COUNT(AR9:AR38)</f>
        <v>0</v>
      </c>
      <c r="AS45" s="155"/>
      <c r="AT45" s="155">
        <f>COUNT(AT9:AT38)</f>
        <v>2</v>
      </c>
      <c r="AU45" s="155"/>
      <c r="AV45" s="155">
        <f>COUNT(AV9:AV38)</f>
        <v>3</v>
      </c>
      <c r="AW45" s="155"/>
      <c r="AX45" s="243"/>
      <c r="AY45" s="164" t="s">
        <v>64</v>
      </c>
      <c r="AZ45" s="165" t="s">
        <v>65</v>
      </c>
      <c r="BA45" s="240"/>
      <c r="BB45" s="34" t="s">
        <v>66</v>
      </c>
      <c r="BC45" s="214"/>
      <c r="BD45" s="197"/>
      <c r="BE45" s="238"/>
      <c r="BF45" s="241"/>
      <c r="BG45" s="240"/>
      <c r="BH45" s="238"/>
      <c r="BI45" s="214"/>
    </row>
    <row r="46" spans="1:61" s="161" customFormat="1" ht="21" customHeight="1" thickBot="1">
      <c r="A46" s="196"/>
      <c r="B46" s="196"/>
      <c r="C46" s="196"/>
      <c r="D46" s="196"/>
      <c r="E46" s="196"/>
      <c r="F46" s="196"/>
      <c r="G46" s="196"/>
      <c r="H46" s="196"/>
      <c r="I46" s="196"/>
      <c r="J46" s="196"/>
      <c r="K46" s="196"/>
      <c r="L46" s="196"/>
      <c r="M46" s="196"/>
      <c r="N46" s="196"/>
      <c r="O46" s="196"/>
      <c r="P46" s="196"/>
      <c r="Q46" s="196"/>
      <c r="R46" s="196"/>
      <c r="S46" s="196"/>
      <c r="T46" s="196"/>
      <c r="U46" s="196"/>
      <c r="V46" s="196"/>
      <c r="W46" s="196"/>
      <c r="X46" s="196"/>
      <c r="Y46" s="196"/>
      <c r="Z46" s="196"/>
      <c r="AA46" s="196"/>
      <c r="AB46" s="196"/>
      <c r="AC46" s="196"/>
      <c r="AD46" s="196"/>
      <c r="AE46" s="196"/>
      <c r="AF46" s="196"/>
      <c r="AG46" s="196"/>
      <c r="AH46" s="196"/>
      <c r="AI46" s="196"/>
      <c r="AJ46" s="196"/>
      <c r="AK46" s="196"/>
      <c r="AL46" s="196"/>
      <c r="AM46" s="196"/>
      <c r="AN46" s="196"/>
      <c r="AO46" s="196"/>
      <c r="AP46" s="196"/>
      <c r="AQ46" s="196"/>
      <c r="AR46" s="196"/>
      <c r="AS46" s="196"/>
      <c r="AT46" s="196"/>
      <c r="AU46" s="196"/>
      <c r="AV46" s="196"/>
      <c r="AW46" s="31"/>
      <c r="AX46" s="244"/>
      <c r="AY46" s="157">
        <f>[1]ano!H44</f>
        <v>50.681571428571417</v>
      </c>
      <c r="AZ46" s="167"/>
      <c r="BA46" s="245"/>
      <c r="BB46" s="35" t="s">
        <v>58</v>
      </c>
      <c r="BC46" s="214"/>
      <c r="BD46" s="197"/>
      <c r="BE46" s="240"/>
      <c r="BF46" s="238"/>
      <c r="BG46" s="245"/>
      <c r="BH46" s="238"/>
      <c r="BI46" s="214"/>
    </row>
    <row r="47" spans="1:61" s="161" customFormat="1" ht="21" customHeight="1" thickBot="1">
      <c r="A47" s="246"/>
      <c r="B47" s="247" t="s">
        <v>67</v>
      </c>
      <c r="C47" s="248"/>
      <c r="D47" s="248"/>
      <c r="E47" s="248"/>
      <c r="F47" s="248"/>
      <c r="G47" s="248"/>
      <c r="H47" s="248"/>
      <c r="I47" s="248"/>
      <c r="J47" s="248"/>
      <c r="K47" s="248"/>
      <c r="L47" s="248"/>
      <c r="M47" s="248"/>
      <c r="N47" s="242"/>
      <c r="O47" s="242"/>
      <c r="P47" s="242"/>
      <c r="Q47" s="242"/>
      <c r="R47" s="242"/>
      <c r="S47" s="242"/>
      <c r="T47" s="242"/>
      <c r="U47" s="242"/>
      <c r="V47" s="242"/>
      <c r="W47" s="242"/>
      <c r="X47" s="242"/>
      <c r="Y47" s="242"/>
      <c r="Z47" s="242"/>
      <c r="AA47" s="242"/>
      <c r="AB47" s="242"/>
      <c r="AC47" s="242"/>
      <c r="AD47" s="242"/>
      <c r="AE47" s="242"/>
      <c r="AF47" s="242"/>
      <c r="AG47" s="242"/>
      <c r="AH47" s="242"/>
      <c r="AI47" s="242"/>
      <c r="AJ47" s="242"/>
      <c r="AK47" s="242"/>
      <c r="AL47" s="242"/>
      <c r="AM47" s="242"/>
      <c r="AN47" s="242"/>
      <c r="AO47" s="242"/>
      <c r="AP47" s="242"/>
      <c r="AQ47" s="242"/>
      <c r="AR47" s="242"/>
      <c r="AS47" s="242"/>
      <c r="AT47" s="242"/>
      <c r="AU47" s="242"/>
      <c r="AV47" s="242"/>
      <c r="AW47" s="242"/>
      <c r="AX47" s="249"/>
      <c r="AY47" s="26" t="s">
        <v>68</v>
      </c>
      <c r="AZ47" s="167"/>
      <c r="BA47" s="245"/>
      <c r="BB47" s="54" t="s">
        <v>61</v>
      </c>
      <c r="BC47" s="214"/>
      <c r="BD47" s="197"/>
      <c r="BE47" s="238"/>
      <c r="BF47" s="238"/>
      <c r="BG47" s="245"/>
      <c r="BH47" s="238"/>
      <c r="BI47" s="214"/>
    </row>
    <row r="48" spans="1:61" s="161" customFormat="1" ht="21" customHeight="1" thickBot="1">
      <c r="A48" s="245"/>
      <c r="B48" s="250" t="s">
        <v>69</v>
      </c>
      <c r="C48" s="245"/>
      <c r="D48" s="245"/>
      <c r="E48" s="245"/>
      <c r="F48" s="245"/>
      <c r="G48" s="245"/>
      <c r="H48" s="245"/>
      <c r="I48" s="245"/>
      <c r="J48" s="245"/>
      <c r="K48" s="245"/>
      <c r="L48" s="245"/>
      <c r="M48" s="245"/>
      <c r="N48" s="196"/>
      <c r="O48" s="196"/>
      <c r="P48" s="196"/>
      <c r="Q48" s="196"/>
      <c r="R48" s="196"/>
      <c r="S48" s="196"/>
      <c r="T48" s="196"/>
      <c r="U48" s="196"/>
      <c r="V48" s="196"/>
      <c r="W48" s="196"/>
      <c r="X48" s="196"/>
      <c r="Y48" s="196"/>
      <c r="Z48" s="196"/>
      <c r="AA48" s="196"/>
      <c r="AB48" s="196"/>
      <c r="AC48" s="196"/>
      <c r="AD48" s="196"/>
      <c r="AE48" s="196"/>
      <c r="AF48" s="196"/>
      <c r="AG48" s="196"/>
      <c r="AH48" s="196"/>
      <c r="AI48" s="196"/>
      <c r="AJ48" s="196"/>
      <c r="AK48" s="196"/>
      <c r="AL48" s="196"/>
      <c r="AM48" s="196"/>
      <c r="AN48" s="196"/>
      <c r="AO48" s="196"/>
      <c r="AP48" s="196"/>
      <c r="AQ48" s="196"/>
      <c r="AR48" s="196"/>
      <c r="AS48" s="196"/>
      <c r="AT48" s="196"/>
      <c r="AU48" s="196"/>
      <c r="AV48" s="196"/>
      <c r="AW48" s="196"/>
      <c r="AX48" s="178"/>
      <c r="AY48" s="157">
        <f>AY44-AY46</f>
        <v>-31.481571428571414</v>
      </c>
      <c r="AZ48" s="179"/>
      <c r="BA48" s="245"/>
      <c r="BB48" s="155">
        <f>SUM(BD9:BD38)</f>
        <v>8</v>
      </c>
      <c r="BC48" s="180"/>
      <c r="BD48" s="197"/>
      <c r="BE48" s="240"/>
      <c r="BF48" s="240"/>
      <c r="BG48" s="245"/>
      <c r="BH48" s="242"/>
      <c r="BI48" s="17"/>
    </row>
    <row r="49" spans="1:60" ht="24" customHeight="1">
      <c r="A49" s="1"/>
      <c r="B49" s="251" t="s">
        <v>71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245"/>
      <c r="AX49" s="1"/>
      <c r="AY49" s="1"/>
      <c r="AZ49" s="1"/>
      <c r="BA49" s="1"/>
      <c r="BB49" s="1"/>
      <c r="BC49" s="17"/>
      <c r="BE49" s="323"/>
      <c r="BF49" s="323"/>
      <c r="BG49" s="323"/>
      <c r="BH49" s="323"/>
    </row>
    <row r="50" spans="1:60" ht="23.25">
      <c r="A50" s="294"/>
      <c r="B50" s="252"/>
      <c r="C50" s="252"/>
      <c r="D50" s="252"/>
      <c r="E50" s="252"/>
      <c r="F50" s="252"/>
      <c r="G50" s="252"/>
      <c r="H50" s="252"/>
      <c r="I50" s="252"/>
      <c r="J50" s="252"/>
      <c r="K50" s="252"/>
      <c r="L50" s="252"/>
      <c r="M50" s="252"/>
      <c r="N50" s="252"/>
      <c r="O50" s="252"/>
      <c r="P50" s="252"/>
      <c r="Q50" s="252"/>
      <c r="R50" s="252"/>
      <c r="S50" s="252"/>
      <c r="T50" s="252"/>
      <c r="U50" s="252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60" s="189" customFormat="1" ht="18">
      <c r="A51" s="188"/>
      <c r="B51" s="188"/>
      <c r="C51" s="188"/>
      <c r="D51" s="188"/>
      <c r="E51" s="188"/>
      <c r="F51" s="188"/>
      <c r="G51" s="188"/>
      <c r="H51" s="188"/>
      <c r="I51" s="188"/>
      <c r="J51" s="188"/>
      <c r="K51" s="188"/>
      <c r="L51" s="188"/>
      <c r="M51" s="188"/>
      <c r="N51" s="188"/>
      <c r="O51" s="188"/>
      <c r="P51" s="188"/>
      <c r="Q51" s="188"/>
      <c r="R51" s="188"/>
      <c r="S51" s="188"/>
      <c r="T51" s="188"/>
      <c r="U51" s="188"/>
      <c r="V51" s="188"/>
      <c r="W51" s="188"/>
      <c r="X51" s="188"/>
      <c r="Y51" s="188"/>
      <c r="Z51" s="188"/>
      <c r="AA51" s="188"/>
      <c r="AB51" s="188"/>
      <c r="AC51" s="188"/>
      <c r="AD51" s="188"/>
      <c r="AE51" s="188"/>
      <c r="AF51" s="188"/>
      <c r="AG51" s="188"/>
      <c r="AH51" s="188"/>
      <c r="AI51" s="188"/>
      <c r="AJ51" s="188"/>
      <c r="AK51" s="188"/>
      <c r="AL51" s="188"/>
      <c r="AM51" s="188"/>
      <c r="AN51" s="188"/>
      <c r="AO51" s="188"/>
      <c r="AP51" s="188"/>
      <c r="AQ51" s="188"/>
      <c r="AR51" s="188"/>
      <c r="AS51" s="188"/>
      <c r="AT51" s="188"/>
      <c r="AU51" s="188"/>
      <c r="AV51" s="188"/>
      <c r="BD51" s="191"/>
    </row>
    <row r="52" spans="1:60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60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0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0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0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12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0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0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295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  <row r="59" spans="1:60">
      <c r="AN59" s="8"/>
    </row>
  </sheetData>
  <sheetProtection selectLockedCells="1" selectUnlockedCells="1"/>
  <mergeCells count="52">
    <mergeCell ref="AL41:AM41"/>
    <mergeCell ref="AN41:AO41"/>
    <mergeCell ref="AP41:AQ41"/>
    <mergeCell ref="AR41:AS41"/>
    <mergeCell ref="AT41:AU41"/>
    <mergeCell ref="AV41:AW41"/>
    <mergeCell ref="Z41:AA41"/>
    <mergeCell ref="AB41:AC41"/>
    <mergeCell ref="AD41:AE41"/>
    <mergeCell ref="AF41:AG41"/>
    <mergeCell ref="AH41:AI41"/>
    <mergeCell ref="AJ41:AK41"/>
    <mergeCell ref="N41:O41"/>
    <mergeCell ref="P41:Q41"/>
    <mergeCell ref="R41:S41"/>
    <mergeCell ref="T41:U41"/>
    <mergeCell ref="V41:W41"/>
    <mergeCell ref="X41:Y41"/>
    <mergeCell ref="B41:C41"/>
    <mergeCell ref="D41:E41"/>
    <mergeCell ref="F41:G41"/>
    <mergeCell ref="H41:I41"/>
    <mergeCell ref="J41:K41"/>
    <mergeCell ref="L41:M41"/>
    <mergeCell ref="AL7:AM7"/>
    <mergeCell ref="AN7:AO7"/>
    <mergeCell ref="AP7:AQ7"/>
    <mergeCell ref="AR7:AS7"/>
    <mergeCell ref="AT7:AU7"/>
    <mergeCell ref="AV7:AW7"/>
    <mergeCell ref="Z7:AA7"/>
    <mergeCell ref="AB7:AC7"/>
    <mergeCell ref="AD7:AE7"/>
    <mergeCell ref="AF7:AG7"/>
    <mergeCell ref="AH7:AI7"/>
    <mergeCell ref="AJ7:AK7"/>
    <mergeCell ref="N7:O7"/>
    <mergeCell ref="P7:Q7"/>
    <mergeCell ref="R7:S7"/>
    <mergeCell ref="T7:U7"/>
    <mergeCell ref="V7:W7"/>
    <mergeCell ref="X7:Y7"/>
    <mergeCell ref="H3:J3"/>
    <mergeCell ref="AY4:BB4"/>
    <mergeCell ref="BE4:BH4"/>
    <mergeCell ref="AY5:BB5"/>
    <mergeCell ref="B7:C7"/>
    <mergeCell ref="D7:E7"/>
    <mergeCell ref="F7:G7"/>
    <mergeCell ref="H7:I7"/>
    <mergeCell ref="J7:K7"/>
    <mergeCell ref="L7:M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I58"/>
  <sheetViews>
    <sheetView showGridLines="0" defaultGridColor="0" colorId="8" zoomScale="60" zoomScaleNormal="60" workbookViewId="0">
      <selection activeCell="B5" sqref="B5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193" customWidth="1"/>
    <col min="57" max="58" width="13.140625" customWidth="1"/>
    <col min="59" max="59" width="12.42578125" customWidth="1"/>
    <col min="60" max="60" width="14.42578125" customWidth="1"/>
  </cols>
  <sheetData>
    <row r="1" spans="1:61" s="6" customFormat="1" ht="21" customHeight="1">
      <c r="A1" s="253"/>
      <c r="B1" s="2" t="s">
        <v>91</v>
      </c>
      <c r="C1" s="1"/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324"/>
      <c r="B2" s="7" t="s">
        <v>92</v>
      </c>
      <c r="C2" s="8"/>
      <c r="D2" s="8"/>
      <c r="E2" s="9"/>
      <c r="F2" s="9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</row>
    <row r="3" spans="1:61" s="6" customFormat="1" ht="21" customHeight="1" thickBot="1">
      <c r="A3" s="324"/>
      <c r="B3" s="7" t="s">
        <v>93</v>
      </c>
      <c r="C3" s="8"/>
      <c r="D3" s="8"/>
      <c r="E3" s="9"/>
      <c r="F3" s="9"/>
      <c r="G3" s="325"/>
      <c r="H3" s="1"/>
      <c r="I3" s="1"/>
      <c r="J3" s="1"/>
      <c r="K3" s="1"/>
      <c r="L3" s="1"/>
      <c r="M3" s="3" t="s">
        <v>8</v>
      </c>
      <c r="N3" s="1"/>
      <c r="O3" s="1"/>
      <c r="P3" s="1"/>
      <c r="Q3" s="1"/>
      <c r="R3" s="1"/>
      <c r="S3" s="1"/>
      <c r="T3" s="1"/>
      <c r="U3" s="1"/>
      <c r="V3" s="1"/>
      <c r="W3" s="13"/>
      <c r="X3" s="13"/>
      <c r="Y3" s="13"/>
      <c r="Z3" s="13"/>
      <c r="AA3" s="13"/>
      <c r="AB3" s="13"/>
      <c r="AC3" s="13"/>
      <c r="AD3" s="13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</row>
    <row r="4" spans="1:61" ht="21" customHeight="1" thickBot="1">
      <c r="A4" s="195"/>
      <c r="B4" s="196"/>
      <c r="C4" s="196"/>
      <c r="D4" s="196"/>
      <c r="E4" s="196"/>
      <c r="F4" s="32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  <c r="X4" s="196"/>
      <c r="Y4" s="196"/>
      <c r="Z4" s="196"/>
      <c r="AA4" s="196"/>
      <c r="AB4" s="196"/>
      <c r="AC4" s="196"/>
      <c r="AD4" s="196"/>
      <c r="AE4" s="196"/>
      <c r="AF4" s="196"/>
      <c r="AG4" s="196"/>
      <c r="AH4" s="196"/>
      <c r="AI4" s="196"/>
      <c r="AJ4" s="196"/>
      <c r="AK4" s="196"/>
      <c r="AL4" s="196"/>
      <c r="AM4" s="196"/>
      <c r="AN4" s="196"/>
      <c r="AO4" s="196"/>
      <c r="AP4" s="196"/>
      <c r="AQ4" s="196"/>
      <c r="AR4" s="196"/>
      <c r="AS4" s="196"/>
      <c r="AT4" s="196"/>
      <c r="AU4" s="196"/>
      <c r="AV4" s="196"/>
      <c r="AW4" s="196"/>
      <c r="AX4" s="196"/>
      <c r="AY4" s="18" t="s">
        <v>9</v>
      </c>
      <c r="AZ4" s="18"/>
      <c r="BA4" s="18"/>
      <c r="BB4" s="18"/>
      <c r="BC4" s="17"/>
      <c r="BD4" s="19"/>
      <c r="BE4" s="18" t="s">
        <v>9</v>
      </c>
      <c r="BF4" s="18"/>
      <c r="BG4" s="18"/>
      <c r="BH4" s="18"/>
    </row>
    <row r="5" spans="1:61" ht="21" customHeight="1" thickBo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"/>
      <c r="AS5" s="1"/>
      <c r="AT5" s="1"/>
      <c r="AU5" s="1"/>
      <c r="AV5" s="1"/>
      <c r="AW5" s="1"/>
      <c r="AX5" s="17"/>
      <c r="AY5" s="25" t="s">
        <v>11</v>
      </c>
      <c r="AZ5" s="25"/>
      <c r="BA5" s="25"/>
      <c r="BB5" s="25"/>
      <c r="BC5" s="17"/>
      <c r="BD5" s="19"/>
      <c r="BE5" s="26" t="s">
        <v>12</v>
      </c>
      <c r="BF5" s="27" t="s">
        <v>13</v>
      </c>
      <c r="BG5" s="28" t="s">
        <v>14</v>
      </c>
      <c r="BH5" s="29"/>
    </row>
    <row r="6" spans="1:61" ht="21" customHeight="1" thickBot="1">
      <c r="A6" s="30"/>
      <c r="B6" s="31"/>
      <c r="C6" s="32"/>
      <c r="D6" s="31"/>
      <c r="E6" s="32"/>
      <c r="F6" s="31"/>
      <c r="G6" s="32"/>
      <c r="H6" s="31"/>
      <c r="I6" s="32"/>
      <c r="J6" s="31"/>
      <c r="K6" s="32"/>
      <c r="L6" s="31"/>
      <c r="M6" s="32"/>
      <c r="N6" s="31"/>
      <c r="O6" s="32"/>
      <c r="P6" s="31"/>
      <c r="Q6" s="32"/>
      <c r="R6" s="31"/>
      <c r="S6" s="32"/>
      <c r="T6" s="31"/>
      <c r="U6" s="32"/>
      <c r="V6" s="31"/>
      <c r="W6" s="32"/>
      <c r="X6" s="31"/>
      <c r="Y6" s="32"/>
      <c r="Z6" s="31"/>
      <c r="AA6" s="32"/>
      <c r="AB6" s="31"/>
      <c r="AC6" s="32"/>
      <c r="AD6" s="31"/>
      <c r="AE6" s="32"/>
      <c r="AF6" s="31"/>
      <c r="AG6" s="32"/>
      <c r="AH6" s="31"/>
      <c r="AI6" s="32"/>
      <c r="AJ6" s="31"/>
      <c r="AK6" s="32"/>
      <c r="AL6" s="31"/>
      <c r="AM6" s="32"/>
      <c r="AN6" s="31"/>
      <c r="AO6" s="32"/>
      <c r="AP6" s="31"/>
      <c r="AQ6" s="32"/>
      <c r="AR6" s="31"/>
      <c r="AS6" s="32"/>
      <c r="AT6" s="31"/>
      <c r="AU6" s="32"/>
      <c r="AV6" s="31"/>
      <c r="AW6" s="32"/>
      <c r="AX6" s="31"/>
      <c r="AY6" s="33" t="s">
        <v>15</v>
      </c>
      <c r="AZ6" s="33" t="s">
        <v>16</v>
      </c>
      <c r="BA6" s="34" t="s">
        <v>17</v>
      </c>
      <c r="BB6" s="34"/>
      <c r="BC6" s="17"/>
      <c r="BD6" s="19"/>
      <c r="BE6" s="35" t="s">
        <v>15</v>
      </c>
      <c r="BF6" s="35"/>
      <c r="BG6" s="35" t="s">
        <v>17</v>
      </c>
      <c r="BH6" s="35"/>
    </row>
    <row r="7" spans="1:61" ht="21" customHeight="1" thickBot="1">
      <c r="A7" s="36" t="s">
        <v>18</v>
      </c>
      <c r="B7" s="37" t="s">
        <v>19</v>
      </c>
      <c r="C7" s="37"/>
      <c r="D7" s="38" t="s">
        <v>20</v>
      </c>
      <c r="E7" s="38"/>
      <c r="F7" s="37" t="s">
        <v>21</v>
      </c>
      <c r="G7" s="37"/>
      <c r="H7" s="37" t="s">
        <v>22</v>
      </c>
      <c r="I7" s="37"/>
      <c r="J7" s="39" t="s">
        <v>23</v>
      </c>
      <c r="K7" s="39"/>
      <c r="L7" s="37" t="s">
        <v>24</v>
      </c>
      <c r="M7" s="37"/>
      <c r="N7" s="37" t="s">
        <v>25</v>
      </c>
      <c r="O7" s="37"/>
      <c r="P7" s="37" t="s">
        <v>26</v>
      </c>
      <c r="Q7" s="37"/>
      <c r="R7" s="37" t="s">
        <v>27</v>
      </c>
      <c r="S7" s="37"/>
      <c r="T7" s="37" t="s">
        <v>28</v>
      </c>
      <c r="U7" s="37"/>
      <c r="V7" s="37" t="s">
        <v>29</v>
      </c>
      <c r="W7" s="37"/>
      <c r="X7" s="37" t="s">
        <v>30</v>
      </c>
      <c r="Y7" s="37"/>
      <c r="Z7" s="40" t="s">
        <v>31</v>
      </c>
      <c r="AA7" s="40"/>
      <c r="AB7" s="37" t="s">
        <v>32</v>
      </c>
      <c r="AC7" s="37"/>
      <c r="AD7" s="37" t="s">
        <v>33</v>
      </c>
      <c r="AE7" s="37"/>
      <c r="AF7" s="37" t="s">
        <v>34</v>
      </c>
      <c r="AG7" s="37"/>
      <c r="AH7" s="37" t="s">
        <v>35</v>
      </c>
      <c r="AI7" s="37"/>
      <c r="AJ7" s="37" t="s">
        <v>36</v>
      </c>
      <c r="AK7" s="37"/>
      <c r="AL7" s="37" t="s">
        <v>37</v>
      </c>
      <c r="AM7" s="37"/>
      <c r="AN7" s="37" t="s">
        <v>38</v>
      </c>
      <c r="AO7" s="37"/>
      <c r="AP7" s="37" t="s">
        <v>39</v>
      </c>
      <c r="AQ7" s="37"/>
      <c r="AR7" s="37" t="s">
        <v>40</v>
      </c>
      <c r="AS7" s="37"/>
      <c r="AT7" s="37" t="s">
        <v>41</v>
      </c>
      <c r="AU7" s="37"/>
      <c r="AV7" s="37" t="s">
        <v>42</v>
      </c>
      <c r="AW7" s="37"/>
      <c r="AX7" s="41" t="s">
        <v>18</v>
      </c>
      <c r="AY7" s="35" t="s">
        <v>43</v>
      </c>
      <c r="AZ7" s="35" t="s">
        <v>43</v>
      </c>
      <c r="BA7" s="35" t="s">
        <v>44</v>
      </c>
      <c r="BB7" s="35" t="s">
        <v>45</v>
      </c>
      <c r="BC7" s="42"/>
      <c r="BD7" s="19"/>
      <c r="BE7" s="35" t="s">
        <v>43</v>
      </c>
      <c r="BF7" s="35"/>
      <c r="BG7" s="35" t="s">
        <v>44</v>
      </c>
      <c r="BH7" s="35"/>
    </row>
    <row r="8" spans="1:61" ht="21" customHeight="1" thickBot="1">
      <c r="A8" s="43" t="s">
        <v>46</v>
      </c>
      <c r="B8" s="198" t="s">
        <v>47</v>
      </c>
      <c r="C8" s="199" t="s">
        <v>48</v>
      </c>
      <c r="D8" s="200" t="s">
        <v>47</v>
      </c>
      <c r="E8" s="201" t="s">
        <v>48</v>
      </c>
      <c r="F8" s="200" t="s">
        <v>47</v>
      </c>
      <c r="G8" s="202" t="s">
        <v>48</v>
      </c>
      <c r="H8" s="200" t="s">
        <v>47</v>
      </c>
      <c r="I8" s="202" t="s">
        <v>48</v>
      </c>
      <c r="J8" s="200" t="s">
        <v>47</v>
      </c>
      <c r="K8" s="202" t="s">
        <v>48</v>
      </c>
      <c r="L8" s="200" t="s">
        <v>47</v>
      </c>
      <c r="M8" s="202" t="s">
        <v>48</v>
      </c>
      <c r="N8" s="200" t="s">
        <v>47</v>
      </c>
      <c r="O8" s="202" t="s">
        <v>48</v>
      </c>
      <c r="P8" s="200" t="s">
        <v>47</v>
      </c>
      <c r="Q8" s="202" t="s">
        <v>48</v>
      </c>
      <c r="R8" s="200" t="s">
        <v>47</v>
      </c>
      <c r="S8" s="202" t="s">
        <v>48</v>
      </c>
      <c r="T8" s="200" t="s">
        <v>47</v>
      </c>
      <c r="U8" s="202" t="s">
        <v>48</v>
      </c>
      <c r="V8" s="200" t="s">
        <v>47</v>
      </c>
      <c r="W8" s="202" t="s">
        <v>48</v>
      </c>
      <c r="X8" s="200" t="s">
        <v>47</v>
      </c>
      <c r="Y8" s="202" t="s">
        <v>48</v>
      </c>
      <c r="Z8" s="200" t="s">
        <v>47</v>
      </c>
      <c r="AA8" s="202" t="s">
        <v>48</v>
      </c>
      <c r="AB8" s="200" t="s">
        <v>47</v>
      </c>
      <c r="AC8" s="202" t="s">
        <v>48</v>
      </c>
      <c r="AD8" s="200" t="s">
        <v>47</v>
      </c>
      <c r="AE8" s="202" t="s">
        <v>48</v>
      </c>
      <c r="AF8" s="200" t="s">
        <v>47</v>
      </c>
      <c r="AG8" s="202" t="s">
        <v>48</v>
      </c>
      <c r="AH8" s="200" t="s">
        <v>47</v>
      </c>
      <c r="AI8" s="202" t="s">
        <v>48</v>
      </c>
      <c r="AJ8" s="200" t="s">
        <v>47</v>
      </c>
      <c r="AK8" s="203" t="s">
        <v>48</v>
      </c>
      <c r="AL8" s="200" t="s">
        <v>47</v>
      </c>
      <c r="AM8" s="202" t="s">
        <v>48</v>
      </c>
      <c r="AN8" s="200" t="s">
        <v>47</v>
      </c>
      <c r="AO8" s="202" t="s">
        <v>48</v>
      </c>
      <c r="AP8" s="200" t="s">
        <v>47</v>
      </c>
      <c r="AQ8" s="203" t="s">
        <v>48</v>
      </c>
      <c r="AR8" s="200" t="s">
        <v>47</v>
      </c>
      <c r="AS8" s="202" t="s">
        <v>48</v>
      </c>
      <c r="AT8" s="204" t="s">
        <v>47</v>
      </c>
      <c r="AU8" s="205" t="s">
        <v>48</v>
      </c>
      <c r="AV8" s="204" t="s">
        <v>47</v>
      </c>
      <c r="AW8" s="205" t="s">
        <v>48</v>
      </c>
      <c r="AX8" s="52" t="s">
        <v>46</v>
      </c>
      <c r="AY8" s="53" t="s">
        <v>49</v>
      </c>
      <c r="AZ8" s="53" t="s">
        <v>50</v>
      </c>
      <c r="BA8" s="54" t="s">
        <v>51</v>
      </c>
      <c r="BB8" s="54" t="s">
        <v>52</v>
      </c>
      <c r="BC8" s="206"/>
      <c r="BD8" s="19"/>
      <c r="BE8" s="54" t="s">
        <v>49</v>
      </c>
      <c r="BF8" s="54"/>
      <c r="BG8" s="54" t="s">
        <v>51</v>
      </c>
      <c r="BH8" s="54" t="s">
        <v>52</v>
      </c>
    </row>
    <row r="9" spans="1:61" ht="21" customHeight="1" thickBot="1">
      <c r="A9" s="71">
        <v>1</v>
      </c>
      <c r="B9" s="327"/>
      <c r="C9" s="208"/>
      <c r="D9" s="328"/>
      <c r="E9" s="208"/>
      <c r="F9" s="328"/>
      <c r="G9" s="208"/>
      <c r="H9" s="328"/>
      <c r="I9" s="208"/>
      <c r="J9" s="328"/>
      <c r="K9" s="208"/>
      <c r="L9" s="328"/>
      <c r="M9" s="208"/>
      <c r="N9" s="328"/>
      <c r="O9" s="329"/>
      <c r="P9" s="258"/>
      <c r="Q9" s="257"/>
      <c r="R9" s="258"/>
      <c r="S9" s="257"/>
      <c r="T9" s="258"/>
      <c r="U9" s="257"/>
      <c r="V9" s="258"/>
      <c r="W9" s="257"/>
      <c r="X9" s="258"/>
      <c r="Y9" s="257"/>
      <c r="Z9" s="258"/>
      <c r="AA9" s="257"/>
      <c r="AB9" s="258"/>
      <c r="AC9" s="257"/>
      <c r="AD9" s="258"/>
      <c r="AE9" s="257"/>
      <c r="AF9" s="259"/>
      <c r="AG9" s="257"/>
      <c r="AH9" s="258"/>
      <c r="AI9" s="257"/>
      <c r="AJ9" s="258"/>
      <c r="AK9" s="260"/>
      <c r="AL9" s="256"/>
      <c r="AM9" s="261"/>
      <c r="AN9" s="256"/>
      <c r="AO9" s="261"/>
      <c r="AP9" s="256"/>
      <c r="AQ9" s="262"/>
      <c r="AR9" s="256"/>
      <c r="AS9" s="257"/>
      <c r="AT9" s="256"/>
      <c r="AU9" s="262"/>
      <c r="AV9" s="256"/>
      <c r="AW9" s="262"/>
      <c r="AX9" s="91">
        <v>1</v>
      </c>
      <c r="AY9" s="92">
        <f>B9+D9+F9+H9+J9+L9+N9+P9+R9+T9+V9+X9+Z9+AB9+AD9+AF9+AH9+AJ9+AL9+AN9+AP9+AR9+AT9+AV9</f>
        <v>0</v>
      </c>
      <c r="AZ9" s="93">
        <f t="shared" ref="AZ9:AZ39" si="0">C9+E9+G9+I9+K9+M9+O9+Q9+S9+U9+W9+Y9+AA9+AC9+AE9+AG9+AI9+AK9+AM9+AO9+AQ9+AS9+AU9+AW9</f>
        <v>0</v>
      </c>
      <c r="BA9" s="94">
        <f t="shared" ref="BA9:BA39" si="1">MAX(B9,D9,F9,H9,J9,L9,N9,P9,R9,T9,V9,X9,Z9,AB9,AD9,AF9,AH9,AJ9,AL9,AN9,AP9,AR9,AT9,AV9)</f>
        <v>0</v>
      </c>
      <c r="BB9" s="95">
        <f t="shared" ref="BB9:BB39" si="2">COUNT(B9,D9,F9,H9,J9,L9,N9,P9,R9,T9,V9,X9,Z9,AB9,AD9,AF9,AH9,AJ9,AL9,AN9,AP9,AR9,AT9,AV9)</f>
        <v>0</v>
      </c>
      <c r="BC9" s="214"/>
      <c r="BD9" s="197">
        <f t="shared" ref="BD9:BD39" si="3">IF(BB9&gt;0,1,0)</f>
        <v>0</v>
      </c>
      <c r="BE9" s="264">
        <f>setembro!$BH40</f>
        <v>0</v>
      </c>
      <c r="BF9" s="85">
        <v>39355</v>
      </c>
      <c r="BG9" s="86">
        <f>outubro!$BE10</f>
        <v>0</v>
      </c>
      <c r="BH9" s="87"/>
      <c r="BI9" s="197">
        <f>IF(BH9&gt;0,1,0)</f>
        <v>0</v>
      </c>
    </row>
    <row r="10" spans="1:61" ht="21" customHeight="1" thickBot="1">
      <c r="A10" s="71">
        <v>2</v>
      </c>
      <c r="B10" s="258"/>
      <c r="C10" s="257"/>
      <c r="D10" s="258"/>
      <c r="E10" s="257"/>
      <c r="F10" s="258"/>
      <c r="G10" s="257"/>
      <c r="H10" s="258"/>
      <c r="I10" s="257"/>
      <c r="J10" s="258"/>
      <c r="K10" s="257"/>
      <c r="L10" s="258"/>
      <c r="M10" s="257"/>
      <c r="N10" s="258"/>
      <c r="O10" s="265"/>
      <c r="P10" s="258"/>
      <c r="Q10" s="257"/>
      <c r="R10" s="258"/>
      <c r="S10" s="257"/>
      <c r="T10" s="258"/>
      <c r="U10" s="257"/>
      <c r="V10" s="258"/>
      <c r="W10" s="257"/>
      <c r="X10" s="258"/>
      <c r="Y10" s="257"/>
      <c r="Z10" s="258"/>
      <c r="AA10" s="257"/>
      <c r="AB10" s="258"/>
      <c r="AC10" s="257"/>
      <c r="AD10" s="258"/>
      <c r="AE10" s="257"/>
      <c r="AF10" s="258"/>
      <c r="AG10" s="257"/>
      <c r="AH10" s="258"/>
      <c r="AI10" s="257"/>
      <c r="AJ10" s="258"/>
      <c r="AK10" s="265"/>
      <c r="AL10" s="258"/>
      <c r="AM10" s="257"/>
      <c r="AN10" s="258"/>
      <c r="AO10" s="257"/>
      <c r="AP10" s="258"/>
      <c r="AQ10" s="265"/>
      <c r="AR10" s="258"/>
      <c r="AS10" s="257"/>
      <c r="AT10" s="258"/>
      <c r="AU10" s="265"/>
      <c r="AV10" s="258">
        <v>0.1</v>
      </c>
      <c r="AW10" s="265">
        <v>10</v>
      </c>
      <c r="AX10" s="91">
        <v>2</v>
      </c>
      <c r="AY10" s="92">
        <f t="shared" ref="AY10:AY39" si="4">B10+D10+F10+H10+J10+L10+N10+P10+R10+T10+V10+X10+Z10+AB10+AD10+AF10+AH10+AJ10+AL10+AN10+AP10+AR10+AT10+AV10</f>
        <v>0.1</v>
      </c>
      <c r="AZ10" s="93">
        <f t="shared" si="0"/>
        <v>10</v>
      </c>
      <c r="BA10" s="94">
        <f t="shared" si="1"/>
        <v>0.1</v>
      </c>
      <c r="BB10" s="95">
        <f t="shared" si="2"/>
        <v>1</v>
      </c>
      <c r="BC10" s="214"/>
      <c r="BD10" s="197">
        <f t="shared" si="3"/>
        <v>1</v>
      </c>
      <c r="BE10" s="84">
        <f>P9+R9+T9+V9+X9+Z9+AB9+AD9+AF9+AH9+AJ9+AL9+AN9+AP9+AR9+AT9+AV9+B10+D10+F10+H10+J10+L10+N10</f>
        <v>0</v>
      </c>
      <c r="BF10" s="96"/>
      <c r="BG10" s="86">
        <f>outubro!$BE11</f>
        <v>2.2000000000000002</v>
      </c>
      <c r="BH10" s="97"/>
      <c r="BI10" s="197">
        <f>IF(BH10&gt;0,1,0)</f>
        <v>0</v>
      </c>
    </row>
    <row r="11" spans="1:61" ht="21" customHeight="1">
      <c r="A11" s="71">
        <v>3</v>
      </c>
      <c r="B11" s="258">
        <v>0.2</v>
      </c>
      <c r="C11" s="257">
        <v>20</v>
      </c>
      <c r="D11" s="258">
        <v>1.8</v>
      </c>
      <c r="E11" s="257">
        <v>60</v>
      </c>
      <c r="F11" s="258">
        <v>0.1</v>
      </c>
      <c r="G11" s="257">
        <v>10</v>
      </c>
      <c r="H11" s="258"/>
      <c r="I11" s="257"/>
      <c r="J11" s="258"/>
      <c r="K11" s="257"/>
      <c r="L11" s="258"/>
      <c r="M11" s="257"/>
      <c r="N11" s="258"/>
      <c r="O11" s="257"/>
      <c r="P11" s="258"/>
      <c r="Q11" s="257"/>
      <c r="R11" s="258">
        <v>0.2</v>
      </c>
      <c r="S11" s="257">
        <v>5</v>
      </c>
      <c r="T11" s="258"/>
      <c r="U11" s="257"/>
      <c r="V11" s="258"/>
      <c r="W11" s="257"/>
      <c r="X11" s="258"/>
      <c r="Y11" s="257"/>
      <c r="Z11" s="258"/>
      <c r="AA11" s="257"/>
      <c r="AB11" s="258"/>
      <c r="AC11" s="257"/>
      <c r="AD11" s="258"/>
      <c r="AE11" s="257"/>
      <c r="AF11" s="258">
        <v>0.2</v>
      </c>
      <c r="AG11" s="257">
        <v>25</v>
      </c>
      <c r="AH11" s="258"/>
      <c r="AI11" s="257"/>
      <c r="AJ11" s="258"/>
      <c r="AK11" s="265"/>
      <c r="AL11" s="258"/>
      <c r="AM11" s="257"/>
      <c r="AN11" s="258"/>
      <c r="AO11" s="257"/>
      <c r="AP11" s="258">
        <v>0.1</v>
      </c>
      <c r="AQ11" s="265">
        <v>10</v>
      </c>
      <c r="AR11" s="258"/>
      <c r="AS11" s="257"/>
      <c r="AT11" s="258">
        <v>0.1</v>
      </c>
      <c r="AU11" s="265">
        <v>30</v>
      </c>
      <c r="AV11" s="258">
        <v>0.1</v>
      </c>
      <c r="AW11" s="265">
        <v>20</v>
      </c>
      <c r="AX11" s="91">
        <v>3</v>
      </c>
      <c r="AY11" s="92">
        <f t="shared" si="4"/>
        <v>2.8000000000000007</v>
      </c>
      <c r="AZ11" s="93">
        <f t="shared" si="0"/>
        <v>180</v>
      </c>
      <c r="BA11" s="94">
        <f t="shared" si="1"/>
        <v>1.8</v>
      </c>
      <c r="BB11" s="95">
        <f t="shared" si="2"/>
        <v>8</v>
      </c>
      <c r="BC11" s="214"/>
      <c r="BD11" s="197">
        <f t="shared" si="3"/>
        <v>1</v>
      </c>
      <c r="BE11" s="98">
        <f>P10+R10+T10+V10+X10+Z10+AB10+AD10+AF10+AH10+AJ10+AL10+AN10+AP10+AR10+AT10+AV10+B11+D11+F11+H11+J11+L11+N11</f>
        <v>2.2000000000000002</v>
      </c>
      <c r="BF11" s="99"/>
      <c r="BG11" s="86">
        <f>outubro!$BE12</f>
        <v>1.0999999999999999</v>
      </c>
      <c r="BH11" s="97"/>
      <c r="BI11" s="197">
        <f t="shared" ref="BI11:BI39" si="5">IF(BH11&gt;0,1,0)</f>
        <v>0</v>
      </c>
    </row>
    <row r="12" spans="1:61" ht="21" customHeight="1">
      <c r="A12" s="71">
        <v>4</v>
      </c>
      <c r="B12" s="258">
        <v>0.1</v>
      </c>
      <c r="C12" s="257">
        <v>50</v>
      </c>
      <c r="D12" s="258"/>
      <c r="E12" s="257"/>
      <c r="F12" s="258"/>
      <c r="G12" s="257"/>
      <c r="H12" s="258">
        <v>0.1</v>
      </c>
      <c r="I12" s="257">
        <v>50</v>
      </c>
      <c r="J12" s="258">
        <v>0.2</v>
      </c>
      <c r="K12" s="257">
        <v>30</v>
      </c>
      <c r="L12" s="258"/>
      <c r="M12" s="257"/>
      <c r="N12" s="258"/>
      <c r="O12" s="257"/>
      <c r="P12" s="258"/>
      <c r="Q12" s="257"/>
      <c r="R12" s="258"/>
      <c r="S12" s="257"/>
      <c r="T12" s="330"/>
      <c r="U12" s="257"/>
      <c r="V12" s="258"/>
      <c r="W12" s="257"/>
      <c r="X12" s="258"/>
      <c r="Y12" s="257"/>
      <c r="Z12" s="258"/>
      <c r="AA12" s="257"/>
      <c r="AB12" s="258"/>
      <c r="AC12" s="257"/>
      <c r="AD12" s="258"/>
      <c r="AE12" s="257"/>
      <c r="AF12" s="258"/>
      <c r="AG12" s="257"/>
      <c r="AH12" s="258"/>
      <c r="AI12" s="257"/>
      <c r="AJ12" s="258"/>
      <c r="AK12" s="265"/>
      <c r="AL12" s="258"/>
      <c r="AM12" s="257"/>
      <c r="AN12" s="258"/>
      <c r="AO12" s="257"/>
      <c r="AP12" s="258"/>
      <c r="AQ12" s="265"/>
      <c r="AR12" s="258"/>
      <c r="AS12" s="257"/>
      <c r="AT12" s="258"/>
      <c r="AU12" s="265"/>
      <c r="AV12" s="258"/>
      <c r="AW12" s="265"/>
      <c r="AX12" s="91">
        <v>4</v>
      </c>
      <c r="AY12" s="92">
        <f t="shared" si="4"/>
        <v>0.4</v>
      </c>
      <c r="AZ12" s="93">
        <f t="shared" si="0"/>
        <v>130</v>
      </c>
      <c r="BA12" s="94">
        <f t="shared" si="1"/>
        <v>0.2</v>
      </c>
      <c r="BB12" s="95">
        <f t="shared" si="2"/>
        <v>3</v>
      </c>
      <c r="BC12" s="214"/>
      <c r="BD12" s="197">
        <f t="shared" si="3"/>
        <v>1</v>
      </c>
      <c r="BE12" s="98">
        <f t="shared" ref="BE12:BE38" si="6">P11+R11+T11+V11+X11+Z11+AB11+AD11+AF11+AH11+AJ11+AL11+AN11+AP11+AR11+AT11+AV11+B12+D12+F12+H12+J12+L12+N12</f>
        <v>1.0999999999999999</v>
      </c>
      <c r="BF12" s="99"/>
      <c r="BG12" s="86">
        <f>outubro!$BE13</f>
        <v>0</v>
      </c>
      <c r="BH12" s="97"/>
      <c r="BI12" s="197">
        <f t="shared" si="5"/>
        <v>0</v>
      </c>
    </row>
    <row r="13" spans="1:61" ht="21" customHeight="1">
      <c r="A13" s="71">
        <v>5</v>
      </c>
      <c r="B13" s="258"/>
      <c r="C13" s="257"/>
      <c r="D13" s="258"/>
      <c r="E13" s="257"/>
      <c r="F13" s="258"/>
      <c r="G13" s="257"/>
      <c r="H13" s="258"/>
      <c r="I13" s="257"/>
      <c r="J13" s="258"/>
      <c r="K13" s="257"/>
      <c r="L13" s="258"/>
      <c r="M13" s="257"/>
      <c r="N13" s="258"/>
      <c r="O13" s="257"/>
      <c r="P13" s="258"/>
      <c r="Q13" s="257"/>
      <c r="R13" s="258"/>
      <c r="S13" s="257"/>
      <c r="T13" s="258"/>
      <c r="U13" s="257"/>
      <c r="V13" s="258"/>
      <c r="W13" s="257"/>
      <c r="X13" s="258"/>
      <c r="Y13" s="257"/>
      <c r="Z13" s="258"/>
      <c r="AA13" s="257"/>
      <c r="AB13" s="258"/>
      <c r="AC13" s="257"/>
      <c r="AD13" s="258"/>
      <c r="AE13" s="257"/>
      <c r="AF13" s="258"/>
      <c r="AG13" s="257"/>
      <c r="AH13" s="258"/>
      <c r="AI13" s="257"/>
      <c r="AJ13" s="258"/>
      <c r="AK13" s="265"/>
      <c r="AL13" s="258"/>
      <c r="AM13" s="257"/>
      <c r="AN13" s="258"/>
      <c r="AO13" s="257"/>
      <c r="AP13" s="258"/>
      <c r="AQ13" s="265"/>
      <c r="AR13" s="258"/>
      <c r="AS13" s="257"/>
      <c r="AT13" s="258"/>
      <c r="AU13" s="265"/>
      <c r="AV13" s="258"/>
      <c r="AW13" s="265"/>
      <c r="AX13" s="91">
        <v>5</v>
      </c>
      <c r="AY13" s="92">
        <f t="shared" si="4"/>
        <v>0</v>
      </c>
      <c r="AZ13" s="93">
        <f t="shared" si="0"/>
        <v>0</v>
      </c>
      <c r="BA13" s="94">
        <f t="shared" si="1"/>
        <v>0</v>
      </c>
      <c r="BB13" s="95">
        <f t="shared" si="2"/>
        <v>0</v>
      </c>
      <c r="BC13" s="214"/>
      <c r="BD13" s="197">
        <f t="shared" si="3"/>
        <v>0</v>
      </c>
      <c r="BE13" s="98">
        <f t="shared" si="6"/>
        <v>0</v>
      </c>
      <c r="BF13" s="99"/>
      <c r="BG13" s="86">
        <f>outubro!$BE14</f>
        <v>0</v>
      </c>
      <c r="BH13" s="97"/>
      <c r="BI13" s="197">
        <f t="shared" si="5"/>
        <v>0</v>
      </c>
    </row>
    <row r="14" spans="1:61" ht="21" customHeight="1">
      <c r="A14" s="71">
        <v>6</v>
      </c>
      <c r="B14" s="258"/>
      <c r="C14" s="257"/>
      <c r="D14" s="258"/>
      <c r="E14" s="257"/>
      <c r="F14" s="258"/>
      <c r="G14" s="257"/>
      <c r="H14" s="258"/>
      <c r="I14" s="257"/>
      <c r="J14" s="258"/>
      <c r="K14" s="257"/>
      <c r="L14" s="258"/>
      <c r="M14" s="257"/>
      <c r="N14" s="258"/>
      <c r="O14" s="257"/>
      <c r="P14" s="258"/>
      <c r="Q14" s="257"/>
      <c r="R14" s="258"/>
      <c r="S14" s="257"/>
      <c r="T14" s="258"/>
      <c r="U14" s="257"/>
      <c r="V14" s="258"/>
      <c r="W14" s="257"/>
      <c r="X14" s="258"/>
      <c r="Y14" s="257"/>
      <c r="Z14" s="258"/>
      <c r="AA14" s="257"/>
      <c r="AB14" s="258"/>
      <c r="AC14" s="257"/>
      <c r="AD14" s="258"/>
      <c r="AE14" s="257"/>
      <c r="AF14" s="258"/>
      <c r="AG14" s="257"/>
      <c r="AH14" s="258"/>
      <c r="AI14" s="257"/>
      <c r="AJ14" s="258"/>
      <c r="AK14" s="265"/>
      <c r="AL14" s="258"/>
      <c r="AM14" s="257"/>
      <c r="AN14" s="258"/>
      <c r="AO14" s="257"/>
      <c r="AP14" s="258"/>
      <c r="AQ14" s="265"/>
      <c r="AR14" s="258"/>
      <c r="AS14" s="257"/>
      <c r="AT14" s="258"/>
      <c r="AU14" s="265"/>
      <c r="AV14" s="258"/>
      <c r="AW14" s="265"/>
      <c r="AX14" s="91">
        <v>6</v>
      </c>
      <c r="AY14" s="92">
        <f t="shared" si="4"/>
        <v>0</v>
      </c>
      <c r="AZ14" s="93">
        <f t="shared" si="0"/>
        <v>0</v>
      </c>
      <c r="BA14" s="94">
        <f t="shared" si="1"/>
        <v>0</v>
      </c>
      <c r="BB14" s="95">
        <f t="shared" si="2"/>
        <v>0</v>
      </c>
      <c r="BC14" s="214"/>
      <c r="BD14" s="197">
        <f t="shared" si="3"/>
        <v>0</v>
      </c>
      <c r="BE14" s="98">
        <f t="shared" si="6"/>
        <v>0</v>
      </c>
      <c r="BF14" s="99"/>
      <c r="BG14" s="86">
        <f>outubro!$BE15</f>
        <v>0</v>
      </c>
      <c r="BH14" s="97"/>
      <c r="BI14" s="197">
        <f t="shared" si="5"/>
        <v>0</v>
      </c>
    </row>
    <row r="15" spans="1:61" ht="21" customHeight="1">
      <c r="A15" s="71">
        <v>7</v>
      </c>
      <c r="B15" s="258"/>
      <c r="C15" s="257"/>
      <c r="D15" s="258"/>
      <c r="E15" s="257"/>
      <c r="F15" s="258"/>
      <c r="G15" s="257"/>
      <c r="H15" s="258"/>
      <c r="I15" s="257"/>
      <c r="J15" s="258"/>
      <c r="K15" s="257"/>
      <c r="L15" s="258"/>
      <c r="M15" s="257"/>
      <c r="N15" s="258"/>
      <c r="O15" s="257"/>
      <c r="P15" s="258"/>
      <c r="Q15" s="257"/>
      <c r="R15" s="258"/>
      <c r="S15" s="257"/>
      <c r="T15" s="258"/>
      <c r="U15" s="257"/>
      <c r="V15" s="258"/>
      <c r="W15" s="257"/>
      <c r="X15" s="258"/>
      <c r="Y15" s="257"/>
      <c r="Z15" s="258"/>
      <c r="AA15" s="257"/>
      <c r="AB15" s="258"/>
      <c r="AC15" s="257"/>
      <c r="AD15" s="258"/>
      <c r="AE15" s="257"/>
      <c r="AF15" s="258"/>
      <c r="AG15" s="257"/>
      <c r="AH15" s="258"/>
      <c r="AI15" s="257"/>
      <c r="AJ15" s="258"/>
      <c r="AK15" s="265"/>
      <c r="AL15" s="258"/>
      <c r="AM15" s="257"/>
      <c r="AN15" s="258"/>
      <c r="AO15" s="257"/>
      <c r="AP15" s="258"/>
      <c r="AQ15" s="265"/>
      <c r="AR15" s="258"/>
      <c r="AS15" s="257"/>
      <c r="AT15" s="258"/>
      <c r="AU15" s="265"/>
      <c r="AV15" s="258"/>
      <c r="AW15" s="265"/>
      <c r="AX15" s="91">
        <v>7</v>
      </c>
      <c r="AY15" s="92">
        <f>B15+D15+F15+H15+J15+L15+N15+P15+R15+T15+V15+X15+Z15+AB15+AD15+AF15+AH15+AJ15+AL15+AN15+AP15+AR15+AT15+AV15</f>
        <v>0</v>
      </c>
      <c r="AZ15" s="93">
        <f t="shared" si="0"/>
        <v>0</v>
      </c>
      <c r="BA15" s="94">
        <f t="shared" si="1"/>
        <v>0</v>
      </c>
      <c r="BB15" s="95">
        <f t="shared" si="2"/>
        <v>0</v>
      </c>
      <c r="BC15" s="214"/>
      <c r="BD15" s="197">
        <f t="shared" si="3"/>
        <v>0</v>
      </c>
      <c r="BE15" s="98">
        <f t="shared" si="6"/>
        <v>0</v>
      </c>
      <c r="BF15" s="99"/>
      <c r="BG15" s="86">
        <f>outubro!$BE16</f>
        <v>0</v>
      </c>
      <c r="BH15" s="97"/>
      <c r="BI15" s="197">
        <f t="shared" si="5"/>
        <v>0</v>
      </c>
    </row>
    <row r="16" spans="1:61" ht="21" customHeight="1">
      <c r="A16" s="71">
        <v>8</v>
      </c>
      <c r="B16" s="258"/>
      <c r="C16" s="257"/>
      <c r="D16" s="258"/>
      <c r="E16" s="257"/>
      <c r="F16" s="258"/>
      <c r="G16" s="257"/>
      <c r="H16" s="258"/>
      <c r="I16" s="257"/>
      <c r="J16" s="258"/>
      <c r="K16" s="257"/>
      <c r="L16" s="258"/>
      <c r="M16" s="257"/>
      <c r="N16" s="258"/>
      <c r="O16" s="257"/>
      <c r="P16" s="258"/>
      <c r="Q16" s="257"/>
      <c r="R16" s="258"/>
      <c r="S16" s="257"/>
      <c r="T16" s="258"/>
      <c r="U16" s="257"/>
      <c r="V16" s="258"/>
      <c r="W16" s="257"/>
      <c r="X16" s="258"/>
      <c r="Y16" s="257"/>
      <c r="Z16" s="258"/>
      <c r="AA16" s="257"/>
      <c r="AB16" s="258"/>
      <c r="AC16" s="257"/>
      <c r="AD16" s="258"/>
      <c r="AE16" s="257"/>
      <c r="AF16" s="258"/>
      <c r="AG16" s="257"/>
      <c r="AH16" s="258"/>
      <c r="AI16" s="257"/>
      <c r="AJ16" s="258"/>
      <c r="AK16" s="265"/>
      <c r="AL16" s="258"/>
      <c r="AM16" s="257"/>
      <c r="AN16" s="258"/>
      <c r="AO16" s="257"/>
      <c r="AP16" s="258"/>
      <c r="AQ16" s="265"/>
      <c r="AR16" s="258"/>
      <c r="AS16" s="257"/>
      <c r="AT16" s="258"/>
      <c r="AU16" s="265"/>
      <c r="AV16" s="258"/>
      <c r="AW16" s="265"/>
      <c r="AX16" s="91">
        <v>8</v>
      </c>
      <c r="AY16" s="92">
        <f t="shared" si="4"/>
        <v>0</v>
      </c>
      <c r="AZ16" s="93">
        <f t="shared" si="0"/>
        <v>0</v>
      </c>
      <c r="BA16" s="94">
        <f t="shared" si="1"/>
        <v>0</v>
      </c>
      <c r="BB16" s="95">
        <f t="shared" si="2"/>
        <v>0</v>
      </c>
      <c r="BC16" s="216"/>
      <c r="BD16" s="197">
        <f t="shared" si="3"/>
        <v>0</v>
      </c>
      <c r="BE16" s="98">
        <f t="shared" si="6"/>
        <v>0</v>
      </c>
      <c r="BF16" s="99"/>
      <c r="BG16" s="86">
        <f>outubro!$BE17</f>
        <v>0</v>
      </c>
      <c r="BH16" s="97"/>
      <c r="BI16" s="197">
        <f t="shared" si="5"/>
        <v>0</v>
      </c>
    </row>
    <row r="17" spans="1:61" ht="21" customHeight="1">
      <c r="A17" s="71">
        <v>9</v>
      </c>
      <c r="B17" s="258"/>
      <c r="C17" s="257"/>
      <c r="D17" s="258"/>
      <c r="E17" s="257"/>
      <c r="F17" s="258"/>
      <c r="G17" s="257"/>
      <c r="H17" s="258"/>
      <c r="I17" s="257"/>
      <c r="J17" s="258"/>
      <c r="K17" s="257"/>
      <c r="L17" s="258"/>
      <c r="M17" s="257"/>
      <c r="N17" s="258"/>
      <c r="O17" s="257"/>
      <c r="P17" s="258"/>
      <c r="Q17" s="257"/>
      <c r="R17" s="258"/>
      <c r="S17" s="257"/>
      <c r="T17" s="258"/>
      <c r="U17" s="257"/>
      <c r="V17" s="258"/>
      <c r="W17" s="257"/>
      <c r="X17" s="258"/>
      <c r="Y17" s="257"/>
      <c r="Z17" s="258"/>
      <c r="AA17" s="257"/>
      <c r="AB17" s="258"/>
      <c r="AC17" s="257"/>
      <c r="AD17" s="258"/>
      <c r="AE17" s="257"/>
      <c r="AF17" s="258"/>
      <c r="AG17" s="257"/>
      <c r="AH17" s="258"/>
      <c r="AI17" s="257"/>
      <c r="AJ17" s="258">
        <v>0.3</v>
      </c>
      <c r="AK17" s="265">
        <v>20</v>
      </c>
      <c r="AL17" s="258">
        <v>0.4</v>
      </c>
      <c r="AM17" s="257">
        <v>45</v>
      </c>
      <c r="AN17" s="258">
        <v>0.2</v>
      </c>
      <c r="AO17" s="257">
        <v>40</v>
      </c>
      <c r="AP17" s="258"/>
      <c r="AQ17" s="265"/>
      <c r="AR17" s="258">
        <v>0.3</v>
      </c>
      <c r="AS17" s="257">
        <v>30</v>
      </c>
      <c r="AT17" s="258">
        <v>1.2</v>
      </c>
      <c r="AU17" s="265">
        <v>60</v>
      </c>
      <c r="AV17" s="258">
        <v>0.2</v>
      </c>
      <c r="AW17" s="265">
        <v>30</v>
      </c>
      <c r="AX17" s="91">
        <v>9</v>
      </c>
      <c r="AY17" s="92">
        <f t="shared" si="4"/>
        <v>2.6</v>
      </c>
      <c r="AZ17" s="93">
        <f t="shared" si="0"/>
        <v>225</v>
      </c>
      <c r="BA17" s="94">
        <f t="shared" si="1"/>
        <v>1.2</v>
      </c>
      <c r="BB17" s="95">
        <f t="shared" si="2"/>
        <v>6</v>
      </c>
      <c r="BC17" s="216"/>
      <c r="BD17" s="197">
        <f t="shared" si="3"/>
        <v>1</v>
      </c>
      <c r="BE17" s="98">
        <f t="shared" si="6"/>
        <v>0</v>
      </c>
      <c r="BF17" s="99"/>
      <c r="BG17" s="86">
        <f>outubro!$BE18</f>
        <v>3.0000000000000004</v>
      </c>
      <c r="BH17" s="97"/>
      <c r="BI17" s="197">
        <f t="shared" si="5"/>
        <v>0</v>
      </c>
    </row>
    <row r="18" spans="1:61" ht="21" customHeight="1">
      <c r="A18" s="71">
        <v>10</v>
      </c>
      <c r="B18" s="258"/>
      <c r="C18" s="257"/>
      <c r="D18" s="258"/>
      <c r="E18" s="257"/>
      <c r="F18" s="258"/>
      <c r="G18" s="257"/>
      <c r="H18" s="258"/>
      <c r="I18" s="257"/>
      <c r="J18" s="258"/>
      <c r="K18" s="257"/>
      <c r="L18" s="258">
        <v>0.2</v>
      </c>
      <c r="M18" s="257">
        <v>25</v>
      </c>
      <c r="N18" s="258">
        <v>0.2</v>
      </c>
      <c r="O18" s="257">
        <v>20</v>
      </c>
      <c r="P18" s="258"/>
      <c r="Q18" s="257"/>
      <c r="R18" s="258"/>
      <c r="S18" s="257"/>
      <c r="T18" s="258"/>
      <c r="U18" s="257"/>
      <c r="V18" s="258"/>
      <c r="W18" s="257"/>
      <c r="X18" s="258"/>
      <c r="Y18" s="257"/>
      <c r="Z18" s="258"/>
      <c r="AA18" s="257"/>
      <c r="AB18" s="258"/>
      <c r="AC18" s="257"/>
      <c r="AD18" s="258"/>
      <c r="AE18" s="257"/>
      <c r="AF18" s="258"/>
      <c r="AG18" s="257"/>
      <c r="AH18" s="258"/>
      <c r="AI18" s="257"/>
      <c r="AJ18" s="258"/>
      <c r="AK18" s="265"/>
      <c r="AL18" s="258"/>
      <c r="AM18" s="257"/>
      <c r="AN18" s="258"/>
      <c r="AO18" s="257"/>
      <c r="AP18" s="258"/>
      <c r="AQ18" s="265"/>
      <c r="AR18" s="258">
        <v>0.1</v>
      </c>
      <c r="AS18" s="257">
        <v>60</v>
      </c>
      <c r="AT18" s="258">
        <v>0.8</v>
      </c>
      <c r="AU18" s="265">
        <v>30</v>
      </c>
      <c r="AV18" s="258">
        <v>2.1</v>
      </c>
      <c r="AW18" s="265">
        <v>60</v>
      </c>
      <c r="AX18" s="91">
        <v>10</v>
      </c>
      <c r="AY18" s="92">
        <f t="shared" si="4"/>
        <v>3.4000000000000004</v>
      </c>
      <c r="AZ18" s="93">
        <f t="shared" si="0"/>
        <v>195</v>
      </c>
      <c r="BA18" s="94">
        <f t="shared" si="1"/>
        <v>2.1</v>
      </c>
      <c r="BB18" s="95">
        <f t="shared" si="2"/>
        <v>5</v>
      </c>
      <c r="BC18" s="214"/>
      <c r="BD18" s="197">
        <f t="shared" si="3"/>
        <v>1</v>
      </c>
      <c r="BE18" s="98">
        <f t="shared" si="6"/>
        <v>3.0000000000000004</v>
      </c>
      <c r="BF18" s="99"/>
      <c r="BG18" s="86">
        <f>outubro!$BE19</f>
        <v>4.3</v>
      </c>
      <c r="BH18" s="97"/>
      <c r="BI18" s="197">
        <f t="shared" si="5"/>
        <v>0</v>
      </c>
    </row>
    <row r="19" spans="1:61" ht="21" customHeight="1">
      <c r="A19" s="71">
        <v>11</v>
      </c>
      <c r="B19" s="258">
        <v>0.2</v>
      </c>
      <c r="C19" s="257">
        <v>30</v>
      </c>
      <c r="D19" s="258">
        <v>0.1</v>
      </c>
      <c r="E19" s="257">
        <v>30</v>
      </c>
      <c r="F19" s="258">
        <v>0.5</v>
      </c>
      <c r="G19" s="257">
        <v>40</v>
      </c>
      <c r="H19" s="258">
        <v>0.4</v>
      </c>
      <c r="I19" s="257">
        <v>60</v>
      </c>
      <c r="J19" s="258">
        <v>0.1</v>
      </c>
      <c r="K19" s="257">
        <v>20</v>
      </c>
      <c r="L19" s="258"/>
      <c r="M19" s="257"/>
      <c r="N19" s="258"/>
      <c r="O19" s="257"/>
      <c r="P19" s="258"/>
      <c r="Q19" s="257"/>
      <c r="R19" s="258"/>
      <c r="S19" s="257"/>
      <c r="T19" s="258"/>
      <c r="U19" s="257"/>
      <c r="V19" s="258"/>
      <c r="W19" s="257"/>
      <c r="X19" s="258"/>
      <c r="Y19" s="257"/>
      <c r="Z19" s="258"/>
      <c r="AA19" s="257"/>
      <c r="AB19" s="258"/>
      <c r="AC19" s="257"/>
      <c r="AD19" s="258"/>
      <c r="AE19" s="257"/>
      <c r="AF19" s="258"/>
      <c r="AG19" s="257"/>
      <c r="AH19" s="258"/>
      <c r="AI19" s="257"/>
      <c r="AJ19" s="258"/>
      <c r="AK19" s="265"/>
      <c r="AL19" s="258"/>
      <c r="AM19" s="257"/>
      <c r="AN19" s="258">
        <v>11</v>
      </c>
      <c r="AO19" s="257">
        <v>15</v>
      </c>
      <c r="AP19" s="258">
        <v>2.6</v>
      </c>
      <c r="AQ19" s="265">
        <v>30</v>
      </c>
      <c r="AR19" s="258"/>
      <c r="AS19" s="257"/>
      <c r="AT19" s="258"/>
      <c r="AU19" s="265"/>
      <c r="AV19" s="258"/>
      <c r="AW19" s="265"/>
      <c r="AX19" s="91">
        <v>11</v>
      </c>
      <c r="AY19" s="92">
        <f t="shared" si="4"/>
        <v>14.9</v>
      </c>
      <c r="AZ19" s="93">
        <f t="shared" si="0"/>
        <v>225</v>
      </c>
      <c r="BA19" s="94">
        <f t="shared" si="1"/>
        <v>11</v>
      </c>
      <c r="BB19" s="95">
        <f t="shared" si="2"/>
        <v>7</v>
      </c>
      <c r="BC19" s="214"/>
      <c r="BD19" s="197">
        <f t="shared" si="3"/>
        <v>1</v>
      </c>
      <c r="BE19" s="98">
        <f t="shared" si="6"/>
        <v>4.3</v>
      </c>
      <c r="BF19" s="99"/>
      <c r="BG19" s="86">
        <f>outubro!$BE20</f>
        <v>13.7</v>
      </c>
      <c r="BH19" s="97"/>
      <c r="BI19" s="197">
        <f t="shared" si="5"/>
        <v>0</v>
      </c>
    </row>
    <row r="20" spans="1:61" ht="21" customHeight="1">
      <c r="A20" s="71">
        <v>12</v>
      </c>
      <c r="B20" s="258"/>
      <c r="C20" s="257"/>
      <c r="D20" s="258"/>
      <c r="E20" s="257"/>
      <c r="F20" s="258">
        <v>0.1</v>
      </c>
      <c r="G20" s="257">
        <v>30</v>
      </c>
      <c r="H20" s="258"/>
      <c r="I20" s="257"/>
      <c r="J20" s="258"/>
      <c r="K20" s="257"/>
      <c r="L20" s="258"/>
      <c r="M20" s="257"/>
      <c r="N20" s="258"/>
      <c r="O20" s="257"/>
      <c r="P20" s="258"/>
      <c r="Q20" s="257"/>
      <c r="R20" s="258"/>
      <c r="S20" s="257"/>
      <c r="T20" s="258"/>
      <c r="U20" s="257"/>
      <c r="V20" s="258"/>
      <c r="W20" s="257"/>
      <c r="X20" s="258"/>
      <c r="Y20" s="257"/>
      <c r="Z20" s="258"/>
      <c r="AA20" s="257"/>
      <c r="AB20" s="258"/>
      <c r="AC20" s="257"/>
      <c r="AD20" s="258"/>
      <c r="AE20" s="257"/>
      <c r="AF20" s="258"/>
      <c r="AG20" s="257"/>
      <c r="AH20" s="258"/>
      <c r="AI20" s="257"/>
      <c r="AJ20" s="258"/>
      <c r="AK20" s="265"/>
      <c r="AL20" s="258"/>
      <c r="AM20" s="257"/>
      <c r="AN20" s="258"/>
      <c r="AO20" s="257"/>
      <c r="AP20" s="258">
        <v>0.1</v>
      </c>
      <c r="AQ20" s="265">
        <v>15</v>
      </c>
      <c r="AR20" s="258">
        <v>0.1</v>
      </c>
      <c r="AS20" s="257">
        <v>30</v>
      </c>
      <c r="AT20" s="258"/>
      <c r="AU20" s="265"/>
      <c r="AV20" s="258"/>
      <c r="AW20" s="265"/>
      <c r="AX20" s="91">
        <v>12</v>
      </c>
      <c r="AY20" s="92">
        <f t="shared" si="4"/>
        <v>0.30000000000000004</v>
      </c>
      <c r="AZ20" s="93">
        <f t="shared" si="0"/>
        <v>75</v>
      </c>
      <c r="BA20" s="94">
        <f t="shared" si="1"/>
        <v>0.1</v>
      </c>
      <c r="BB20" s="95">
        <f t="shared" si="2"/>
        <v>3</v>
      </c>
      <c r="BC20" s="214"/>
      <c r="BD20" s="197">
        <f t="shared" si="3"/>
        <v>1</v>
      </c>
      <c r="BE20" s="98">
        <f t="shared" si="6"/>
        <v>13.7</v>
      </c>
      <c r="BF20" s="99"/>
      <c r="BG20" s="86">
        <f>outubro!$BE21</f>
        <v>0.7</v>
      </c>
      <c r="BH20" s="97"/>
      <c r="BI20" s="197">
        <f t="shared" si="5"/>
        <v>0</v>
      </c>
    </row>
    <row r="21" spans="1:61" ht="21" customHeight="1">
      <c r="A21" s="71">
        <v>13</v>
      </c>
      <c r="B21" s="258"/>
      <c r="C21" s="257"/>
      <c r="D21" s="258"/>
      <c r="E21" s="257"/>
      <c r="F21" s="258"/>
      <c r="G21" s="257"/>
      <c r="H21" s="258"/>
      <c r="I21" s="257"/>
      <c r="J21" s="258">
        <v>0.2</v>
      </c>
      <c r="K21" s="257">
        <v>45</v>
      </c>
      <c r="L21" s="258">
        <v>0.3</v>
      </c>
      <c r="M21" s="257">
        <v>60</v>
      </c>
      <c r="N21" s="258"/>
      <c r="O21" s="257"/>
      <c r="P21" s="258"/>
      <c r="Q21" s="257"/>
      <c r="R21" s="258"/>
      <c r="S21" s="257"/>
      <c r="T21" s="258"/>
      <c r="U21" s="257"/>
      <c r="V21" s="258"/>
      <c r="W21" s="257"/>
      <c r="X21" s="258"/>
      <c r="Y21" s="257"/>
      <c r="Z21" s="258"/>
      <c r="AA21" s="257"/>
      <c r="AB21" s="258"/>
      <c r="AC21" s="257"/>
      <c r="AD21" s="258"/>
      <c r="AE21" s="257"/>
      <c r="AF21" s="258"/>
      <c r="AG21" s="257"/>
      <c r="AH21" s="258"/>
      <c r="AI21" s="257"/>
      <c r="AJ21" s="258"/>
      <c r="AK21" s="265"/>
      <c r="AL21" s="258"/>
      <c r="AM21" s="257"/>
      <c r="AN21" s="258"/>
      <c r="AO21" s="257"/>
      <c r="AP21" s="258"/>
      <c r="AQ21" s="265"/>
      <c r="AR21" s="258"/>
      <c r="AS21" s="257"/>
      <c r="AT21" s="258"/>
      <c r="AU21" s="265"/>
      <c r="AV21" s="258"/>
      <c r="AW21" s="265"/>
      <c r="AX21" s="91">
        <v>13</v>
      </c>
      <c r="AY21" s="92">
        <f t="shared" si="4"/>
        <v>0.5</v>
      </c>
      <c r="AZ21" s="93">
        <f t="shared" si="0"/>
        <v>105</v>
      </c>
      <c r="BA21" s="94">
        <f t="shared" si="1"/>
        <v>0.3</v>
      </c>
      <c r="BB21" s="95">
        <f t="shared" si="2"/>
        <v>2</v>
      </c>
      <c r="BC21" s="214"/>
      <c r="BD21" s="197">
        <f t="shared" si="3"/>
        <v>1</v>
      </c>
      <c r="BE21" s="98">
        <f t="shared" si="6"/>
        <v>0.7</v>
      </c>
      <c r="BF21" s="99"/>
      <c r="BG21" s="86">
        <f>outubro!$BE22</f>
        <v>0</v>
      </c>
      <c r="BH21" s="97"/>
      <c r="BI21" s="197">
        <f t="shared" si="5"/>
        <v>0</v>
      </c>
    </row>
    <row r="22" spans="1:61" ht="21" customHeight="1">
      <c r="A22" s="71">
        <v>14</v>
      </c>
      <c r="B22" s="258"/>
      <c r="C22" s="257"/>
      <c r="D22" s="258"/>
      <c r="E22" s="257"/>
      <c r="F22" s="258"/>
      <c r="G22" s="257"/>
      <c r="H22" s="258"/>
      <c r="I22" s="257"/>
      <c r="J22" s="258"/>
      <c r="K22" s="257"/>
      <c r="L22" s="258"/>
      <c r="M22" s="257"/>
      <c r="N22" s="258"/>
      <c r="O22" s="257"/>
      <c r="P22" s="258"/>
      <c r="Q22" s="257"/>
      <c r="R22" s="258"/>
      <c r="S22" s="257"/>
      <c r="T22" s="258"/>
      <c r="U22" s="257"/>
      <c r="V22" s="258"/>
      <c r="W22" s="257"/>
      <c r="X22" s="258"/>
      <c r="Y22" s="257"/>
      <c r="Z22" s="258"/>
      <c r="AA22" s="257"/>
      <c r="AB22" s="258"/>
      <c r="AC22" s="257"/>
      <c r="AD22" s="258"/>
      <c r="AE22" s="257"/>
      <c r="AF22" s="258"/>
      <c r="AG22" s="257"/>
      <c r="AH22" s="258"/>
      <c r="AI22" s="257"/>
      <c r="AJ22" s="258"/>
      <c r="AK22" s="265"/>
      <c r="AL22" s="258"/>
      <c r="AM22" s="257"/>
      <c r="AN22" s="258"/>
      <c r="AO22" s="257"/>
      <c r="AP22" s="258"/>
      <c r="AQ22" s="265"/>
      <c r="AR22" s="258"/>
      <c r="AS22" s="257"/>
      <c r="AT22" s="258"/>
      <c r="AU22" s="265"/>
      <c r="AV22" s="258"/>
      <c r="AW22" s="265"/>
      <c r="AX22" s="91">
        <v>14</v>
      </c>
      <c r="AY22" s="92">
        <f t="shared" si="4"/>
        <v>0</v>
      </c>
      <c r="AZ22" s="93">
        <f t="shared" si="0"/>
        <v>0</v>
      </c>
      <c r="BA22" s="94">
        <f t="shared" si="1"/>
        <v>0</v>
      </c>
      <c r="BB22" s="95">
        <f t="shared" si="2"/>
        <v>0</v>
      </c>
      <c r="BC22" s="214"/>
      <c r="BD22" s="197">
        <f t="shared" si="3"/>
        <v>0</v>
      </c>
      <c r="BE22" s="98">
        <f t="shared" si="6"/>
        <v>0</v>
      </c>
      <c r="BF22" s="99"/>
      <c r="BG22" s="86">
        <f>outubro!$BE23</f>
        <v>0</v>
      </c>
      <c r="BH22" s="97"/>
      <c r="BI22" s="197">
        <f t="shared" si="5"/>
        <v>0</v>
      </c>
    </row>
    <row r="23" spans="1:61" ht="21" customHeight="1">
      <c r="A23" s="102">
        <v>15</v>
      </c>
      <c r="B23" s="258"/>
      <c r="C23" s="257"/>
      <c r="D23" s="258"/>
      <c r="E23" s="257"/>
      <c r="F23" s="258"/>
      <c r="G23" s="257"/>
      <c r="H23" s="258"/>
      <c r="I23" s="257"/>
      <c r="J23" s="258"/>
      <c r="K23" s="257"/>
      <c r="L23" s="258"/>
      <c r="M23" s="257"/>
      <c r="N23" s="258"/>
      <c r="O23" s="257"/>
      <c r="P23" s="258"/>
      <c r="Q23" s="257"/>
      <c r="R23" s="258"/>
      <c r="S23" s="257"/>
      <c r="T23" s="258"/>
      <c r="U23" s="257"/>
      <c r="V23" s="258"/>
      <c r="W23" s="257"/>
      <c r="X23" s="258"/>
      <c r="Y23" s="257"/>
      <c r="Z23" s="258"/>
      <c r="AA23" s="257"/>
      <c r="AB23" s="258"/>
      <c r="AC23" s="257"/>
      <c r="AD23" s="258"/>
      <c r="AE23" s="257"/>
      <c r="AF23" s="258"/>
      <c r="AG23" s="257"/>
      <c r="AH23" s="258"/>
      <c r="AI23" s="257"/>
      <c r="AJ23" s="258"/>
      <c r="AK23" s="265"/>
      <c r="AL23" s="258"/>
      <c r="AM23" s="257"/>
      <c r="AN23" s="258"/>
      <c r="AO23" s="257"/>
      <c r="AP23" s="258"/>
      <c r="AQ23" s="265"/>
      <c r="AR23" s="258"/>
      <c r="AS23" s="257"/>
      <c r="AT23" s="258"/>
      <c r="AU23" s="265"/>
      <c r="AV23" s="258"/>
      <c r="AW23" s="265"/>
      <c r="AX23" s="91">
        <v>15</v>
      </c>
      <c r="AY23" s="92">
        <f t="shared" si="4"/>
        <v>0</v>
      </c>
      <c r="AZ23" s="93">
        <f t="shared" si="0"/>
        <v>0</v>
      </c>
      <c r="BA23" s="94">
        <f t="shared" si="1"/>
        <v>0</v>
      </c>
      <c r="BB23" s="95">
        <f t="shared" si="2"/>
        <v>0</v>
      </c>
      <c r="BC23" s="214"/>
      <c r="BD23" s="197">
        <f t="shared" si="3"/>
        <v>0</v>
      </c>
      <c r="BE23" s="98">
        <f t="shared" si="6"/>
        <v>0</v>
      </c>
      <c r="BF23" s="99"/>
      <c r="BG23" s="86">
        <f>outubro!$BE24</f>
        <v>0</v>
      </c>
      <c r="BH23" s="97"/>
      <c r="BI23" s="197">
        <f t="shared" si="5"/>
        <v>0</v>
      </c>
    </row>
    <row r="24" spans="1:61" ht="21" customHeight="1">
      <c r="A24" s="71">
        <v>16</v>
      </c>
      <c r="B24" s="258"/>
      <c r="C24" s="257"/>
      <c r="D24" s="258"/>
      <c r="E24" s="257"/>
      <c r="F24" s="258"/>
      <c r="G24" s="257"/>
      <c r="H24" s="258"/>
      <c r="I24" s="257"/>
      <c r="J24" s="258"/>
      <c r="K24" s="257"/>
      <c r="L24" s="258"/>
      <c r="M24" s="257"/>
      <c r="N24" s="258"/>
      <c r="O24" s="257"/>
      <c r="P24" s="258"/>
      <c r="Q24" s="257"/>
      <c r="R24" s="258"/>
      <c r="S24" s="257"/>
      <c r="T24" s="258"/>
      <c r="U24" s="257"/>
      <c r="V24" s="258"/>
      <c r="W24" s="257"/>
      <c r="X24" s="258"/>
      <c r="Y24" s="257"/>
      <c r="Z24" s="258"/>
      <c r="AA24" s="257"/>
      <c r="AB24" s="258"/>
      <c r="AC24" s="257"/>
      <c r="AD24" s="258"/>
      <c r="AE24" s="257"/>
      <c r="AF24" s="258"/>
      <c r="AG24" s="257"/>
      <c r="AH24" s="258"/>
      <c r="AI24" s="257"/>
      <c r="AJ24" s="258"/>
      <c r="AK24" s="265"/>
      <c r="AL24" s="258"/>
      <c r="AM24" s="257"/>
      <c r="AN24" s="258"/>
      <c r="AO24" s="257"/>
      <c r="AP24" s="258"/>
      <c r="AQ24" s="265"/>
      <c r="AR24" s="258"/>
      <c r="AS24" s="257"/>
      <c r="AT24" s="258"/>
      <c r="AU24" s="265"/>
      <c r="AV24" s="258"/>
      <c r="AW24" s="265"/>
      <c r="AX24" s="91">
        <v>16</v>
      </c>
      <c r="AY24" s="92">
        <f t="shared" si="4"/>
        <v>0</v>
      </c>
      <c r="AZ24" s="93">
        <f t="shared" si="0"/>
        <v>0</v>
      </c>
      <c r="BA24" s="94">
        <f t="shared" si="1"/>
        <v>0</v>
      </c>
      <c r="BB24" s="95">
        <f t="shared" si="2"/>
        <v>0</v>
      </c>
      <c r="BC24" s="214"/>
      <c r="BD24" s="197">
        <f t="shared" si="3"/>
        <v>0</v>
      </c>
      <c r="BE24" s="98">
        <f>P23+R23+T23+V23+X23+Z23+AB23+AD23+AF23+AH23+AJ23+AL23+AN23+AP23+AR23+AT23+AV23+B24+D24+F24+H24+J24+L24+N24</f>
        <v>0</v>
      </c>
      <c r="BF24" s="99"/>
      <c r="BG24" s="86">
        <f>outubro!$BE25</f>
        <v>0</v>
      </c>
      <c r="BH24" s="97"/>
      <c r="BI24" s="197">
        <f t="shared" si="5"/>
        <v>0</v>
      </c>
    </row>
    <row r="25" spans="1:61" ht="21" customHeight="1">
      <c r="A25" s="71">
        <v>17</v>
      </c>
      <c r="B25" s="258"/>
      <c r="C25" s="257"/>
      <c r="D25" s="258"/>
      <c r="E25" s="257"/>
      <c r="F25" s="258"/>
      <c r="G25" s="257"/>
      <c r="H25" s="258"/>
      <c r="I25" s="257"/>
      <c r="J25" s="258"/>
      <c r="K25" s="257"/>
      <c r="L25" s="258"/>
      <c r="M25" s="257"/>
      <c r="N25" s="258"/>
      <c r="O25" s="257"/>
      <c r="P25" s="258"/>
      <c r="Q25" s="257"/>
      <c r="R25" s="258"/>
      <c r="S25" s="257"/>
      <c r="T25" s="258"/>
      <c r="U25" s="257"/>
      <c r="V25" s="258"/>
      <c r="W25" s="257"/>
      <c r="X25" s="258"/>
      <c r="Y25" s="257"/>
      <c r="Z25" s="258"/>
      <c r="AA25" s="257"/>
      <c r="AB25" s="258"/>
      <c r="AC25" s="257"/>
      <c r="AD25" s="258"/>
      <c r="AE25" s="257"/>
      <c r="AF25" s="258"/>
      <c r="AG25" s="257"/>
      <c r="AH25" s="258"/>
      <c r="AI25" s="257"/>
      <c r="AJ25" s="258"/>
      <c r="AK25" s="265"/>
      <c r="AL25" s="258"/>
      <c r="AM25" s="257"/>
      <c r="AN25" s="258"/>
      <c r="AO25" s="257"/>
      <c r="AP25" s="258"/>
      <c r="AQ25" s="265"/>
      <c r="AR25" s="258"/>
      <c r="AS25" s="257"/>
      <c r="AT25" s="258"/>
      <c r="AU25" s="265"/>
      <c r="AV25" s="258"/>
      <c r="AW25" s="265"/>
      <c r="AX25" s="91">
        <v>17</v>
      </c>
      <c r="AY25" s="92">
        <f t="shared" si="4"/>
        <v>0</v>
      </c>
      <c r="AZ25" s="93">
        <f t="shared" si="0"/>
        <v>0</v>
      </c>
      <c r="BA25" s="94">
        <f t="shared" si="1"/>
        <v>0</v>
      </c>
      <c r="BB25" s="95">
        <f t="shared" si="2"/>
        <v>0</v>
      </c>
      <c r="BC25" s="214"/>
      <c r="BD25" s="197">
        <f t="shared" si="3"/>
        <v>0</v>
      </c>
      <c r="BE25" s="98">
        <f t="shared" si="6"/>
        <v>0</v>
      </c>
      <c r="BF25" s="99"/>
      <c r="BG25" s="86">
        <f>outubro!$BE26</f>
        <v>0</v>
      </c>
      <c r="BH25" s="97"/>
      <c r="BI25" s="197">
        <f t="shared" si="5"/>
        <v>0</v>
      </c>
    </row>
    <row r="26" spans="1:61" ht="21" customHeight="1">
      <c r="A26" s="71">
        <v>18</v>
      </c>
      <c r="B26" s="258"/>
      <c r="C26" s="257"/>
      <c r="D26" s="258"/>
      <c r="E26" s="257"/>
      <c r="F26" s="258"/>
      <c r="G26" s="257"/>
      <c r="H26" s="258"/>
      <c r="I26" s="257"/>
      <c r="J26" s="258"/>
      <c r="K26" s="257"/>
      <c r="L26" s="258"/>
      <c r="M26" s="257"/>
      <c r="N26" s="258"/>
      <c r="O26" s="257"/>
      <c r="P26" s="258"/>
      <c r="Q26" s="257"/>
      <c r="R26" s="258"/>
      <c r="S26" s="257"/>
      <c r="T26" s="258"/>
      <c r="U26" s="257"/>
      <c r="V26" s="258"/>
      <c r="W26" s="257"/>
      <c r="X26" s="258"/>
      <c r="Y26" s="257"/>
      <c r="Z26" s="258"/>
      <c r="AA26" s="257"/>
      <c r="AB26" s="258"/>
      <c r="AC26" s="257"/>
      <c r="AD26" s="258"/>
      <c r="AE26" s="257"/>
      <c r="AF26" s="258"/>
      <c r="AG26" s="257"/>
      <c r="AH26" s="258"/>
      <c r="AI26" s="257"/>
      <c r="AJ26" s="258"/>
      <c r="AK26" s="265"/>
      <c r="AL26" s="258"/>
      <c r="AM26" s="257"/>
      <c r="AN26" s="258"/>
      <c r="AO26" s="257"/>
      <c r="AP26" s="258">
        <v>0.1</v>
      </c>
      <c r="AQ26" s="265">
        <v>10</v>
      </c>
      <c r="AR26" s="258"/>
      <c r="AS26" s="257"/>
      <c r="AT26" s="258"/>
      <c r="AU26" s="265"/>
      <c r="AV26" s="258"/>
      <c r="AW26" s="265"/>
      <c r="AX26" s="91">
        <v>18</v>
      </c>
      <c r="AY26" s="92">
        <f t="shared" si="4"/>
        <v>0.1</v>
      </c>
      <c r="AZ26" s="93">
        <f t="shared" si="0"/>
        <v>10</v>
      </c>
      <c r="BA26" s="94">
        <f t="shared" si="1"/>
        <v>0.1</v>
      </c>
      <c r="BB26" s="95">
        <f t="shared" si="2"/>
        <v>1</v>
      </c>
      <c r="BC26" s="214"/>
      <c r="BD26" s="197">
        <f t="shared" si="3"/>
        <v>1</v>
      </c>
      <c r="BE26" s="98">
        <f t="shared" si="6"/>
        <v>0</v>
      </c>
      <c r="BF26" s="99"/>
      <c r="BG26" s="86">
        <f>outubro!$BE27</f>
        <v>0.1</v>
      </c>
      <c r="BH26" s="97"/>
      <c r="BI26" s="197">
        <f t="shared" si="5"/>
        <v>0</v>
      </c>
    </row>
    <row r="27" spans="1:61" ht="21" customHeight="1">
      <c r="A27" s="71">
        <v>19</v>
      </c>
      <c r="B27" s="258"/>
      <c r="C27" s="257"/>
      <c r="D27" s="258"/>
      <c r="E27" s="257"/>
      <c r="F27" s="258"/>
      <c r="G27" s="257"/>
      <c r="H27" s="258"/>
      <c r="I27" s="257"/>
      <c r="J27" s="258"/>
      <c r="K27" s="257"/>
      <c r="L27" s="258"/>
      <c r="M27" s="257"/>
      <c r="N27" s="258"/>
      <c r="O27" s="257"/>
      <c r="P27" s="258"/>
      <c r="Q27" s="257"/>
      <c r="R27" s="258">
        <v>0.2</v>
      </c>
      <c r="S27" s="257">
        <v>5</v>
      </c>
      <c r="T27" s="258">
        <v>0.1</v>
      </c>
      <c r="U27" s="257">
        <v>15</v>
      </c>
      <c r="V27" s="258">
        <v>3.8</v>
      </c>
      <c r="W27" s="257">
        <v>60</v>
      </c>
      <c r="X27" s="258">
        <v>0.9</v>
      </c>
      <c r="Y27" s="257">
        <v>60</v>
      </c>
      <c r="Z27" s="258">
        <v>3</v>
      </c>
      <c r="AA27" s="257">
        <v>60</v>
      </c>
      <c r="AB27" s="258">
        <v>0.8</v>
      </c>
      <c r="AC27" s="257">
        <v>40</v>
      </c>
      <c r="AD27" s="258"/>
      <c r="AE27" s="257"/>
      <c r="AF27" s="258">
        <v>0.4</v>
      </c>
      <c r="AG27" s="257">
        <v>40</v>
      </c>
      <c r="AH27" s="258">
        <v>0.4</v>
      </c>
      <c r="AI27" s="257">
        <v>45</v>
      </c>
      <c r="AJ27" s="258">
        <v>0.6</v>
      </c>
      <c r="AK27" s="265">
        <v>20</v>
      </c>
      <c r="AL27" s="258">
        <v>0.6</v>
      </c>
      <c r="AM27" s="257">
        <v>45</v>
      </c>
      <c r="AN27" s="258">
        <v>0.4</v>
      </c>
      <c r="AO27" s="257">
        <v>50</v>
      </c>
      <c r="AP27" s="258">
        <v>0.6</v>
      </c>
      <c r="AQ27" s="265">
        <v>15</v>
      </c>
      <c r="AR27" s="258">
        <v>1.1000000000000001</v>
      </c>
      <c r="AS27" s="257">
        <v>60</v>
      </c>
      <c r="AT27" s="258">
        <v>0.4</v>
      </c>
      <c r="AU27" s="265">
        <v>60</v>
      </c>
      <c r="AV27" s="258">
        <v>0.8</v>
      </c>
      <c r="AW27" s="265">
        <v>60</v>
      </c>
      <c r="AX27" s="91">
        <v>19</v>
      </c>
      <c r="AY27" s="92">
        <f t="shared" si="4"/>
        <v>14.100000000000001</v>
      </c>
      <c r="AZ27" s="93">
        <f t="shared" si="0"/>
        <v>635</v>
      </c>
      <c r="BA27" s="94">
        <f t="shared" si="1"/>
        <v>3.8</v>
      </c>
      <c r="BB27" s="95">
        <f t="shared" si="2"/>
        <v>15</v>
      </c>
      <c r="BC27" s="214"/>
      <c r="BD27" s="197">
        <f t="shared" si="3"/>
        <v>1</v>
      </c>
      <c r="BE27" s="98">
        <f t="shared" si="6"/>
        <v>0.1</v>
      </c>
      <c r="BF27" s="99"/>
      <c r="BG27" s="86">
        <f>outubro!$BE28</f>
        <v>15.700000000000001</v>
      </c>
      <c r="BH27" s="97"/>
      <c r="BI27" s="197">
        <f t="shared" si="5"/>
        <v>0</v>
      </c>
    </row>
    <row r="28" spans="1:61" ht="21" customHeight="1">
      <c r="A28" s="71">
        <v>20</v>
      </c>
      <c r="B28" s="258">
        <v>0.3</v>
      </c>
      <c r="C28" s="257">
        <v>50</v>
      </c>
      <c r="D28" s="258">
        <v>0.4</v>
      </c>
      <c r="E28" s="257">
        <v>60</v>
      </c>
      <c r="F28" s="258">
        <v>0.2</v>
      </c>
      <c r="G28" s="257">
        <v>25</v>
      </c>
      <c r="H28" s="258">
        <v>0.1</v>
      </c>
      <c r="I28" s="257">
        <v>10</v>
      </c>
      <c r="J28" s="258">
        <v>0.1</v>
      </c>
      <c r="K28" s="257">
        <v>20</v>
      </c>
      <c r="L28" s="258">
        <v>0.2</v>
      </c>
      <c r="M28" s="257">
        <v>40</v>
      </c>
      <c r="N28" s="258">
        <v>0.3</v>
      </c>
      <c r="O28" s="257">
        <v>60</v>
      </c>
      <c r="P28" s="258">
        <v>0.1</v>
      </c>
      <c r="Q28" s="257">
        <v>10</v>
      </c>
      <c r="R28" s="258">
        <v>0.5</v>
      </c>
      <c r="S28" s="257">
        <v>60</v>
      </c>
      <c r="T28" s="258">
        <v>0.4</v>
      </c>
      <c r="U28" s="257">
        <v>60</v>
      </c>
      <c r="V28" s="258">
        <v>0.2</v>
      </c>
      <c r="W28" s="257">
        <v>50</v>
      </c>
      <c r="X28" s="258"/>
      <c r="Y28" s="257"/>
      <c r="Z28" s="258">
        <v>0.2</v>
      </c>
      <c r="AA28" s="257">
        <v>10</v>
      </c>
      <c r="AB28" s="258"/>
      <c r="AC28" s="257"/>
      <c r="AD28" s="258"/>
      <c r="AE28" s="257"/>
      <c r="AF28" s="258"/>
      <c r="AG28" s="257"/>
      <c r="AH28" s="258"/>
      <c r="AI28" s="257"/>
      <c r="AJ28" s="258"/>
      <c r="AK28" s="265"/>
      <c r="AL28" s="258"/>
      <c r="AM28" s="257"/>
      <c r="AN28" s="258"/>
      <c r="AO28" s="257"/>
      <c r="AP28" s="258"/>
      <c r="AQ28" s="265"/>
      <c r="AR28" s="258"/>
      <c r="AS28" s="257"/>
      <c r="AT28" s="258"/>
      <c r="AU28" s="265"/>
      <c r="AV28" s="258"/>
      <c r="AW28" s="265"/>
      <c r="AX28" s="91">
        <v>20</v>
      </c>
      <c r="AY28" s="92">
        <f t="shared" si="4"/>
        <v>3.0000000000000004</v>
      </c>
      <c r="AZ28" s="93">
        <f t="shared" si="0"/>
        <v>455</v>
      </c>
      <c r="BA28" s="94">
        <f t="shared" si="1"/>
        <v>0.5</v>
      </c>
      <c r="BB28" s="95">
        <f t="shared" si="2"/>
        <v>12</v>
      </c>
      <c r="BC28" s="214"/>
      <c r="BD28" s="197">
        <f t="shared" si="3"/>
        <v>1</v>
      </c>
      <c r="BE28" s="98">
        <f t="shared" si="6"/>
        <v>15.700000000000001</v>
      </c>
      <c r="BF28" s="99"/>
      <c r="BG28" s="86">
        <f>outubro!$BE29</f>
        <v>1.4</v>
      </c>
      <c r="BH28" s="97"/>
      <c r="BI28" s="197">
        <f t="shared" si="5"/>
        <v>0</v>
      </c>
    </row>
    <row r="29" spans="1:61" ht="21" customHeight="1">
      <c r="A29" s="71">
        <v>21</v>
      </c>
      <c r="B29" s="258"/>
      <c r="C29" s="257"/>
      <c r="D29" s="258"/>
      <c r="E29" s="257"/>
      <c r="F29" s="258"/>
      <c r="G29" s="257"/>
      <c r="H29" s="258"/>
      <c r="I29" s="257"/>
      <c r="J29" s="258"/>
      <c r="K29" s="257"/>
      <c r="L29" s="258"/>
      <c r="M29" s="257"/>
      <c r="N29" s="258"/>
      <c r="O29" s="257"/>
      <c r="P29" s="258"/>
      <c r="Q29" s="257"/>
      <c r="R29" s="258"/>
      <c r="S29" s="257"/>
      <c r="T29" s="258"/>
      <c r="U29" s="257"/>
      <c r="V29" s="258"/>
      <c r="W29" s="257"/>
      <c r="X29" s="258"/>
      <c r="Y29" s="257"/>
      <c r="Z29" s="256"/>
      <c r="AA29" s="257"/>
      <c r="AB29" s="258"/>
      <c r="AC29" s="257"/>
      <c r="AD29" s="258"/>
      <c r="AE29" s="257"/>
      <c r="AF29" s="258"/>
      <c r="AG29" s="257"/>
      <c r="AH29" s="258"/>
      <c r="AI29" s="257"/>
      <c r="AJ29" s="258"/>
      <c r="AK29" s="265"/>
      <c r="AL29" s="258"/>
      <c r="AM29" s="257"/>
      <c r="AN29" s="258"/>
      <c r="AO29" s="257"/>
      <c r="AP29" s="258"/>
      <c r="AQ29" s="265"/>
      <c r="AR29" s="258"/>
      <c r="AS29" s="257"/>
      <c r="AT29" s="258"/>
      <c r="AU29" s="265"/>
      <c r="AV29" s="258"/>
      <c r="AW29" s="265"/>
      <c r="AX29" s="91">
        <v>21</v>
      </c>
      <c r="AY29" s="92">
        <f t="shared" si="4"/>
        <v>0</v>
      </c>
      <c r="AZ29" s="93">
        <f t="shared" si="0"/>
        <v>0</v>
      </c>
      <c r="BA29" s="94">
        <f t="shared" si="1"/>
        <v>0</v>
      </c>
      <c r="BB29" s="95">
        <f t="shared" si="2"/>
        <v>0</v>
      </c>
      <c r="BC29" s="214"/>
      <c r="BD29" s="197">
        <f t="shared" si="3"/>
        <v>0</v>
      </c>
      <c r="BE29" s="98">
        <f t="shared" si="6"/>
        <v>1.4</v>
      </c>
      <c r="BF29" s="99"/>
      <c r="BG29" s="86">
        <f>outubro!$BE30</f>
        <v>0</v>
      </c>
      <c r="BH29" s="97"/>
      <c r="BI29" s="197">
        <f t="shared" si="5"/>
        <v>0</v>
      </c>
    </row>
    <row r="30" spans="1:61" ht="21" customHeight="1">
      <c r="A30" s="71">
        <v>22</v>
      </c>
      <c r="B30" s="258"/>
      <c r="C30" s="257"/>
      <c r="D30" s="258"/>
      <c r="E30" s="257"/>
      <c r="F30" s="258"/>
      <c r="G30" s="257"/>
      <c r="H30" s="258"/>
      <c r="I30" s="257"/>
      <c r="J30" s="258"/>
      <c r="K30" s="257"/>
      <c r="L30" s="258"/>
      <c r="M30" s="257"/>
      <c r="N30" s="258"/>
      <c r="O30" s="257"/>
      <c r="P30" s="258"/>
      <c r="Q30" s="257"/>
      <c r="R30" s="258"/>
      <c r="S30" s="257"/>
      <c r="T30" s="258"/>
      <c r="U30" s="257"/>
      <c r="V30" s="258"/>
      <c r="W30" s="257"/>
      <c r="X30" s="258"/>
      <c r="Y30" s="257"/>
      <c r="Z30" s="258"/>
      <c r="AA30" s="257"/>
      <c r="AB30" s="258"/>
      <c r="AC30" s="257"/>
      <c r="AD30" s="258"/>
      <c r="AE30" s="257"/>
      <c r="AF30" s="258"/>
      <c r="AG30" s="257"/>
      <c r="AH30" s="258"/>
      <c r="AI30" s="257"/>
      <c r="AJ30" s="258"/>
      <c r="AK30" s="265"/>
      <c r="AL30" s="258"/>
      <c r="AM30" s="257"/>
      <c r="AN30" s="258"/>
      <c r="AO30" s="257"/>
      <c r="AP30" s="258"/>
      <c r="AQ30" s="265"/>
      <c r="AR30" s="258"/>
      <c r="AS30" s="257"/>
      <c r="AT30" s="258"/>
      <c r="AU30" s="265"/>
      <c r="AV30" s="258"/>
      <c r="AW30" s="265"/>
      <c r="AX30" s="91">
        <v>22</v>
      </c>
      <c r="AY30" s="92">
        <f t="shared" si="4"/>
        <v>0</v>
      </c>
      <c r="AZ30" s="93">
        <f t="shared" si="0"/>
        <v>0</v>
      </c>
      <c r="BA30" s="94">
        <f t="shared" si="1"/>
        <v>0</v>
      </c>
      <c r="BB30" s="95">
        <f t="shared" si="2"/>
        <v>0</v>
      </c>
      <c r="BC30" s="214"/>
      <c r="BD30" s="197">
        <f t="shared" si="3"/>
        <v>0</v>
      </c>
      <c r="BE30" s="98">
        <f t="shared" si="6"/>
        <v>0</v>
      </c>
      <c r="BF30" s="99"/>
      <c r="BG30" s="86">
        <f>outubro!$BE31</f>
        <v>0</v>
      </c>
      <c r="BH30" s="97"/>
      <c r="BI30" s="197">
        <f t="shared" si="5"/>
        <v>0</v>
      </c>
    </row>
    <row r="31" spans="1:61" ht="21" customHeight="1">
      <c r="A31" s="102">
        <v>23</v>
      </c>
      <c r="B31" s="258"/>
      <c r="C31" s="257"/>
      <c r="D31" s="258"/>
      <c r="E31" s="257"/>
      <c r="F31" s="258"/>
      <c r="G31" s="257"/>
      <c r="H31" s="258"/>
      <c r="I31" s="257"/>
      <c r="J31" s="258"/>
      <c r="K31" s="257"/>
      <c r="L31" s="258"/>
      <c r="M31" s="257"/>
      <c r="N31" s="258"/>
      <c r="O31" s="257"/>
      <c r="P31" s="258"/>
      <c r="Q31" s="257"/>
      <c r="R31" s="258"/>
      <c r="S31" s="257"/>
      <c r="T31" s="258"/>
      <c r="U31" s="257"/>
      <c r="V31" s="258"/>
      <c r="W31" s="257"/>
      <c r="X31" s="258"/>
      <c r="Y31" s="257"/>
      <c r="Z31" s="258"/>
      <c r="AA31" s="257"/>
      <c r="AB31" s="258"/>
      <c r="AC31" s="257"/>
      <c r="AD31" s="258"/>
      <c r="AE31" s="257"/>
      <c r="AF31" s="258"/>
      <c r="AG31" s="257"/>
      <c r="AH31" s="258"/>
      <c r="AI31" s="257"/>
      <c r="AJ31" s="258"/>
      <c r="AK31" s="265"/>
      <c r="AL31" s="258">
        <v>6.5</v>
      </c>
      <c r="AM31" s="257">
        <v>50</v>
      </c>
      <c r="AN31" s="258">
        <v>0.4</v>
      </c>
      <c r="AO31" s="257">
        <v>25</v>
      </c>
      <c r="AP31" s="258"/>
      <c r="AQ31" s="265"/>
      <c r="AR31" s="269">
        <v>1.6</v>
      </c>
      <c r="AS31" s="257">
        <v>25</v>
      </c>
      <c r="AT31" s="258">
        <v>5</v>
      </c>
      <c r="AU31" s="265">
        <v>60</v>
      </c>
      <c r="AV31" s="258">
        <v>15.7</v>
      </c>
      <c r="AW31" s="265">
        <v>60</v>
      </c>
      <c r="AX31" s="91">
        <v>23</v>
      </c>
      <c r="AY31" s="92">
        <f t="shared" si="4"/>
        <v>29.2</v>
      </c>
      <c r="AZ31" s="93">
        <f t="shared" si="0"/>
        <v>220</v>
      </c>
      <c r="BA31" s="94">
        <f t="shared" si="1"/>
        <v>15.7</v>
      </c>
      <c r="BB31" s="95">
        <f t="shared" si="2"/>
        <v>5</v>
      </c>
      <c r="BC31" s="214"/>
      <c r="BD31" s="197">
        <f t="shared" si="3"/>
        <v>1</v>
      </c>
      <c r="BE31" s="98">
        <f t="shared" si="6"/>
        <v>0</v>
      </c>
      <c r="BF31" s="99"/>
      <c r="BG31" s="86">
        <f>outubro!$BE32</f>
        <v>33.400000000000006</v>
      </c>
      <c r="BH31" s="97"/>
      <c r="BI31" s="197">
        <f t="shared" si="5"/>
        <v>0</v>
      </c>
    </row>
    <row r="32" spans="1:61" ht="21" customHeight="1">
      <c r="A32" s="71">
        <v>24</v>
      </c>
      <c r="B32" s="258">
        <v>3</v>
      </c>
      <c r="C32" s="257">
        <v>55</v>
      </c>
      <c r="D32" s="258">
        <v>0.7</v>
      </c>
      <c r="E32" s="257">
        <v>50</v>
      </c>
      <c r="F32" s="258">
        <v>0.5</v>
      </c>
      <c r="G32" s="257">
        <v>45</v>
      </c>
      <c r="H32" s="258"/>
      <c r="I32" s="257"/>
      <c r="J32" s="258"/>
      <c r="K32" s="257"/>
      <c r="L32" s="258"/>
      <c r="M32" s="257"/>
      <c r="N32" s="258"/>
      <c r="O32" s="257"/>
      <c r="P32" s="258"/>
      <c r="Q32" s="257"/>
      <c r="R32" s="258"/>
      <c r="S32" s="257"/>
      <c r="T32" s="258"/>
      <c r="U32" s="257"/>
      <c r="V32" s="258">
        <v>0.3</v>
      </c>
      <c r="W32" s="257">
        <v>5</v>
      </c>
      <c r="X32" s="258">
        <v>0.2</v>
      </c>
      <c r="Y32" s="257">
        <v>15</v>
      </c>
      <c r="Z32" s="258"/>
      <c r="AA32" s="257"/>
      <c r="AB32" s="258"/>
      <c r="AC32" s="257"/>
      <c r="AD32" s="258">
        <v>0.1</v>
      </c>
      <c r="AE32" s="257">
        <v>5</v>
      </c>
      <c r="AF32" s="258"/>
      <c r="AG32" s="257"/>
      <c r="AH32" s="258"/>
      <c r="AI32" s="257"/>
      <c r="AJ32" s="258"/>
      <c r="AK32" s="265"/>
      <c r="AL32" s="258"/>
      <c r="AM32" s="257"/>
      <c r="AN32" s="258">
        <v>0.1</v>
      </c>
      <c r="AO32" s="257">
        <v>20</v>
      </c>
      <c r="AP32" s="258">
        <v>1.3</v>
      </c>
      <c r="AQ32" s="265">
        <v>35</v>
      </c>
      <c r="AR32" s="269">
        <v>2.5</v>
      </c>
      <c r="AS32" s="257">
        <v>60</v>
      </c>
      <c r="AT32" s="258">
        <v>3.1</v>
      </c>
      <c r="AU32" s="265">
        <v>60</v>
      </c>
      <c r="AV32" s="258">
        <v>0.5</v>
      </c>
      <c r="AW32" s="265">
        <v>35</v>
      </c>
      <c r="AX32" s="91">
        <v>24</v>
      </c>
      <c r="AY32" s="92">
        <f t="shared" si="4"/>
        <v>12.299999999999999</v>
      </c>
      <c r="AZ32" s="93">
        <f t="shared" si="0"/>
        <v>385</v>
      </c>
      <c r="BA32" s="94">
        <f t="shared" si="1"/>
        <v>3.1</v>
      </c>
      <c r="BB32" s="95">
        <f t="shared" si="2"/>
        <v>11</v>
      </c>
      <c r="BC32" s="214"/>
      <c r="BD32" s="197">
        <f t="shared" si="3"/>
        <v>1</v>
      </c>
      <c r="BE32" s="98">
        <f t="shared" si="6"/>
        <v>33.400000000000006</v>
      </c>
      <c r="BF32" s="99"/>
      <c r="BG32" s="86">
        <f>outubro!$BE33</f>
        <v>20.599999999999998</v>
      </c>
      <c r="BH32" s="97"/>
      <c r="BI32" s="197">
        <f t="shared" si="5"/>
        <v>0</v>
      </c>
    </row>
    <row r="33" spans="1:61" ht="21" customHeight="1">
      <c r="A33" s="71">
        <v>25</v>
      </c>
      <c r="B33" s="258"/>
      <c r="C33" s="257"/>
      <c r="D33" s="258">
        <v>0.7</v>
      </c>
      <c r="E33" s="257">
        <v>20</v>
      </c>
      <c r="F33" s="258"/>
      <c r="G33" s="257"/>
      <c r="H33" s="258">
        <v>0.2</v>
      </c>
      <c r="I33" s="257">
        <v>5</v>
      </c>
      <c r="J33" s="258">
        <v>6</v>
      </c>
      <c r="K33" s="257">
        <v>40</v>
      </c>
      <c r="L33" s="258">
        <v>4.3</v>
      </c>
      <c r="M33" s="257">
        <v>60</v>
      </c>
      <c r="N33" s="258">
        <v>1.3</v>
      </c>
      <c r="O33" s="257">
        <v>60</v>
      </c>
      <c r="P33" s="258"/>
      <c r="Q33" s="257"/>
      <c r="R33" s="258"/>
      <c r="S33" s="257"/>
      <c r="T33" s="258"/>
      <c r="U33" s="257"/>
      <c r="V33" s="258"/>
      <c r="W33" s="257"/>
      <c r="X33" s="258"/>
      <c r="Y33" s="257"/>
      <c r="Z33" s="258"/>
      <c r="AA33" s="257"/>
      <c r="AB33" s="258"/>
      <c r="AC33" s="257"/>
      <c r="AD33" s="258"/>
      <c r="AE33" s="257"/>
      <c r="AF33" s="258"/>
      <c r="AG33" s="257"/>
      <c r="AH33" s="258"/>
      <c r="AI33" s="257"/>
      <c r="AJ33" s="258"/>
      <c r="AK33" s="265"/>
      <c r="AL33" s="258"/>
      <c r="AM33" s="257"/>
      <c r="AN33" s="258"/>
      <c r="AO33" s="257"/>
      <c r="AP33" s="258"/>
      <c r="AQ33" s="265"/>
      <c r="AR33" s="269"/>
      <c r="AS33" s="257"/>
      <c r="AT33" s="258"/>
      <c r="AU33" s="265"/>
      <c r="AV33" s="258"/>
      <c r="AW33" s="265"/>
      <c r="AX33" s="91">
        <v>25</v>
      </c>
      <c r="AY33" s="92">
        <f t="shared" si="4"/>
        <v>12.5</v>
      </c>
      <c r="AZ33" s="93">
        <f t="shared" si="0"/>
        <v>185</v>
      </c>
      <c r="BA33" s="94">
        <f t="shared" si="1"/>
        <v>6</v>
      </c>
      <c r="BB33" s="95">
        <f t="shared" si="2"/>
        <v>5</v>
      </c>
      <c r="BC33" s="214"/>
      <c r="BD33" s="197">
        <f t="shared" si="3"/>
        <v>1</v>
      </c>
      <c r="BE33" s="98">
        <f t="shared" si="6"/>
        <v>20.599999999999998</v>
      </c>
      <c r="BF33" s="99"/>
      <c r="BG33" s="86">
        <f>outubro!$BE34</f>
        <v>0</v>
      </c>
      <c r="BH33" s="97"/>
      <c r="BI33" s="197">
        <f t="shared" si="5"/>
        <v>0</v>
      </c>
    </row>
    <row r="34" spans="1:61" ht="21" customHeight="1">
      <c r="A34" s="71">
        <v>26</v>
      </c>
      <c r="B34" s="258"/>
      <c r="C34" s="257"/>
      <c r="D34" s="258"/>
      <c r="E34" s="257"/>
      <c r="F34" s="258"/>
      <c r="G34" s="257"/>
      <c r="H34" s="258"/>
      <c r="I34" s="257"/>
      <c r="J34" s="258"/>
      <c r="K34" s="257"/>
      <c r="L34" s="258"/>
      <c r="M34" s="257"/>
      <c r="N34" s="258"/>
      <c r="O34" s="257"/>
      <c r="P34" s="258"/>
      <c r="Q34" s="257"/>
      <c r="R34" s="258"/>
      <c r="S34" s="257"/>
      <c r="T34" s="258"/>
      <c r="U34" s="257"/>
      <c r="V34" s="258"/>
      <c r="W34" s="257"/>
      <c r="X34" s="258"/>
      <c r="Y34" s="257"/>
      <c r="Z34" s="258"/>
      <c r="AA34" s="257"/>
      <c r="AB34" s="258"/>
      <c r="AC34" s="257"/>
      <c r="AD34" s="258"/>
      <c r="AE34" s="257"/>
      <c r="AF34" s="258"/>
      <c r="AG34" s="257"/>
      <c r="AH34" s="258"/>
      <c r="AI34" s="257"/>
      <c r="AJ34" s="258"/>
      <c r="AK34" s="265"/>
      <c r="AL34" s="258"/>
      <c r="AM34" s="257"/>
      <c r="AN34" s="258"/>
      <c r="AO34" s="257"/>
      <c r="AP34" s="258"/>
      <c r="AQ34" s="265"/>
      <c r="AR34" s="258">
        <v>0.2</v>
      </c>
      <c r="AS34" s="257">
        <v>10</v>
      </c>
      <c r="AT34" s="258">
        <v>0.5</v>
      </c>
      <c r="AU34" s="265">
        <v>50</v>
      </c>
      <c r="AV34" s="258"/>
      <c r="AW34" s="265"/>
      <c r="AX34" s="91">
        <v>26</v>
      </c>
      <c r="AY34" s="92">
        <f t="shared" si="4"/>
        <v>0.7</v>
      </c>
      <c r="AZ34" s="93">
        <f t="shared" si="0"/>
        <v>60</v>
      </c>
      <c r="BA34" s="94">
        <f t="shared" si="1"/>
        <v>0.5</v>
      </c>
      <c r="BB34" s="95">
        <f t="shared" si="2"/>
        <v>2</v>
      </c>
      <c r="BC34" s="214"/>
      <c r="BD34" s="197">
        <f t="shared" si="3"/>
        <v>1</v>
      </c>
      <c r="BE34" s="98">
        <f t="shared" si="6"/>
        <v>0</v>
      </c>
      <c r="BF34" s="99"/>
      <c r="BG34" s="86">
        <f>outubro!$BE35</f>
        <v>0.79999999999999993</v>
      </c>
      <c r="BH34" s="97"/>
      <c r="BI34" s="197">
        <f t="shared" si="5"/>
        <v>0</v>
      </c>
    </row>
    <row r="35" spans="1:61" ht="21" customHeight="1">
      <c r="A35" s="71">
        <v>27</v>
      </c>
      <c r="B35" s="258"/>
      <c r="C35" s="257"/>
      <c r="D35" s="258">
        <v>0.1</v>
      </c>
      <c r="E35" s="257">
        <v>20</v>
      </c>
      <c r="F35" s="258"/>
      <c r="G35" s="257"/>
      <c r="H35" s="258"/>
      <c r="I35" s="257"/>
      <c r="J35" s="258"/>
      <c r="K35" s="257"/>
      <c r="L35" s="258"/>
      <c r="M35" s="257"/>
      <c r="N35" s="258"/>
      <c r="O35" s="257"/>
      <c r="P35" s="258"/>
      <c r="Q35" s="257"/>
      <c r="R35" s="258"/>
      <c r="S35" s="257"/>
      <c r="T35" s="258">
        <v>0.1</v>
      </c>
      <c r="U35" s="257">
        <v>5</v>
      </c>
      <c r="V35" s="258"/>
      <c r="W35" s="257"/>
      <c r="X35" s="258"/>
      <c r="Y35" s="257"/>
      <c r="Z35" s="258"/>
      <c r="AA35" s="257"/>
      <c r="AB35" s="258">
        <v>2.7</v>
      </c>
      <c r="AC35" s="257">
        <v>20</v>
      </c>
      <c r="AD35" s="258">
        <v>0.8</v>
      </c>
      <c r="AE35" s="257">
        <v>45</v>
      </c>
      <c r="AF35" s="258">
        <v>0.1</v>
      </c>
      <c r="AG35" s="257">
        <v>5</v>
      </c>
      <c r="AH35" s="258"/>
      <c r="AI35" s="257"/>
      <c r="AJ35" s="258"/>
      <c r="AK35" s="265"/>
      <c r="AL35" s="258"/>
      <c r="AM35" s="257"/>
      <c r="AN35" s="258"/>
      <c r="AO35" s="257"/>
      <c r="AP35" s="258"/>
      <c r="AQ35" s="265"/>
      <c r="AR35" s="258"/>
      <c r="AS35" s="257"/>
      <c r="AT35" s="258"/>
      <c r="AU35" s="265"/>
      <c r="AV35" s="258"/>
      <c r="AW35" s="265"/>
      <c r="AX35" s="91">
        <v>27</v>
      </c>
      <c r="AY35" s="92">
        <f t="shared" si="4"/>
        <v>3.8000000000000003</v>
      </c>
      <c r="AZ35" s="93">
        <f t="shared" si="0"/>
        <v>95</v>
      </c>
      <c r="BA35" s="94">
        <f t="shared" si="1"/>
        <v>2.7</v>
      </c>
      <c r="BB35" s="95">
        <f t="shared" si="2"/>
        <v>5</v>
      </c>
      <c r="BC35" s="214"/>
      <c r="BD35" s="197">
        <f t="shared" si="3"/>
        <v>1</v>
      </c>
      <c r="BE35" s="98">
        <f t="shared" si="6"/>
        <v>0.79999999999999993</v>
      </c>
      <c r="BF35" s="99"/>
      <c r="BG35" s="86">
        <f>outubro!$BE36</f>
        <v>3.7000000000000006</v>
      </c>
      <c r="BH35" s="97"/>
      <c r="BI35" s="197">
        <f t="shared" si="5"/>
        <v>0</v>
      </c>
    </row>
    <row r="36" spans="1:61" ht="21" customHeight="1">
      <c r="A36" s="71">
        <v>28</v>
      </c>
      <c r="B36" s="258"/>
      <c r="C36" s="257"/>
      <c r="D36" s="258"/>
      <c r="E36" s="257"/>
      <c r="F36" s="258"/>
      <c r="G36" s="257"/>
      <c r="H36" s="258"/>
      <c r="I36" s="257"/>
      <c r="J36" s="258"/>
      <c r="K36" s="257"/>
      <c r="L36" s="258"/>
      <c r="M36" s="257"/>
      <c r="N36" s="258"/>
      <c r="O36" s="257"/>
      <c r="P36" s="258"/>
      <c r="Q36" s="257"/>
      <c r="R36" s="258"/>
      <c r="S36" s="257"/>
      <c r="T36" s="258"/>
      <c r="U36" s="257"/>
      <c r="V36" s="258"/>
      <c r="W36" s="257"/>
      <c r="X36" s="258"/>
      <c r="Y36" s="257"/>
      <c r="Z36" s="258"/>
      <c r="AA36" s="257"/>
      <c r="AB36" s="258"/>
      <c r="AC36" s="257"/>
      <c r="AD36" s="258"/>
      <c r="AE36" s="257"/>
      <c r="AF36" s="258">
        <v>1.3</v>
      </c>
      <c r="AG36" s="257">
        <v>40</v>
      </c>
      <c r="AH36" s="258"/>
      <c r="AI36" s="257"/>
      <c r="AJ36" s="258"/>
      <c r="AK36" s="265"/>
      <c r="AL36" s="258"/>
      <c r="AM36" s="257"/>
      <c r="AN36" s="258"/>
      <c r="AO36" s="257"/>
      <c r="AP36" s="258"/>
      <c r="AQ36" s="265"/>
      <c r="AR36" s="258"/>
      <c r="AS36" s="257"/>
      <c r="AT36" s="258">
        <v>0.1</v>
      </c>
      <c r="AU36" s="265">
        <v>5</v>
      </c>
      <c r="AV36" s="258"/>
      <c r="AW36" s="265"/>
      <c r="AX36" s="91">
        <v>28</v>
      </c>
      <c r="AY36" s="92">
        <f t="shared" si="4"/>
        <v>1.4000000000000001</v>
      </c>
      <c r="AZ36" s="93">
        <f t="shared" si="0"/>
        <v>45</v>
      </c>
      <c r="BA36" s="94">
        <f t="shared" si="1"/>
        <v>1.3</v>
      </c>
      <c r="BB36" s="95">
        <f t="shared" si="2"/>
        <v>2</v>
      </c>
      <c r="BC36" s="214"/>
      <c r="BD36" s="197">
        <f t="shared" si="3"/>
        <v>1</v>
      </c>
      <c r="BE36" s="98">
        <f t="shared" si="6"/>
        <v>3.7000000000000006</v>
      </c>
      <c r="BF36" s="99"/>
      <c r="BG36" s="86">
        <f>outubro!$BE37</f>
        <v>1.4000000000000001</v>
      </c>
      <c r="BH36" s="97"/>
      <c r="BI36" s="197">
        <f t="shared" si="5"/>
        <v>0</v>
      </c>
    </row>
    <row r="37" spans="1:61" ht="21" customHeight="1">
      <c r="A37" s="71">
        <v>29</v>
      </c>
      <c r="B37" s="258"/>
      <c r="C37" s="257"/>
      <c r="D37" s="258"/>
      <c r="E37" s="257"/>
      <c r="F37" s="258"/>
      <c r="G37" s="257"/>
      <c r="H37" s="258"/>
      <c r="I37" s="257"/>
      <c r="J37" s="258"/>
      <c r="K37" s="257"/>
      <c r="L37" s="258"/>
      <c r="M37" s="257"/>
      <c r="N37" s="258"/>
      <c r="O37" s="257"/>
      <c r="P37" s="258"/>
      <c r="Q37" s="257"/>
      <c r="R37" s="258"/>
      <c r="S37" s="257"/>
      <c r="T37" s="258"/>
      <c r="U37" s="257"/>
      <c r="V37" s="258"/>
      <c r="W37" s="257"/>
      <c r="X37" s="258"/>
      <c r="Y37" s="257"/>
      <c r="Z37" s="258"/>
      <c r="AA37" s="257"/>
      <c r="AB37" s="258"/>
      <c r="AC37" s="257"/>
      <c r="AD37" s="258"/>
      <c r="AE37" s="257"/>
      <c r="AF37" s="258"/>
      <c r="AG37" s="257"/>
      <c r="AH37" s="258"/>
      <c r="AI37" s="257"/>
      <c r="AJ37" s="258"/>
      <c r="AK37" s="265"/>
      <c r="AL37" s="258"/>
      <c r="AM37" s="257"/>
      <c r="AN37" s="258"/>
      <c r="AO37" s="257"/>
      <c r="AP37" s="258"/>
      <c r="AQ37" s="265"/>
      <c r="AR37" s="258"/>
      <c r="AS37" s="257"/>
      <c r="AT37" s="258"/>
      <c r="AU37" s="270"/>
      <c r="AV37" s="258"/>
      <c r="AW37" s="265"/>
      <c r="AX37" s="111">
        <v>29</v>
      </c>
      <c r="AY37" s="92">
        <f t="shared" si="4"/>
        <v>0</v>
      </c>
      <c r="AZ37" s="93">
        <f t="shared" si="0"/>
        <v>0</v>
      </c>
      <c r="BA37" s="94">
        <f t="shared" si="1"/>
        <v>0</v>
      </c>
      <c r="BB37" s="95">
        <f t="shared" si="2"/>
        <v>0</v>
      </c>
      <c r="BC37" s="214"/>
      <c r="BD37" s="197">
        <f t="shared" si="3"/>
        <v>0</v>
      </c>
      <c r="BE37" s="98">
        <f t="shared" si="6"/>
        <v>1.4000000000000001</v>
      </c>
      <c r="BF37" s="99"/>
      <c r="BG37" s="86">
        <f>outubro!$BE38</f>
        <v>0</v>
      </c>
      <c r="BH37" s="97"/>
      <c r="BI37" s="197">
        <f t="shared" si="5"/>
        <v>0</v>
      </c>
    </row>
    <row r="38" spans="1:61" ht="21" customHeight="1" thickBot="1">
      <c r="A38" s="71">
        <v>30</v>
      </c>
      <c r="B38" s="269"/>
      <c r="C38" s="257"/>
      <c r="D38" s="258"/>
      <c r="E38" s="257"/>
      <c r="F38" s="258"/>
      <c r="G38" s="257"/>
      <c r="H38" s="258"/>
      <c r="I38" s="257"/>
      <c r="J38" s="258"/>
      <c r="K38" s="257"/>
      <c r="L38" s="258"/>
      <c r="M38" s="257"/>
      <c r="N38" s="258"/>
      <c r="O38" s="257"/>
      <c r="P38" s="258"/>
      <c r="Q38" s="257"/>
      <c r="R38" s="258"/>
      <c r="S38" s="257"/>
      <c r="T38" s="258"/>
      <c r="U38" s="257"/>
      <c r="V38" s="258"/>
      <c r="W38" s="257"/>
      <c r="X38" s="258"/>
      <c r="Y38" s="257"/>
      <c r="Z38" s="258"/>
      <c r="AA38" s="257"/>
      <c r="AB38" s="258"/>
      <c r="AC38" s="257"/>
      <c r="AD38" s="258"/>
      <c r="AE38" s="257"/>
      <c r="AF38" s="258"/>
      <c r="AG38" s="257"/>
      <c r="AH38" s="258"/>
      <c r="AI38" s="257"/>
      <c r="AJ38" s="258"/>
      <c r="AK38" s="265"/>
      <c r="AL38" s="258"/>
      <c r="AM38" s="257"/>
      <c r="AN38" s="258"/>
      <c r="AO38" s="257"/>
      <c r="AP38" s="258"/>
      <c r="AQ38" s="265"/>
      <c r="AR38" s="321"/>
      <c r="AS38" s="272"/>
      <c r="AT38" s="258"/>
      <c r="AU38" s="265"/>
      <c r="AV38" s="258"/>
      <c r="AW38" s="265"/>
      <c r="AX38" s="111">
        <v>30</v>
      </c>
      <c r="AY38" s="92">
        <f t="shared" si="4"/>
        <v>0</v>
      </c>
      <c r="AZ38" s="93">
        <f t="shared" si="0"/>
        <v>0</v>
      </c>
      <c r="BA38" s="94">
        <f t="shared" si="1"/>
        <v>0</v>
      </c>
      <c r="BB38" s="95">
        <f t="shared" si="2"/>
        <v>0</v>
      </c>
      <c r="BC38" s="214"/>
      <c r="BD38" s="197">
        <f t="shared" si="3"/>
        <v>0</v>
      </c>
      <c r="BE38" s="98">
        <f t="shared" si="6"/>
        <v>0</v>
      </c>
      <c r="BF38" s="99"/>
      <c r="BG38" s="86">
        <f>outubro!$BE39</f>
        <v>0</v>
      </c>
      <c r="BH38" s="97"/>
      <c r="BI38" s="197">
        <f t="shared" si="5"/>
        <v>0</v>
      </c>
    </row>
    <row r="39" spans="1:61" ht="21" customHeight="1" thickBot="1">
      <c r="A39" s="114">
        <v>31</v>
      </c>
      <c r="B39" s="273"/>
      <c r="C39" s="274"/>
      <c r="D39" s="275"/>
      <c r="E39" s="274"/>
      <c r="F39" s="275"/>
      <c r="G39" s="274"/>
      <c r="H39" s="275"/>
      <c r="I39" s="274"/>
      <c r="J39" s="275"/>
      <c r="K39" s="274"/>
      <c r="L39" s="275"/>
      <c r="M39" s="274"/>
      <c r="N39" s="275"/>
      <c r="O39" s="274"/>
      <c r="P39" s="276"/>
      <c r="Q39" s="274"/>
      <c r="R39" s="275"/>
      <c r="S39" s="274"/>
      <c r="T39" s="275"/>
      <c r="U39" s="274"/>
      <c r="V39" s="275"/>
      <c r="W39" s="274"/>
      <c r="X39" s="275"/>
      <c r="Y39" s="274"/>
      <c r="Z39" s="275"/>
      <c r="AA39" s="274"/>
      <c r="AB39" s="275"/>
      <c r="AC39" s="274"/>
      <c r="AD39" s="275"/>
      <c r="AE39" s="274"/>
      <c r="AF39" s="275"/>
      <c r="AG39" s="274"/>
      <c r="AH39" s="275"/>
      <c r="AI39" s="274"/>
      <c r="AJ39" s="275"/>
      <c r="AK39" s="277"/>
      <c r="AL39" s="278"/>
      <c r="AM39" s="274"/>
      <c r="AN39" s="275"/>
      <c r="AO39" s="274"/>
      <c r="AP39" s="275"/>
      <c r="AQ39" s="279"/>
      <c r="AR39" s="275"/>
      <c r="AS39" s="274"/>
      <c r="AT39" s="275"/>
      <c r="AU39" s="279"/>
      <c r="AV39" s="280"/>
      <c r="AW39" s="279"/>
      <c r="AX39" s="123">
        <v>31</v>
      </c>
      <c r="AY39" s="92">
        <f t="shared" si="4"/>
        <v>0</v>
      </c>
      <c r="AZ39" s="93">
        <f t="shared" si="0"/>
        <v>0</v>
      </c>
      <c r="BA39" s="94">
        <f t="shared" si="1"/>
        <v>0</v>
      </c>
      <c r="BB39" s="95">
        <f t="shared" si="2"/>
        <v>0</v>
      </c>
      <c r="BC39" s="214"/>
      <c r="BD39" s="197">
        <f t="shared" si="3"/>
        <v>0</v>
      </c>
      <c r="BE39" s="98">
        <f>P38+R38+T38+V38+X38+Z38+AB38+AD38+AF38+AH38+AJ38+AL38+AN38+AP38+AR38+AT38+AV38+B39+D39+F39+H39+J39+L39+N39</f>
        <v>0</v>
      </c>
      <c r="BF39" s="99"/>
      <c r="BG39" s="228">
        <f>outubro!$BH40</f>
        <v>0</v>
      </c>
      <c r="BH39" s="125" t="s">
        <v>94</v>
      </c>
      <c r="BI39" s="197">
        <f t="shared" si="5"/>
        <v>1</v>
      </c>
    </row>
    <row r="40" spans="1:61" ht="21" customHeight="1" thickBot="1">
      <c r="A40" s="284">
        <v>1</v>
      </c>
      <c r="B40" s="331"/>
      <c r="C40" s="332"/>
      <c r="D40" s="333"/>
      <c r="E40" s="332"/>
      <c r="F40" s="333"/>
      <c r="G40" s="332"/>
      <c r="H40" s="334"/>
      <c r="I40" s="332"/>
      <c r="J40" s="333"/>
      <c r="K40" s="332"/>
      <c r="L40" s="333"/>
      <c r="M40" s="332"/>
      <c r="N40" s="333"/>
      <c r="O40" s="335"/>
      <c r="P40" s="131"/>
      <c r="Q40" s="32"/>
      <c r="R40" s="31"/>
      <c r="S40" s="32"/>
      <c r="T40" s="31"/>
      <c r="U40" s="32"/>
      <c r="V40" s="31"/>
      <c r="W40" s="32"/>
      <c r="X40" s="31"/>
      <c r="Y40" s="32"/>
      <c r="Z40" s="31"/>
      <c r="AA40" s="32"/>
      <c r="AB40" s="31"/>
      <c r="AC40" s="32"/>
      <c r="AD40" s="31"/>
      <c r="AE40" s="32"/>
      <c r="AF40" s="31"/>
      <c r="AG40" s="32"/>
      <c r="AH40" s="31"/>
      <c r="AI40" s="32"/>
      <c r="AJ40" s="31"/>
      <c r="AK40" s="32"/>
      <c r="AL40" s="31"/>
      <c r="AM40" s="32"/>
      <c r="AN40" s="31"/>
      <c r="AO40" s="32"/>
      <c r="AP40" s="31"/>
      <c r="AQ40" s="32"/>
      <c r="AR40" s="31"/>
      <c r="AS40" s="32"/>
      <c r="AT40" s="31"/>
      <c r="AU40" s="32"/>
      <c r="AV40" s="31"/>
      <c r="AW40" s="32"/>
      <c r="AX40" s="132"/>
      <c r="AY40" s="231" t="s">
        <v>53</v>
      </c>
      <c r="AZ40" s="232"/>
      <c r="BA40" s="233"/>
      <c r="BB40" s="136"/>
      <c r="BC40" s="214"/>
      <c r="BD40" s="137" t="s">
        <v>54</v>
      </c>
      <c r="BE40" s="138">
        <f>SUM(BE9:BE39)</f>
        <v>102.10000000000001</v>
      </c>
      <c r="BF40" s="232"/>
      <c r="BG40" s="139"/>
      <c r="BH40" s="140">
        <f>P39+R39+T39+V39+X39+Z39+AB39+AD39+AF39+AH39+AJ39+AL39+AN39+AP39+AR39+AT39+AV39+B40+D40+F40+H40+J40+L40+N40</f>
        <v>0</v>
      </c>
      <c r="BI40" s="214"/>
    </row>
    <row r="41" spans="1:61" ht="21" customHeight="1" thickBot="1">
      <c r="A41" s="142"/>
      <c r="B41" s="25" t="s">
        <v>19</v>
      </c>
      <c r="C41" s="25"/>
      <c r="D41" s="316" t="s">
        <v>20</v>
      </c>
      <c r="E41" s="316"/>
      <c r="F41" s="25" t="s">
        <v>21</v>
      </c>
      <c r="G41" s="25"/>
      <c r="H41" s="25" t="s">
        <v>22</v>
      </c>
      <c r="I41" s="25"/>
      <c r="J41" s="317" t="s">
        <v>23</v>
      </c>
      <c r="K41" s="317"/>
      <c r="L41" s="25" t="s">
        <v>24</v>
      </c>
      <c r="M41" s="25"/>
      <c r="N41" s="25" t="s">
        <v>25</v>
      </c>
      <c r="O41" s="25"/>
      <c r="P41" s="37" t="s">
        <v>26</v>
      </c>
      <c r="Q41" s="37"/>
      <c r="R41" s="37" t="s">
        <v>27</v>
      </c>
      <c r="S41" s="37"/>
      <c r="T41" s="37" t="s">
        <v>28</v>
      </c>
      <c r="U41" s="37"/>
      <c r="V41" s="37" t="s">
        <v>29</v>
      </c>
      <c r="W41" s="37"/>
      <c r="X41" s="37" t="s">
        <v>30</v>
      </c>
      <c r="Y41" s="37"/>
      <c r="Z41" s="40" t="s">
        <v>31</v>
      </c>
      <c r="AA41" s="40"/>
      <c r="AB41" s="37" t="s">
        <v>32</v>
      </c>
      <c r="AC41" s="37"/>
      <c r="AD41" s="37" t="s">
        <v>33</v>
      </c>
      <c r="AE41" s="37"/>
      <c r="AF41" s="37" t="s">
        <v>34</v>
      </c>
      <c r="AG41" s="37"/>
      <c r="AH41" s="37" t="s">
        <v>35</v>
      </c>
      <c r="AI41" s="37"/>
      <c r="AJ41" s="37" t="s">
        <v>36</v>
      </c>
      <c r="AK41" s="37"/>
      <c r="AL41" s="37" t="s">
        <v>37</v>
      </c>
      <c r="AM41" s="37"/>
      <c r="AN41" s="37" t="s">
        <v>38</v>
      </c>
      <c r="AO41" s="37"/>
      <c r="AP41" s="37" t="s">
        <v>39</v>
      </c>
      <c r="AQ41" s="37"/>
      <c r="AR41" s="37" t="s">
        <v>40</v>
      </c>
      <c r="AS41" s="37"/>
      <c r="AT41" s="37" t="s">
        <v>41</v>
      </c>
      <c r="AU41" s="37"/>
      <c r="AV41" s="37" t="s">
        <v>42</v>
      </c>
      <c r="AW41" s="37"/>
      <c r="AX41" s="146"/>
      <c r="AY41" s="33" t="s">
        <v>15</v>
      </c>
      <c r="AZ41" s="33" t="s">
        <v>16</v>
      </c>
      <c r="BA41" s="34" t="s">
        <v>17</v>
      </c>
      <c r="BB41" s="34" t="s">
        <v>55</v>
      </c>
      <c r="BC41" s="214"/>
      <c r="BD41" s="137" t="s">
        <v>56</v>
      </c>
      <c r="BE41" s="147">
        <f>MAX(BE9:BE39)</f>
        <v>33.400000000000006</v>
      </c>
      <c r="BF41" s="148"/>
      <c r="BG41" s="148"/>
      <c r="BH41" s="148"/>
      <c r="BI41" s="214"/>
    </row>
    <row r="42" spans="1:61" ht="21" customHeight="1" thickBot="1">
      <c r="A42" s="142"/>
      <c r="B42" s="234" t="s">
        <v>47</v>
      </c>
      <c r="C42" s="235" t="s">
        <v>48</v>
      </c>
      <c r="D42" s="204" t="s">
        <v>47</v>
      </c>
      <c r="E42" s="236" t="s">
        <v>48</v>
      </c>
      <c r="F42" s="204" t="s">
        <v>47</v>
      </c>
      <c r="G42" s="237" t="s">
        <v>48</v>
      </c>
      <c r="H42" s="204" t="s">
        <v>47</v>
      </c>
      <c r="I42" s="237" t="s">
        <v>48</v>
      </c>
      <c r="J42" s="204" t="s">
        <v>47</v>
      </c>
      <c r="K42" s="237" t="s">
        <v>48</v>
      </c>
      <c r="L42" s="204" t="s">
        <v>47</v>
      </c>
      <c r="M42" s="237" t="s">
        <v>48</v>
      </c>
      <c r="N42" s="204" t="s">
        <v>47</v>
      </c>
      <c r="O42" s="237" t="s">
        <v>48</v>
      </c>
      <c r="P42" s="204" t="s">
        <v>47</v>
      </c>
      <c r="Q42" s="237" t="s">
        <v>48</v>
      </c>
      <c r="R42" s="204" t="s">
        <v>47</v>
      </c>
      <c r="S42" s="237" t="s">
        <v>48</v>
      </c>
      <c r="T42" s="204" t="s">
        <v>47</v>
      </c>
      <c r="U42" s="237" t="s">
        <v>48</v>
      </c>
      <c r="V42" s="204" t="s">
        <v>47</v>
      </c>
      <c r="W42" s="237" t="s">
        <v>48</v>
      </c>
      <c r="X42" s="204" t="s">
        <v>47</v>
      </c>
      <c r="Y42" s="237" t="s">
        <v>48</v>
      </c>
      <c r="Z42" s="204" t="s">
        <v>47</v>
      </c>
      <c r="AA42" s="237" t="s">
        <v>48</v>
      </c>
      <c r="AB42" s="204" t="s">
        <v>47</v>
      </c>
      <c r="AC42" s="237" t="s">
        <v>48</v>
      </c>
      <c r="AD42" s="204" t="s">
        <v>47</v>
      </c>
      <c r="AE42" s="237" t="s">
        <v>48</v>
      </c>
      <c r="AF42" s="204" t="s">
        <v>47</v>
      </c>
      <c r="AG42" s="237" t="s">
        <v>48</v>
      </c>
      <c r="AH42" s="204" t="s">
        <v>47</v>
      </c>
      <c r="AI42" s="237" t="s">
        <v>48</v>
      </c>
      <c r="AJ42" s="204" t="s">
        <v>47</v>
      </c>
      <c r="AK42" s="205" t="s">
        <v>48</v>
      </c>
      <c r="AL42" s="204" t="s">
        <v>47</v>
      </c>
      <c r="AM42" s="237" t="s">
        <v>48</v>
      </c>
      <c r="AN42" s="204" t="s">
        <v>47</v>
      </c>
      <c r="AO42" s="237" t="s">
        <v>48</v>
      </c>
      <c r="AP42" s="204" t="s">
        <v>47</v>
      </c>
      <c r="AQ42" s="205" t="s">
        <v>48</v>
      </c>
      <c r="AR42" s="204" t="s">
        <v>47</v>
      </c>
      <c r="AS42" s="237" t="s">
        <v>48</v>
      </c>
      <c r="AT42" s="204" t="s">
        <v>47</v>
      </c>
      <c r="AU42" s="205" t="s">
        <v>48</v>
      </c>
      <c r="AV42" s="204" t="s">
        <v>47</v>
      </c>
      <c r="AW42" s="205" t="s">
        <v>48</v>
      </c>
      <c r="AX42" s="146"/>
      <c r="AY42" s="35" t="s">
        <v>57</v>
      </c>
      <c r="AZ42" s="35" t="s">
        <v>43</v>
      </c>
      <c r="BA42" s="35" t="s">
        <v>44</v>
      </c>
      <c r="BB42" s="35" t="s">
        <v>58</v>
      </c>
      <c r="BC42" s="214"/>
      <c r="BD42" s="137" t="s">
        <v>59</v>
      </c>
      <c r="BE42" s="70">
        <f>COUNTIF(BE9:BE39,"&gt;=1")</f>
        <v>11</v>
      </c>
      <c r="BF42" s="238"/>
      <c r="BG42" s="238"/>
      <c r="BH42" s="238"/>
      <c r="BI42" s="214"/>
    </row>
    <row r="43" spans="1:61" ht="21" customHeight="1" thickBot="1">
      <c r="A43" s="238" t="s">
        <v>60</v>
      </c>
      <c r="B43" s="154">
        <f>SUM(B9:B39)</f>
        <v>3.8</v>
      </c>
      <c r="C43" s="154"/>
      <c r="D43" s="154">
        <f t="shared" ref="D43:AV43" si="7">SUM(D9:D39)</f>
        <v>3.8000000000000003</v>
      </c>
      <c r="E43" s="154"/>
      <c r="F43" s="154">
        <f t="shared" si="7"/>
        <v>1.4</v>
      </c>
      <c r="G43" s="154"/>
      <c r="H43" s="154">
        <f t="shared" si="7"/>
        <v>0.8</v>
      </c>
      <c r="I43" s="154"/>
      <c r="J43" s="154">
        <f t="shared" si="7"/>
        <v>6.6</v>
      </c>
      <c r="K43" s="154"/>
      <c r="L43" s="154">
        <f t="shared" si="7"/>
        <v>5</v>
      </c>
      <c r="M43" s="154"/>
      <c r="N43" s="154">
        <f t="shared" si="7"/>
        <v>1.8</v>
      </c>
      <c r="O43" s="154"/>
      <c r="P43" s="154">
        <f t="shared" si="7"/>
        <v>0.1</v>
      </c>
      <c r="Q43" s="154"/>
      <c r="R43" s="154">
        <f t="shared" si="7"/>
        <v>0.9</v>
      </c>
      <c r="S43" s="154"/>
      <c r="T43" s="154">
        <f t="shared" si="7"/>
        <v>0.6</v>
      </c>
      <c r="U43" s="154"/>
      <c r="V43" s="154">
        <f t="shared" si="7"/>
        <v>4.3</v>
      </c>
      <c r="W43" s="154"/>
      <c r="X43" s="154">
        <f t="shared" si="7"/>
        <v>1.1000000000000001</v>
      </c>
      <c r="Y43" s="154"/>
      <c r="Z43" s="154">
        <f t="shared" si="7"/>
        <v>3.2</v>
      </c>
      <c r="AA43" s="154"/>
      <c r="AB43" s="154">
        <f t="shared" si="7"/>
        <v>3.5</v>
      </c>
      <c r="AC43" s="154"/>
      <c r="AD43" s="154">
        <f t="shared" si="7"/>
        <v>0.9</v>
      </c>
      <c r="AE43" s="154"/>
      <c r="AF43" s="154">
        <f t="shared" si="7"/>
        <v>2</v>
      </c>
      <c r="AG43" s="154"/>
      <c r="AH43" s="154">
        <f t="shared" si="7"/>
        <v>0.4</v>
      </c>
      <c r="AI43" s="154"/>
      <c r="AJ43" s="154">
        <f t="shared" si="7"/>
        <v>0.89999999999999991</v>
      </c>
      <c r="AK43" s="154"/>
      <c r="AL43" s="154">
        <f t="shared" si="7"/>
        <v>7.5</v>
      </c>
      <c r="AM43" s="154"/>
      <c r="AN43" s="154">
        <f t="shared" si="7"/>
        <v>12.1</v>
      </c>
      <c r="AO43" s="154"/>
      <c r="AP43" s="154">
        <f t="shared" si="7"/>
        <v>4.8000000000000007</v>
      </c>
      <c r="AQ43" s="154"/>
      <c r="AR43" s="154">
        <f t="shared" si="7"/>
        <v>5.9</v>
      </c>
      <c r="AS43" s="154"/>
      <c r="AT43" s="154">
        <f t="shared" si="7"/>
        <v>11.2</v>
      </c>
      <c r="AU43" s="154"/>
      <c r="AV43" s="154">
        <f t="shared" si="7"/>
        <v>19.5</v>
      </c>
      <c r="AW43" s="154"/>
      <c r="AX43" s="146"/>
      <c r="AY43" s="53" t="s">
        <v>49</v>
      </c>
      <c r="AZ43" s="53" t="s">
        <v>50</v>
      </c>
      <c r="BA43" s="54" t="s">
        <v>51</v>
      </c>
      <c r="BB43" s="54" t="s">
        <v>61</v>
      </c>
      <c r="BC43" s="214"/>
      <c r="BD43" s="137"/>
      <c r="BE43" s="70"/>
      <c r="BF43" s="238"/>
      <c r="BG43" s="238"/>
      <c r="BH43" s="238"/>
      <c r="BI43" s="214"/>
    </row>
    <row r="44" spans="1:61" s="161" customFormat="1" ht="21" customHeight="1" thickBot="1">
      <c r="A44" s="238" t="s">
        <v>62</v>
      </c>
      <c r="B44" s="155"/>
      <c r="C44" s="155">
        <f>SUM(C9:C39)</f>
        <v>205</v>
      </c>
      <c r="D44" s="155"/>
      <c r="E44" s="155">
        <f t="shared" ref="E44:AW44" si="8">SUM(E9:E39)</f>
        <v>240</v>
      </c>
      <c r="F44" s="155"/>
      <c r="G44" s="155">
        <f t="shared" si="8"/>
        <v>150</v>
      </c>
      <c r="H44" s="155"/>
      <c r="I44" s="155">
        <f t="shared" si="8"/>
        <v>125</v>
      </c>
      <c r="J44" s="155"/>
      <c r="K44" s="155">
        <f t="shared" si="8"/>
        <v>155</v>
      </c>
      <c r="L44" s="155"/>
      <c r="M44" s="155">
        <f t="shared" si="8"/>
        <v>185</v>
      </c>
      <c r="N44" s="155"/>
      <c r="O44" s="155">
        <f t="shared" si="8"/>
        <v>140</v>
      </c>
      <c r="P44" s="155"/>
      <c r="Q44" s="155">
        <f t="shared" si="8"/>
        <v>10</v>
      </c>
      <c r="R44" s="155"/>
      <c r="S44" s="155">
        <f t="shared" si="8"/>
        <v>70</v>
      </c>
      <c r="T44" s="155"/>
      <c r="U44" s="155">
        <f t="shared" si="8"/>
        <v>80</v>
      </c>
      <c r="V44" s="155"/>
      <c r="W44" s="155">
        <f t="shared" si="8"/>
        <v>115</v>
      </c>
      <c r="X44" s="155"/>
      <c r="Y44" s="155">
        <f t="shared" si="8"/>
        <v>75</v>
      </c>
      <c r="Z44" s="155"/>
      <c r="AA44" s="155">
        <f t="shared" si="8"/>
        <v>70</v>
      </c>
      <c r="AB44" s="155"/>
      <c r="AC44" s="155">
        <f t="shared" si="8"/>
        <v>60</v>
      </c>
      <c r="AD44" s="155"/>
      <c r="AE44" s="155">
        <f t="shared" si="8"/>
        <v>50</v>
      </c>
      <c r="AF44" s="155"/>
      <c r="AG44" s="155">
        <f t="shared" si="8"/>
        <v>110</v>
      </c>
      <c r="AH44" s="155"/>
      <c r="AI44" s="155">
        <f t="shared" si="8"/>
        <v>45</v>
      </c>
      <c r="AJ44" s="155"/>
      <c r="AK44" s="155">
        <f t="shared" si="8"/>
        <v>40</v>
      </c>
      <c r="AL44" s="155"/>
      <c r="AM44" s="155">
        <f t="shared" si="8"/>
        <v>140</v>
      </c>
      <c r="AN44" s="155"/>
      <c r="AO44" s="155">
        <f t="shared" si="8"/>
        <v>150</v>
      </c>
      <c r="AP44" s="155"/>
      <c r="AQ44" s="155">
        <f t="shared" si="8"/>
        <v>115</v>
      </c>
      <c r="AR44" s="155"/>
      <c r="AS44" s="155">
        <f t="shared" si="8"/>
        <v>275</v>
      </c>
      <c r="AT44" s="155"/>
      <c r="AU44" s="155">
        <f t="shared" si="8"/>
        <v>355</v>
      </c>
      <c r="AV44" s="155"/>
      <c r="AW44" s="155">
        <f t="shared" si="8"/>
        <v>275</v>
      </c>
      <c r="AX44" s="239"/>
      <c r="AY44" s="336">
        <f>SUM(AY9:AY39)</f>
        <v>102.10000000000001</v>
      </c>
      <c r="AZ44" s="337">
        <f>SUM(AZ10:AZ39)</f>
        <v>3235</v>
      </c>
      <c r="BA44" s="154">
        <f>MAX(BA9:BA39)</f>
        <v>15.7</v>
      </c>
      <c r="BB44" s="155">
        <f>SUM(BB8:BB39)</f>
        <v>93</v>
      </c>
      <c r="BC44" s="42"/>
      <c r="BD44" s="197"/>
      <c r="BE44" s="240"/>
      <c r="BF44" s="241"/>
      <c r="BG44" s="240"/>
      <c r="BH44" s="242"/>
      <c r="BI44" s="214"/>
    </row>
    <row r="45" spans="1:61" s="161" customFormat="1" ht="21" customHeight="1" thickBot="1">
      <c r="A45" s="238" t="s">
        <v>63</v>
      </c>
      <c r="B45" s="155">
        <f>COUNT(B9:B39)</f>
        <v>5</v>
      </c>
      <c r="C45" s="155"/>
      <c r="D45" s="155">
        <f t="shared" ref="D45:AV45" si="9">COUNT(D9:D39)</f>
        <v>6</v>
      </c>
      <c r="E45" s="155"/>
      <c r="F45" s="155">
        <f t="shared" si="9"/>
        <v>5</v>
      </c>
      <c r="G45" s="155"/>
      <c r="H45" s="155">
        <f t="shared" si="9"/>
        <v>4</v>
      </c>
      <c r="I45" s="155"/>
      <c r="J45" s="155">
        <f t="shared" si="9"/>
        <v>5</v>
      </c>
      <c r="K45" s="155"/>
      <c r="L45" s="155">
        <f t="shared" si="9"/>
        <v>4</v>
      </c>
      <c r="M45" s="155"/>
      <c r="N45" s="155">
        <f t="shared" si="9"/>
        <v>3</v>
      </c>
      <c r="O45" s="155"/>
      <c r="P45" s="155">
        <f t="shared" si="9"/>
        <v>1</v>
      </c>
      <c r="Q45" s="155"/>
      <c r="R45" s="155">
        <f t="shared" si="9"/>
        <v>3</v>
      </c>
      <c r="S45" s="155"/>
      <c r="T45" s="155">
        <f t="shared" si="9"/>
        <v>3</v>
      </c>
      <c r="U45" s="155"/>
      <c r="V45" s="155">
        <f t="shared" si="9"/>
        <v>3</v>
      </c>
      <c r="W45" s="155"/>
      <c r="X45" s="155">
        <f t="shared" si="9"/>
        <v>2</v>
      </c>
      <c r="Y45" s="155"/>
      <c r="Z45" s="155">
        <f t="shared" si="9"/>
        <v>2</v>
      </c>
      <c r="AA45" s="155"/>
      <c r="AB45" s="155">
        <f t="shared" si="9"/>
        <v>2</v>
      </c>
      <c r="AC45" s="155"/>
      <c r="AD45" s="155">
        <f t="shared" si="9"/>
        <v>2</v>
      </c>
      <c r="AE45" s="155"/>
      <c r="AF45" s="155">
        <f t="shared" si="9"/>
        <v>4</v>
      </c>
      <c r="AG45" s="155"/>
      <c r="AH45" s="155">
        <f t="shared" si="9"/>
        <v>1</v>
      </c>
      <c r="AI45" s="155"/>
      <c r="AJ45" s="155">
        <f t="shared" si="9"/>
        <v>2</v>
      </c>
      <c r="AK45" s="155"/>
      <c r="AL45" s="155">
        <f t="shared" si="9"/>
        <v>3</v>
      </c>
      <c r="AM45" s="155"/>
      <c r="AN45" s="155">
        <f t="shared" si="9"/>
        <v>5</v>
      </c>
      <c r="AO45" s="155"/>
      <c r="AP45" s="155">
        <f t="shared" si="9"/>
        <v>6</v>
      </c>
      <c r="AQ45" s="155"/>
      <c r="AR45" s="155">
        <f t="shared" si="9"/>
        <v>7</v>
      </c>
      <c r="AS45" s="155"/>
      <c r="AT45" s="155">
        <f t="shared" si="9"/>
        <v>8</v>
      </c>
      <c r="AU45" s="155"/>
      <c r="AV45" s="155">
        <f t="shared" si="9"/>
        <v>7</v>
      </c>
      <c r="AW45" s="155"/>
      <c r="AX45" s="243"/>
      <c r="AY45" s="164" t="s">
        <v>64</v>
      </c>
      <c r="AZ45" s="165" t="s">
        <v>65</v>
      </c>
      <c r="BA45" s="240"/>
      <c r="BB45" s="34" t="s">
        <v>66</v>
      </c>
      <c r="BC45" s="214"/>
      <c r="BD45" s="197"/>
      <c r="BE45" s="238"/>
      <c r="BF45" s="241"/>
      <c r="BG45" s="240"/>
      <c r="BH45" s="238"/>
      <c r="BI45" s="214"/>
    </row>
    <row r="46" spans="1:61" s="161" customFormat="1" ht="21" customHeight="1" thickBot="1">
      <c r="A46" s="196"/>
      <c r="B46" s="196"/>
      <c r="C46" s="196"/>
      <c r="D46" s="196"/>
      <c r="E46" s="196"/>
      <c r="F46" s="196"/>
      <c r="G46" s="196"/>
      <c r="H46" s="196"/>
      <c r="I46" s="196"/>
      <c r="J46" s="196"/>
      <c r="K46" s="196"/>
      <c r="L46" s="196"/>
      <c r="M46" s="196"/>
      <c r="N46" s="196"/>
      <c r="O46" s="196"/>
      <c r="P46" s="196"/>
      <c r="Q46" s="196"/>
      <c r="R46" s="196"/>
      <c r="S46" s="196"/>
      <c r="T46" s="196"/>
      <c r="U46" s="196"/>
      <c r="V46" s="196"/>
      <c r="W46" s="196"/>
      <c r="X46" s="196"/>
      <c r="Y46" s="196"/>
      <c r="Z46" s="196"/>
      <c r="AA46" s="196"/>
      <c r="AB46" s="196"/>
      <c r="AC46" s="196"/>
      <c r="AD46" s="196"/>
      <c r="AE46" s="196"/>
      <c r="AF46" s="196"/>
      <c r="AG46" s="196"/>
      <c r="AH46" s="196"/>
      <c r="AI46" s="196"/>
      <c r="AJ46" s="196"/>
      <c r="AK46" s="196"/>
      <c r="AL46" s="196"/>
      <c r="AM46" s="196"/>
      <c r="AN46" s="196"/>
      <c r="AO46" s="196"/>
      <c r="AP46" s="196"/>
      <c r="AQ46" s="196"/>
      <c r="AR46" s="196"/>
      <c r="AS46" s="196"/>
      <c r="AT46" s="196"/>
      <c r="AU46" s="196"/>
      <c r="AV46" s="196"/>
      <c r="AW46" s="31"/>
      <c r="AX46" s="244"/>
      <c r="AY46" s="338">
        <v>125.45157142857141</v>
      </c>
      <c r="AZ46" s="167"/>
      <c r="BA46" s="245"/>
      <c r="BB46" s="35" t="s">
        <v>58</v>
      </c>
      <c r="BC46" s="214"/>
      <c r="BD46" s="197"/>
      <c r="BE46" s="240"/>
      <c r="BF46" s="238"/>
      <c r="BG46" s="245"/>
      <c r="BH46" s="238"/>
      <c r="BI46" s="214"/>
    </row>
    <row r="47" spans="1:61" s="161" customFormat="1" ht="21" customHeight="1" thickBot="1">
      <c r="A47" s="246"/>
      <c r="B47" s="247" t="s">
        <v>67</v>
      </c>
      <c r="C47" s="248"/>
      <c r="D47" s="248"/>
      <c r="E47" s="248"/>
      <c r="F47" s="248"/>
      <c r="G47" s="248"/>
      <c r="H47" s="248"/>
      <c r="I47" s="248"/>
      <c r="J47" s="248"/>
      <c r="K47" s="248"/>
      <c r="L47" s="248"/>
      <c r="M47" s="248"/>
      <c r="N47" s="242"/>
      <c r="O47" s="242"/>
      <c r="P47" s="242"/>
      <c r="Q47" s="242"/>
      <c r="R47" s="242"/>
      <c r="S47" s="242"/>
      <c r="T47" s="242"/>
      <c r="U47" s="242"/>
      <c r="V47" s="242"/>
      <c r="W47" s="242"/>
      <c r="X47" s="242"/>
      <c r="Y47" s="242"/>
      <c r="Z47" s="242"/>
      <c r="AA47" s="242"/>
      <c r="AB47" s="242"/>
      <c r="AC47" s="242"/>
      <c r="AD47" s="242"/>
      <c r="AE47" s="242"/>
      <c r="AF47" s="242"/>
      <c r="AG47" s="242"/>
      <c r="AH47" s="242"/>
      <c r="AI47" s="242"/>
      <c r="AJ47" s="242"/>
      <c r="AK47" s="242"/>
      <c r="AL47" s="242"/>
      <c r="AM47" s="242"/>
      <c r="AN47" s="242"/>
      <c r="AO47" s="242"/>
      <c r="AP47" s="242"/>
      <c r="AQ47" s="242"/>
      <c r="AR47" s="242"/>
      <c r="AS47" s="242"/>
      <c r="AT47" s="242"/>
      <c r="AU47" s="242"/>
      <c r="AV47" s="242"/>
      <c r="AW47" s="242"/>
      <c r="AX47" s="249"/>
      <c r="AY47" s="26" t="s">
        <v>68</v>
      </c>
      <c r="AZ47" s="167"/>
      <c r="BA47" s="245"/>
      <c r="BB47" s="54" t="s">
        <v>61</v>
      </c>
      <c r="BC47" s="214"/>
      <c r="BD47" s="197"/>
      <c r="BE47" s="238"/>
      <c r="BF47" s="238"/>
      <c r="BG47" s="245"/>
      <c r="BH47" s="238"/>
      <c r="BI47" s="214"/>
    </row>
    <row r="48" spans="1:61" s="161" customFormat="1" ht="21" customHeight="1" thickBot="1">
      <c r="A48" s="245"/>
      <c r="B48" s="250" t="s">
        <v>69</v>
      </c>
      <c r="C48" s="245"/>
      <c r="D48" s="245"/>
      <c r="E48" s="245"/>
      <c r="F48" s="245"/>
      <c r="G48" s="245"/>
      <c r="H48" s="245"/>
      <c r="I48" s="245"/>
      <c r="J48" s="245"/>
      <c r="K48" s="245"/>
      <c r="L48" s="245"/>
      <c r="M48" s="245"/>
      <c r="N48" s="196"/>
      <c r="O48" s="196"/>
      <c r="P48" s="196"/>
      <c r="Q48" s="196"/>
      <c r="R48" s="196"/>
      <c r="S48" s="196"/>
      <c r="T48" s="196"/>
      <c r="U48" s="196"/>
      <c r="V48" s="196"/>
      <c r="W48" s="196"/>
      <c r="X48" s="196"/>
      <c r="Y48" s="196"/>
      <c r="Z48" s="196"/>
      <c r="AA48" s="196"/>
      <c r="AB48" s="196"/>
      <c r="AC48" s="196"/>
      <c r="AD48" s="196"/>
      <c r="AE48" s="196"/>
      <c r="AF48" s="196"/>
      <c r="AG48" s="196"/>
      <c r="AH48" s="196"/>
      <c r="AI48" s="196"/>
      <c r="AJ48" s="196"/>
      <c r="AK48" s="196"/>
      <c r="AL48" s="196"/>
      <c r="AM48" s="196"/>
      <c r="AN48" s="196"/>
      <c r="AO48" s="196"/>
      <c r="AP48" s="196"/>
      <c r="AQ48" s="196"/>
      <c r="AR48" s="196"/>
      <c r="AS48" s="196"/>
      <c r="AT48" s="196"/>
      <c r="AU48" s="196"/>
      <c r="AV48" s="196"/>
      <c r="AW48" s="196"/>
      <c r="AX48" s="178"/>
      <c r="AY48" s="339">
        <f>AY44-AY46</f>
        <v>-23.351571428571404</v>
      </c>
      <c r="AZ48" s="179"/>
      <c r="BA48" s="245"/>
      <c r="BB48" s="155">
        <f>SUM(BD9:BD39)</f>
        <v>17</v>
      </c>
      <c r="BC48" s="180"/>
      <c r="BD48" s="197"/>
      <c r="BE48" s="240"/>
      <c r="BF48" s="240"/>
      <c r="BG48" s="245"/>
      <c r="BH48" s="242"/>
      <c r="BI48" s="214"/>
    </row>
    <row r="49" spans="1:61" ht="24" customHeight="1">
      <c r="A49" s="1"/>
      <c r="B49" s="251" t="s">
        <v>71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7"/>
      <c r="BD49" s="197"/>
      <c r="BE49" s="1"/>
      <c r="BF49" s="1"/>
      <c r="BG49" s="1"/>
      <c r="BH49" s="1"/>
      <c r="BI49" s="17"/>
    </row>
    <row r="50" spans="1:61" ht="23.25">
      <c r="A50" s="294"/>
      <c r="B50" s="252"/>
      <c r="C50" s="252"/>
      <c r="D50" s="252"/>
      <c r="E50" s="252"/>
      <c r="F50" s="252"/>
      <c r="G50" s="252"/>
      <c r="H50" s="252"/>
      <c r="I50" s="252"/>
      <c r="J50" s="252"/>
      <c r="K50" s="252"/>
      <c r="L50" s="252"/>
      <c r="M50" s="252"/>
      <c r="N50" s="252"/>
      <c r="O50" s="252"/>
      <c r="P50" s="252"/>
      <c r="Q50" s="252"/>
      <c r="R50" s="252"/>
      <c r="S50" s="252"/>
      <c r="T50" s="252"/>
      <c r="U50" s="252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61" s="189" customFormat="1" ht="18">
      <c r="A51" s="188"/>
      <c r="B51" s="188"/>
      <c r="C51" s="188"/>
      <c r="D51" s="188"/>
      <c r="E51" s="188"/>
      <c r="F51" s="188"/>
      <c r="G51" s="188"/>
      <c r="H51" s="188"/>
      <c r="I51" s="188"/>
      <c r="J51" s="188"/>
      <c r="K51" s="188"/>
      <c r="L51" s="188"/>
      <c r="M51" s="188"/>
      <c r="N51" s="188"/>
      <c r="O51" s="188"/>
      <c r="P51" s="188"/>
      <c r="Q51" s="188"/>
      <c r="R51" s="188"/>
      <c r="S51" s="188"/>
      <c r="T51" s="188"/>
      <c r="U51" s="188"/>
      <c r="V51" s="188"/>
      <c r="W51" s="188"/>
      <c r="X51" s="188"/>
      <c r="Y51" s="188"/>
      <c r="Z51" s="188"/>
      <c r="AA51" s="188"/>
      <c r="AB51" s="188"/>
      <c r="AC51" s="188"/>
      <c r="AD51" s="188"/>
      <c r="AE51" s="188"/>
      <c r="AF51" s="188"/>
      <c r="AG51" s="188"/>
      <c r="AH51" s="188"/>
      <c r="AI51" s="188"/>
      <c r="AJ51" s="188"/>
      <c r="AK51" s="188"/>
      <c r="AL51" s="188"/>
      <c r="AM51" s="188"/>
      <c r="AN51" s="188"/>
      <c r="AO51" s="188"/>
      <c r="AP51" s="188"/>
      <c r="AQ51" s="188"/>
      <c r="AR51" s="188"/>
      <c r="AS51" s="188"/>
      <c r="AT51" s="188"/>
      <c r="AU51" s="188"/>
      <c r="AV51" s="188"/>
      <c r="BD51" s="191"/>
    </row>
    <row r="52" spans="1:61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61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1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1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1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12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1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1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</sheetData>
  <sheetProtection selectLockedCells="1" selectUnlockedCells="1"/>
  <mergeCells count="51">
    <mergeCell ref="AV41:AW41"/>
    <mergeCell ref="AJ41:AK41"/>
    <mergeCell ref="AL41:AM41"/>
    <mergeCell ref="AN41:AO41"/>
    <mergeCell ref="AP41:AQ41"/>
    <mergeCell ref="AR41:AS41"/>
    <mergeCell ref="AT41:AU41"/>
    <mergeCell ref="X41:Y41"/>
    <mergeCell ref="Z41:AA41"/>
    <mergeCell ref="AB41:AC41"/>
    <mergeCell ref="AD41:AE41"/>
    <mergeCell ref="AF41:AG41"/>
    <mergeCell ref="AH41:AI41"/>
    <mergeCell ref="L41:M41"/>
    <mergeCell ref="N41:O41"/>
    <mergeCell ref="P41:Q41"/>
    <mergeCell ref="R41:S41"/>
    <mergeCell ref="T41:U41"/>
    <mergeCell ref="V41:W41"/>
    <mergeCell ref="AN7:AO7"/>
    <mergeCell ref="AP7:AQ7"/>
    <mergeCell ref="AR7:AS7"/>
    <mergeCell ref="AT7:AU7"/>
    <mergeCell ref="AV7:AW7"/>
    <mergeCell ref="B41:C41"/>
    <mergeCell ref="D41:E41"/>
    <mergeCell ref="F41:G41"/>
    <mergeCell ref="H41:I41"/>
    <mergeCell ref="J41:K41"/>
    <mergeCell ref="AB7:AC7"/>
    <mergeCell ref="AD7:AE7"/>
    <mergeCell ref="AF7:AG7"/>
    <mergeCell ref="AH7:AI7"/>
    <mergeCell ref="AJ7:AK7"/>
    <mergeCell ref="AL7:AM7"/>
    <mergeCell ref="P7:Q7"/>
    <mergeCell ref="R7:S7"/>
    <mergeCell ref="T7:U7"/>
    <mergeCell ref="V7:W7"/>
    <mergeCell ref="X7:Y7"/>
    <mergeCell ref="Z7:AA7"/>
    <mergeCell ref="AY4:BB4"/>
    <mergeCell ref="BE4:BH4"/>
    <mergeCell ref="AY5:BB5"/>
    <mergeCell ref="B7:C7"/>
    <mergeCell ref="D7:E7"/>
    <mergeCell ref="F7:G7"/>
    <mergeCell ref="H7:I7"/>
    <mergeCell ref="J7:K7"/>
    <mergeCell ref="L7:M7"/>
    <mergeCell ref="N7:O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I58"/>
  <sheetViews>
    <sheetView showGridLines="0" defaultGridColor="0" colorId="8" zoomScale="60" zoomScaleNormal="60" workbookViewId="0">
      <selection activeCell="B5" sqref="B5"/>
    </sheetView>
  </sheetViews>
  <sheetFormatPr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193" customWidth="1"/>
    <col min="57" max="58" width="13.140625" customWidth="1"/>
    <col min="59" max="59" width="12.42578125" customWidth="1"/>
    <col min="60" max="60" width="14.42578125" customWidth="1"/>
    <col min="61" max="62" width="11.42578125" customWidth="1"/>
  </cols>
  <sheetData>
    <row r="1" spans="1:61" s="6" customFormat="1" ht="21" customHeight="1">
      <c r="A1" s="1"/>
      <c r="B1" s="2" t="s">
        <v>95</v>
      </c>
      <c r="C1" s="3"/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1"/>
      <c r="B2" s="7" t="s">
        <v>77</v>
      </c>
      <c r="C2" s="8"/>
      <c r="D2" s="8"/>
      <c r="E2" s="8"/>
      <c r="F2" s="9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  <c r="BE2" s="340"/>
      <c r="BF2" s="340"/>
      <c r="BG2" s="340"/>
    </row>
    <row r="3" spans="1:61" s="6" customFormat="1" ht="21" customHeight="1" thickBot="1">
      <c r="A3" s="1"/>
      <c r="B3" s="194" t="s">
        <v>96</v>
      </c>
      <c r="C3" s="8"/>
      <c r="D3" s="8"/>
      <c r="E3" s="8"/>
      <c r="F3" s="9"/>
      <c r="G3" s="9"/>
      <c r="H3" s="1"/>
      <c r="I3" s="1"/>
      <c r="J3" s="1"/>
      <c r="K3" s="1"/>
      <c r="L3" s="1"/>
      <c r="M3" s="3" t="s">
        <v>8</v>
      </c>
      <c r="N3" s="1"/>
      <c r="O3" s="1"/>
      <c r="P3" s="1"/>
      <c r="Q3" s="1"/>
      <c r="R3" s="1"/>
      <c r="S3" s="1"/>
      <c r="T3" s="1"/>
      <c r="U3" s="1"/>
      <c r="V3" s="1"/>
      <c r="W3" s="13"/>
      <c r="X3" s="13"/>
      <c r="Y3" s="13"/>
      <c r="Z3" s="13"/>
      <c r="AA3" s="13"/>
      <c r="AB3" s="13"/>
      <c r="AC3" s="13"/>
      <c r="AD3" s="13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</row>
    <row r="4" spans="1:61" ht="21" customHeight="1" thickBot="1">
      <c r="A4" s="195"/>
      <c r="B4" s="196"/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  <c r="X4" s="196"/>
      <c r="Y4" s="196"/>
      <c r="Z4" s="196"/>
      <c r="AA4" s="196"/>
      <c r="AB4" s="196"/>
      <c r="AC4" s="196"/>
      <c r="AD4" s="196"/>
      <c r="AE4" s="196"/>
      <c r="AF4" s="196"/>
      <c r="AG4" s="196"/>
      <c r="AH4" s="196"/>
      <c r="AI4" s="196"/>
      <c r="AJ4" s="196"/>
      <c r="AK4" s="196"/>
      <c r="AL4" s="196"/>
      <c r="AM4" s="196"/>
      <c r="AN4" s="196"/>
      <c r="AO4" s="196"/>
      <c r="AP4" s="196"/>
      <c r="AQ4" s="196"/>
      <c r="AR4" s="196"/>
      <c r="AS4" s="196"/>
      <c r="AT4" s="196"/>
      <c r="AU4" s="196"/>
      <c r="AV4" s="196"/>
      <c r="AW4" s="196"/>
      <c r="AX4" s="196"/>
      <c r="AY4" s="18" t="s">
        <v>9</v>
      </c>
      <c r="AZ4" s="18"/>
      <c r="BA4" s="18"/>
      <c r="BB4" s="18"/>
      <c r="BC4" s="17"/>
      <c r="BD4" s="19"/>
      <c r="BE4" s="18" t="s">
        <v>9</v>
      </c>
      <c r="BF4" s="18"/>
      <c r="BG4" s="18"/>
      <c r="BH4" s="18"/>
    </row>
    <row r="5" spans="1:61" ht="21" customHeight="1" thickBo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"/>
      <c r="AS5" s="1"/>
      <c r="AT5" s="1"/>
      <c r="AU5" s="1"/>
      <c r="AV5" s="1"/>
      <c r="AW5" s="1"/>
      <c r="AX5" s="17"/>
      <c r="AY5" s="25" t="s">
        <v>11</v>
      </c>
      <c r="AZ5" s="25"/>
      <c r="BA5" s="25"/>
      <c r="BB5" s="25"/>
      <c r="BC5" s="17"/>
      <c r="BD5" s="19"/>
      <c r="BE5" s="26" t="s">
        <v>12</v>
      </c>
      <c r="BF5" s="27" t="s">
        <v>13</v>
      </c>
      <c r="BG5" s="28" t="s">
        <v>14</v>
      </c>
      <c r="BH5" s="29"/>
    </row>
    <row r="6" spans="1:61" ht="21" customHeight="1" thickBot="1">
      <c r="A6" s="30"/>
      <c r="B6" s="31"/>
      <c r="C6" s="32"/>
      <c r="D6" s="31"/>
      <c r="E6" s="32"/>
      <c r="F6" s="31"/>
      <c r="G6" s="32"/>
      <c r="H6" s="31"/>
      <c r="I6" s="32"/>
      <c r="J6" s="31"/>
      <c r="K6" s="32"/>
      <c r="L6" s="31"/>
      <c r="M6" s="32"/>
      <c r="N6" s="31"/>
      <c r="O6" s="32"/>
      <c r="P6" s="31"/>
      <c r="Q6" s="32"/>
      <c r="R6" s="31"/>
      <c r="S6" s="32"/>
      <c r="T6" s="31"/>
      <c r="U6" s="32"/>
      <c r="V6" s="31"/>
      <c r="W6" s="32"/>
      <c r="X6" s="31"/>
      <c r="Y6" s="32"/>
      <c r="Z6" s="31"/>
      <c r="AA6" s="32"/>
      <c r="AB6" s="31"/>
      <c r="AC6" s="32"/>
      <c r="AD6" s="31"/>
      <c r="AE6" s="32"/>
      <c r="AF6" s="31"/>
      <c r="AG6" s="32"/>
      <c r="AH6" s="31"/>
      <c r="AI6" s="32"/>
      <c r="AJ6" s="31"/>
      <c r="AK6" s="32"/>
      <c r="AL6" s="31"/>
      <c r="AM6" s="32"/>
      <c r="AN6" s="31"/>
      <c r="AO6" s="32"/>
      <c r="AP6" s="31"/>
      <c r="AQ6" s="32"/>
      <c r="AR6" s="31"/>
      <c r="AS6" s="32"/>
      <c r="AT6" s="31"/>
      <c r="AU6" s="32"/>
      <c r="AV6" s="31"/>
      <c r="AW6" s="32"/>
      <c r="AX6" s="31"/>
      <c r="AY6" s="33" t="s">
        <v>15</v>
      </c>
      <c r="AZ6" s="33" t="s">
        <v>16</v>
      </c>
      <c r="BA6" s="34" t="s">
        <v>17</v>
      </c>
      <c r="BB6" s="34"/>
      <c r="BC6" s="17"/>
      <c r="BD6" s="19"/>
      <c r="BE6" s="35" t="s">
        <v>15</v>
      </c>
      <c r="BF6" s="35"/>
      <c r="BG6" s="35" t="s">
        <v>17</v>
      </c>
      <c r="BH6" s="35"/>
    </row>
    <row r="7" spans="1:61" ht="21" customHeight="1" thickBot="1">
      <c r="A7" s="36" t="s">
        <v>18</v>
      </c>
      <c r="B7" s="37" t="s">
        <v>19</v>
      </c>
      <c r="C7" s="37"/>
      <c r="D7" s="38" t="s">
        <v>20</v>
      </c>
      <c r="E7" s="38"/>
      <c r="F7" s="37" t="s">
        <v>21</v>
      </c>
      <c r="G7" s="37"/>
      <c r="H7" s="37" t="s">
        <v>22</v>
      </c>
      <c r="I7" s="37"/>
      <c r="J7" s="39" t="s">
        <v>23</v>
      </c>
      <c r="K7" s="39"/>
      <c r="L7" s="37" t="s">
        <v>24</v>
      </c>
      <c r="M7" s="37"/>
      <c r="N7" s="37" t="s">
        <v>25</v>
      </c>
      <c r="O7" s="37"/>
      <c r="P7" s="37" t="s">
        <v>26</v>
      </c>
      <c r="Q7" s="37"/>
      <c r="R7" s="37" t="s">
        <v>27</v>
      </c>
      <c r="S7" s="37"/>
      <c r="T7" s="37" t="s">
        <v>28</v>
      </c>
      <c r="U7" s="37"/>
      <c r="V7" s="37" t="s">
        <v>29</v>
      </c>
      <c r="W7" s="37"/>
      <c r="X7" s="37" t="s">
        <v>30</v>
      </c>
      <c r="Y7" s="37"/>
      <c r="Z7" s="40" t="s">
        <v>31</v>
      </c>
      <c r="AA7" s="40"/>
      <c r="AB7" s="37" t="s">
        <v>32</v>
      </c>
      <c r="AC7" s="37"/>
      <c r="AD7" s="37" t="s">
        <v>33</v>
      </c>
      <c r="AE7" s="37"/>
      <c r="AF7" s="37" t="s">
        <v>34</v>
      </c>
      <c r="AG7" s="37"/>
      <c r="AH7" s="37" t="s">
        <v>35</v>
      </c>
      <c r="AI7" s="37"/>
      <c r="AJ7" s="37" t="s">
        <v>36</v>
      </c>
      <c r="AK7" s="37"/>
      <c r="AL7" s="37" t="s">
        <v>37</v>
      </c>
      <c r="AM7" s="37"/>
      <c r="AN7" s="37" t="s">
        <v>38</v>
      </c>
      <c r="AO7" s="37"/>
      <c r="AP7" s="37" t="s">
        <v>39</v>
      </c>
      <c r="AQ7" s="37"/>
      <c r="AR7" s="37" t="s">
        <v>40</v>
      </c>
      <c r="AS7" s="37"/>
      <c r="AT7" s="37" t="s">
        <v>41</v>
      </c>
      <c r="AU7" s="37"/>
      <c r="AV7" s="37" t="s">
        <v>42</v>
      </c>
      <c r="AW7" s="37"/>
      <c r="AX7" s="41" t="s">
        <v>18</v>
      </c>
      <c r="AY7" s="35" t="s">
        <v>43</v>
      </c>
      <c r="AZ7" s="35" t="s">
        <v>43</v>
      </c>
      <c r="BA7" s="35" t="s">
        <v>44</v>
      </c>
      <c r="BB7" s="35" t="s">
        <v>45</v>
      </c>
      <c r="BC7" s="42"/>
      <c r="BD7" s="197"/>
      <c r="BE7" s="35" t="s">
        <v>43</v>
      </c>
      <c r="BF7" s="35"/>
      <c r="BG7" s="35" t="s">
        <v>44</v>
      </c>
      <c r="BH7" s="35"/>
    </row>
    <row r="8" spans="1:61" ht="21" customHeight="1" thickBot="1">
      <c r="A8" s="43" t="s">
        <v>46</v>
      </c>
      <c r="B8" s="198" t="s">
        <v>47</v>
      </c>
      <c r="C8" s="199" t="s">
        <v>48</v>
      </c>
      <c r="D8" s="200" t="s">
        <v>47</v>
      </c>
      <c r="E8" s="201" t="s">
        <v>48</v>
      </c>
      <c r="F8" s="200" t="s">
        <v>47</v>
      </c>
      <c r="G8" s="202" t="s">
        <v>48</v>
      </c>
      <c r="H8" s="200" t="s">
        <v>47</v>
      </c>
      <c r="I8" s="202" t="s">
        <v>48</v>
      </c>
      <c r="J8" s="200" t="s">
        <v>47</v>
      </c>
      <c r="K8" s="202" t="s">
        <v>48</v>
      </c>
      <c r="L8" s="200" t="s">
        <v>47</v>
      </c>
      <c r="M8" s="202" t="s">
        <v>48</v>
      </c>
      <c r="N8" s="200" t="s">
        <v>47</v>
      </c>
      <c r="O8" s="202" t="s">
        <v>48</v>
      </c>
      <c r="P8" s="200" t="s">
        <v>47</v>
      </c>
      <c r="Q8" s="202" t="s">
        <v>48</v>
      </c>
      <c r="R8" s="200" t="s">
        <v>47</v>
      </c>
      <c r="S8" s="202" t="s">
        <v>48</v>
      </c>
      <c r="T8" s="200" t="s">
        <v>47</v>
      </c>
      <c r="U8" s="202" t="s">
        <v>48</v>
      </c>
      <c r="V8" s="200" t="s">
        <v>47</v>
      </c>
      <c r="W8" s="202" t="s">
        <v>48</v>
      </c>
      <c r="X8" s="200" t="s">
        <v>47</v>
      </c>
      <c r="Y8" s="202" t="s">
        <v>48</v>
      </c>
      <c r="Z8" s="200" t="s">
        <v>47</v>
      </c>
      <c r="AA8" s="202" t="s">
        <v>48</v>
      </c>
      <c r="AB8" s="200" t="s">
        <v>47</v>
      </c>
      <c r="AC8" s="202" t="s">
        <v>48</v>
      </c>
      <c r="AD8" s="200" t="s">
        <v>47</v>
      </c>
      <c r="AE8" s="202" t="s">
        <v>48</v>
      </c>
      <c r="AF8" s="200" t="s">
        <v>47</v>
      </c>
      <c r="AG8" s="202" t="s">
        <v>48</v>
      </c>
      <c r="AH8" s="200" t="s">
        <v>47</v>
      </c>
      <c r="AI8" s="202" t="s">
        <v>48</v>
      </c>
      <c r="AJ8" s="200" t="s">
        <v>47</v>
      </c>
      <c r="AK8" s="203" t="s">
        <v>48</v>
      </c>
      <c r="AL8" s="200" t="s">
        <v>47</v>
      </c>
      <c r="AM8" s="202" t="s">
        <v>48</v>
      </c>
      <c r="AN8" s="200" t="s">
        <v>47</v>
      </c>
      <c r="AO8" s="202" t="s">
        <v>48</v>
      </c>
      <c r="AP8" s="200" t="s">
        <v>47</v>
      </c>
      <c r="AQ8" s="203" t="s">
        <v>48</v>
      </c>
      <c r="AR8" s="200" t="s">
        <v>47</v>
      </c>
      <c r="AS8" s="202" t="s">
        <v>48</v>
      </c>
      <c r="AT8" s="204" t="s">
        <v>47</v>
      </c>
      <c r="AU8" s="205" t="s">
        <v>48</v>
      </c>
      <c r="AV8" s="204" t="s">
        <v>47</v>
      </c>
      <c r="AW8" s="341" t="s">
        <v>48</v>
      </c>
      <c r="AX8" s="52" t="s">
        <v>46</v>
      </c>
      <c r="AY8" s="53" t="s">
        <v>49</v>
      </c>
      <c r="AZ8" s="53" t="s">
        <v>50</v>
      </c>
      <c r="BA8" s="54" t="s">
        <v>51</v>
      </c>
      <c r="BB8" s="54" t="s">
        <v>52</v>
      </c>
      <c r="BC8" s="206"/>
      <c r="BD8" s="197"/>
      <c r="BE8" s="54" t="s">
        <v>49</v>
      </c>
      <c r="BF8" s="54"/>
      <c r="BG8" s="54" t="s">
        <v>51</v>
      </c>
      <c r="BH8" s="54" t="s">
        <v>52</v>
      </c>
    </row>
    <row r="9" spans="1:61" ht="21" customHeight="1" thickBot="1">
      <c r="A9" s="71">
        <v>1</v>
      </c>
      <c r="B9" s="256"/>
      <c r="C9" s="257"/>
      <c r="D9" s="258"/>
      <c r="E9" s="257"/>
      <c r="F9" s="258"/>
      <c r="G9" s="257"/>
      <c r="H9" s="258"/>
      <c r="I9" s="257"/>
      <c r="J9" s="258"/>
      <c r="K9" s="257"/>
      <c r="L9" s="258"/>
      <c r="M9" s="257"/>
      <c r="N9" s="258"/>
      <c r="O9" s="257"/>
      <c r="P9" s="258"/>
      <c r="Q9" s="257"/>
      <c r="R9" s="258"/>
      <c r="S9" s="257"/>
      <c r="T9" s="258"/>
      <c r="U9" s="257"/>
      <c r="V9" s="258"/>
      <c r="W9" s="257"/>
      <c r="X9" s="258"/>
      <c r="Y9" s="257"/>
      <c r="Z9" s="258"/>
      <c r="AA9" s="257"/>
      <c r="AB9" s="258"/>
      <c r="AC9" s="257"/>
      <c r="AD9" s="258"/>
      <c r="AE9" s="257"/>
      <c r="AF9" s="259"/>
      <c r="AG9" s="257"/>
      <c r="AH9" s="258"/>
      <c r="AI9" s="257"/>
      <c r="AJ9" s="258"/>
      <c r="AK9" s="260"/>
      <c r="AL9" s="256"/>
      <c r="AM9" s="261"/>
      <c r="AN9" s="256"/>
      <c r="AO9" s="261"/>
      <c r="AP9" s="256"/>
      <c r="AQ9" s="262"/>
      <c r="AR9" s="256"/>
      <c r="AS9" s="263"/>
      <c r="AT9" s="256"/>
      <c r="AU9" s="262"/>
      <c r="AV9" s="256"/>
      <c r="AW9" s="262"/>
      <c r="AX9" s="91">
        <v>1</v>
      </c>
      <c r="AY9" s="92">
        <f t="shared" ref="AY9:AZ38" si="0">B9+D9+F9+H9+J9+L9+N9+P9+R9+T9+V9+X9+Z9+AB9+AD9+AF9+AH9+AJ9+AL9+AN9+AP9+AR9+AT9+AV9</f>
        <v>0</v>
      </c>
      <c r="AZ9" s="93">
        <f t="shared" si="0"/>
        <v>0</v>
      </c>
      <c r="BA9" s="94">
        <f t="shared" ref="BA9:BA38" si="1">MAX(B9,D9,F9,H9,J9,L9,N9,P9,R9,T9,V9,X9,Z9,AB9,AD9,AF9,AH9,AJ9,AL9,AN9,AP9,AR9,AT9,AV9)</f>
        <v>0</v>
      </c>
      <c r="BB9" s="95">
        <f t="shared" ref="BB9:BB38" si="2">COUNT(B9,D9,F9,H9,J9,L9,N9,P9,R9,T9,V9,X9,Z9,AB9,AD9,AF9,AH9,AJ9,AL9,AN9,AP9,AR9,AT9,AV9)</f>
        <v>0</v>
      </c>
      <c r="BC9" s="214"/>
      <c r="BD9" s="197">
        <f t="shared" ref="BD9:BD38" si="3">IF(BB9&gt;0,1,0)</f>
        <v>0</v>
      </c>
      <c r="BE9" s="264">
        <f>outubro!$BH40</f>
        <v>0</v>
      </c>
      <c r="BF9" s="85">
        <v>39386</v>
      </c>
      <c r="BG9" s="86">
        <f>novembro!$BE10</f>
        <v>0</v>
      </c>
      <c r="BH9" s="87"/>
      <c r="BI9" s="197">
        <f>IF(BH9&gt;0,1,0)</f>
        <v>0</v>
      </c>
    </row>
    <row r="10" spans="1:61" ht="21" customHeight="1" thickBot="1">
      <c r="A10" s="71">
        <v>2</v>
      </c>
      <c r="B10" s="258"/>
      <c r="C10" s="257"/>
      <c r="D10" s="258"/>
      <c r="E10" s="257"/>
      <c r="F10" s="258"/>
      <c r="G10" s="257"/>
      <c r="H10" s="258"/>
      <c r="I10" s="257"/>
      <c r="J10" s="258"/>
      <c r="K10" s="257"/>
      <c r="L10" s="258"/>
      <c r="M10" s="257"/>
      <c r="N10" s="258"/>
      <c r="O10" s="257"/>
      <c r="P10" s="258"/>
      <c r="Q10" s="257"/>
      <c r="R10" s="258"/>
      <c r="S10" s="257"/>
      <c r="T10" s="258"/>
      <c r="U10" s="257"/>
      <c r="V10" s="258"/>
      <c r="W10" s="257"/>
      <c r="X10" s="258"/>
      <c r="Y10" s="257"/>
      <c r="Z10" s="258"/>
      <c r="AA10" s="257"/>
      <c r="AB10" s="258">
        <v>0.2</v>
      </c>
      <c r="AC10" s="257">
        <v>5</v>
      </c>
      <c r="AD10" s="258">
        <v>28.8</v>
      </c>
      <c r="AE10" s="257">
        <v>60</v>
      </c>
      <c r="AF10" s="258">
        <v>3.3</v>
      </c>
      <c r="AG10" s="257">
        <v>60</v>
      </c>
      <c r="AH10" s="258">
        <v>3.8</v>
      </c>
      <c r="AI10" s="257">
        <v>60</v>
      </c>
      <c r="AJ10" s="258">
        <v>1.4</v>
      </c>
      <c r="AK10" s="265">
        <v>60</v>
      </c>
      <c r="AL10" s="258">
        <v>0.3</v>
      </c>
      <c r="AM10" s="257">
        <v>60</v>
      </c>
      <c r="AN10" s="258"/>
      <c r="AO10" s="257"/>
      <c r="AP10" s="258">
        <v>0.1</v>
      </c>
      <c r="AQ10" s="265">
        <v>60</v>
      </c>
      <c r="AR10" s="258"/>
      <c r="AS10" s="257"/>
      <c r="AT10" s="258"/>
      <c r="AU10" s="265"/>
      <c r="AV10" s="258"/>
      <c r="AW10" s="265"/>
      <c r="AX10" s="91">
        <v>2</v>
      </c>
      <c r="AY10" s="92">
        <f t="shared" si="0"/>
        <v>37.899999999999991</v>
      </c>
      <c r="AZ10" s="93">
        <f t="shared" si="0"/>
        <v>365</v>
      </c>
      <c r="BA10" s="94">
        <f t="shared" si="1"/>
        <v>28.8</v>
      </c>
      <c r="BB10" s="95">
        <f t="shared" si="2"/>
        <v>7</v>
      </c>
      <c r="BC10" s="214"/>
      <c r="BD10" s="197">
        <f t="shared" si="3"/>
        <v>1</v>
      </c>
      <c r="BE10" s="84">
        <f>P9+R9+T9+V9+X9+Z9+AB9+AD9+AF9+AH9+AJ9+AL9+AN9+AP9+AR9+AT9+AV9+B10+D10+F10+H10+J10+L10+N10</f>
        <v>0</v>
      </c>
      <c r="BF10" s="96"/>
      <c r="BG10" s="86">
        <f>novembro!$BE11</f>
        <v>39.199999999999996</v>
      </c>
      <c r="BH10" s="97"/>
      <c r="BI10" s="197">
        <f>IF(BH10&gt;0,1,0)</f>
        <v>0</v>
      </c>
    </row>
    <row r="11" spans="1:61" ht="21" customHeight="1">
      <c r="A11" s="71">
        <v>3</v>
      </c>
      <c r="B11" s="258"/>
      <c r="C11" s="257"/>
      <c r="D11" s="258"/>
      <c r="E11" s="257"/>
      <c r="F11" s="258">
        <v>0.1</v>
      </c>
      <c r="G11" s="257">
        <v>60</v>
      </c>
      <c r="H11" s="258">
        <v>0.1</v>
      </c>
      <c r="I11" s="257">
        <v>20</v>
      </c>
      <c r="J11" s="258"/>
      <c r="K11" s="257"/>
      <c r="L11" s="258"/>
      <c r="M11" s="257"/>
      <c r="N11" s="258">
        <v>1.1000000000000001</v>
      </c>
      <c r="O11" s="257">
        <v>60</v>
      </c>
      <c r="P11" s="258">
        <v>0.3</v>
      </c>
      <c r="Q11" s="257">
        <v>30</v>
      </c>
      <c r="R11" s="258">
        <v>0.1</v>
      </c>
      <c r="S11" s="257">
        <v>20</v>
      </c>
      <c r="T11" s="258">
        <v>0.2</v>
      </c>
      <c r="U11" s="257">
        <v>30</v>
      </c>
      <c r="V11" s="258">
        <v>0.2</v>
      </c>
      <c r="W11" s="257">
        <v>15</v>
      </c>
      <c r="X11" s="258"/>
      <c r="Y11" s="257"/>
      <c r="Z11" s="258"/>
      <c r="AA11" s="257"/>
      <c r="AB11" s="258">
        <v>2.9</v>
      </c>
      <c r="AC11" s="257">
        <v>55</v>
      </c>
      <c r="AD11" s="258"/>
      <c r="AE11" s="257"/>
      <c r="AF11" s="258"/>
      <c r="AG11" s="257"/>
      <c r="AH11" s="258"/>
      <c r="AI11" s="257"/>
      <c r="AJ11" s="258">
        <v>0.3</v>
      </c>
      <c r="AK11" s="265">
        <v>35</v>
      </c>
      <c r="AL11" s="258">
        <v>0.2</v>
      </c>
      <c r="AM11" s="257">
        <v>25</v>
      </c>
      <c r="AN11" s="258">
        <v>0.5</v>
      </c>
      <c r="AO11" s="257">
        <v>30</v>
      </c>
      <c r="AP11" s="258"/>
      <c r="AQ11" s="265"/>
      <c r="AR11" s="258">
        <v>0.4</v>
      </c>
      <c r="AS11" s="257">
        <v>50</v>
      </c>
      <c r="AT11" s="258">
        <v>0.7</v>
      </c>
      <c r="AU11" s="265">
        <v>50</v>
      </c>
      <c r="AV11" s="258">
        <v>0.9</v>
      </c>
      <c r="AW11" s="265">
        <v>55</v>
      </c>
      <c r="AX11" s="91">
        <v>3</v>
      </c>
      <c r="AY11" s="92">
        <f t="shared" si="0"/>
        <v>8</v>
      </c>
      <c r="AZ11" s="93">
        <f t="shared" si="0"/>
        <v>535</v>
      </c>
      <c r="BA11" s="94">
        <f t="shared" si="1"/>
        <v>2.9</v>
      </c>
      <c r="BB11" s="95">
        <f t="shared" si="2"/>
        <v>14</v>
      </c>
      <c r="BC11" s="214"/>
      <c r="BD11" s="197">
        <f t="shared" si="3"/>
        <v>1</v>
      </c>
      <c r="BE11" s="98">
        <f t="shared" ref="BE11:BE37" si="4">P10+R10+T10+V10+X10+Z10+AB10+AD10+AF10+AH10+AJ10+AL10+AN10+AP10+AR10+AT10+AV10+B11+D11+F11+H11+J11+L11+N11</f>
        <v>39.199999999999996</v>
      </c>
      <c r="BF11" s="99"/>
      <c r="BG11" s="86">
        <f>novembro!$BE12</f>
        <v>10.100000000000001</v>
      </c>
      <c r="BH11" s="97"/>
      <c r="BI11" s="197">
        <f t="shared" ref="BI11:BI39" si="5">IF(BH11&gt;0,1,0)</f>
        <v>0</v>
      </c>
    </row>
    <row r="12" spans="1:61" ht="21" customHeight="1">
      <c r="A12" s="71">
        <v>4</v>
      </c>
      <c r="B12" s="258">
        <v>0.4</v>
      </c>
      <c r="C12" s="257">
        <v>55</v>
      </c>
      <c r="D12" s="258">
        <v>0.3</v>
      </c>
      <c r="E12" s="257">
        <v>45</v>
      </c>
      <c r="F12" s="258">
        <v>0.1</v>
      </c>
      <c r="G12" s="257">
        <v>30</v>
      </c>
      <c r="H12" s="258">
        <v>0.6</v>
      </c>
      <c r="I12" s="257">
        <v>55</v>
      </c>
      <c r="J12" s="258">
        <v>1.1000000000000001</v>
      </c>
      <c r="K12" s="257">
        <v>60</v>
      </c>
      <c r="L12" s="258">
        <v>0.5</v>
      </c>
      <c r="M12" s="257">
        <v>60</v>
      </c>
      <c r="N12" s="258">
        <v>0.4</v>
      </c>
      <c r="O12" s="257">
        <v>60</v>
      </c>
      <c r="P12" s="258">
        <v>0.7</v>
      </c>
      <c r="Q12" s="257">
        <v>50</v>
      </c>
      <c r="R12" s="258">
        <v>1</v>
      </c>
      <c r="S12" s="257">
        <v>55</v>
      </c>
      <c r="T12" s="258"/>
      <c r="U12" s="257"/>
      <c r="V12" s="258">
        <v>0.5</v>
      </c>
      <c r="W12" s="257">
        <v>35</v>
      </c>
      <c r="X12" s="258"/>
      <c r="Y12" s="257"/>
      <c r="Z12" s="258"/>
      <c r="AA12" s="257"/>
      <c r="AB12" s="258">
        <v>0.1</v>
      </c>
      <c r="AC12" s="257">
        <v>5</v>
      </c>
      <c r="AD12" s="258">
        <v>0.3</v>
      </c>
      <c r="AE12" s="257">
        <v>25</v>
      </c>
      <c r="AF12" s="258">
        <v>1.5</v>
      </c>
      <c r="AG12" s="257">
        <v>35</v>
      </c>
      <c r="AH12" s="258">
        <v>1.6</v>
      </c>
      <c r="AI12" s="257">
        <v>60</v>
      </c>
      <c r="AJ12" s="258">
        <v>0.9</v>
      </c>
      <c r="AK12" s="265">
        <v>60</v>
      </c>
      <c r="AL12" s="258">
        <v>0.2</v>
      </c>
      <c r="AM12" s="257">
        <v>40</v>
      </c>
      <c r="AN12" s="258">
        <v>0.1</v>
      </c>
      <c r="AO12" s="257">
        <v>20</v>
      </c>
      <c r="AP12" s="258"/>
      <c r="AQ12" s="265"/>
      <c r="AR12" s="258"/>
      <c r="AS12" s="257"/>
      <c r="AT12" s="258"/>
      <c r="AU12" s="265"/>
      <c r="AV12" s="258"/>
      <c r="AW12" s="265"/>
      <c r="AX12" s="91">
        <v>4</v>
      </c>
      <c r="AY12" s="92">
        <f t="shared" si="0"/>
        <v>10.299999999999999</v>
      </c>
      <c r="AZ12" s="93">
        <f t="shared" si="0"/>
        <v>750</v>
      </c>
      <c r="BA12" s="94">
        <f t="shared" si="1"/>
        <v>1.6</v>
      </c>
      <c r="BB12" s="95">
        <f t="shared" si="2"/>
        <v>17</v>
      </c>
      <c r="BC12" s="214"/>
      <c r="BD12" s="197">
        <f t="shared" si="3"/>
        <v>1</v>
      </c>
      <c r="BE12" s="98">
        <f t="shared" si="4"/>
        <v>10.100000000000001</v>
      </c>
      <c r="BF12" s="99"/>
      <c r="BG12" s="86">
        <f>novembro!$BE13</f>
        <v>6.8999999999999995</v>
      </c>
      <c r="BH12" s="97"/>
      <c r="BI12" s="197">
        <f t="shared" si="5"/>
        <v>0</v>
      </c>
    </row>
    <row r="13" spans="1:61" ht="21" customHeight="1">
      <c r="A13" s="71">
        <v>5</v>
      </c>
      <c r="B13" s="258"/>
      <c r="C13" s="257"/>
      <c r="D13" s="258"/>
      <c r="E13" s="257"/>
      <c r="F13" s="258"/>
      <c r="G13" s="257"/>
      <c r="H13" s="258"/>
      <c r="I13" s="257"/>
      <c r="J13" s="258"/>
      <c r="K13" s="257"/>
      <c r="L13" s="258"/>
      <c r="M13" s="257"/>
      <c r="N13" s="258"/>
      <c r="O13" s="257"/>
      <c r="P13" s="258"/>
      <c r="Q13" s="257"/>
      <c r="R13" s="258"/>
      <c r="S13" s="257"/>
      <c r="T13" s="258"/>
      <c r="U13" s="257"/>
      <c r="V13" s="258"/>
      <c r="W13" s="257"/>
      <c r="X13" s="258"/>
      <c r="Y13" s="257"/>
      <c r="Z13" s="258"/>
      <c r="AA13" s="257"/>
      <c r="AB13" s="258"/>
      <c r="AC13" s="257"/>
      <c r="AD13" s="258"/>
      <c r="AE13" s="257"/>
      <c r="AF13" s="258"/>
      <c r="AG13" s="257"/>
      <c r="AH13" s="258">
        <v>1.1000000000000001</v>
      </c>
      <c r="AI13" s="257">
        <v>30</v>
      </c>
      <c r="AJ13" s="258">
        <v>8.9</v>
      </c>
      <c r="AK13" s="265">
        <v>60</v>
      </c>
      <c r="AL13" s="258">
        <v>0.1</v>
      </c>
      <c r="AM13" s="257">
        <v>10</v>
      </c>
      <c r="AN13" s="258">
        <v>2.2000000000000002</v>
      </c>
      <c r="AO13" s="257">
        <v>35</v>
      </c>
      <c r="AP13" s="258"/>
      <c r="AQ13" s="265"/>
      <c r="AR13" s="258"/>
      <c r="AS13" s="257"/>
      <c r="AT13" s="258">
        <v>0.1</v>
      </c>
      <c r="AU13" s="265">
        <v>10</v>
      </c>
      <c r="AV13" s="258">
        <v>1.9</v>
      </c>
      <c r="AW13" s="265">
        <v>40</v>
      </c>
      <c r="AX13" s="91">
        <v>5</v>
      </c>
      <c r="AY13" s="92">
        <f>B13+D13+F13+H13+J13+L13+N13+P13+R13+T13+V13+X13+Z13+AB13+AD13+AF13+AH13+AJ13+AL13+AN13+AP13+AR13+AT13+AV13</f>
        <v>14.3</v>
      </c>
      <c r="AZ13" s="93">
        <f t="shared" si="0"/>
        <v>185</v>
      </c>
      <c r="BA13" s="94">
        <f t="shared" si="1"/>
        <v>8.9</v>
      </c>
      <c r="BB13" s="95">
        <f t="shared" si="2"/>
        <v>6</v>
      </c>
      <c r="BC13" s="214"/>
      <c r="BD13" s="197">
        <f t="shared" si="3"/>
        <v>1</v>
      </c>
      <c r="BE13" s="98">
        <f t="shared" si="4"/>
        <v>6.8999999999999995</v>
      </c>
      <c r="BF13" s="99"/>
      <c r="BG13" s="86">
        <f>novembro!$BE14</f>
        <v>14.4</v>
      </c>
      <c r="BH13" s="97"/>
      <c r="BI13" s="197">
        <f t="shared" si="5"/>
        <v>0</v>
      </c>
    </row>
    <row r="14" spans="1:61" ht="21" customHeight="1">
      <c r="A14" s="71">
        <v>6</v>
      </c>
      <c r="B14" s="258"/>
      <c r="C14" s="257"/>
      <c r="D14" s="258"/>
      <c r="E14" s="257"/>
      <c r="F14" s="258"/>
      <c r="G14" s="257"/>
      <c r="H14" s="258">
        <v>0.1</v>
      </c>
      <c r="I14" s="257">
        <v>60</v>
      </c>
      <c r="J14" s="258"/>
      <c r="K14" s="257"/>
      <c r="L14" s="258"/>
      <c r="M14" s="257"/>
      <c r="N14" s="258"/>
      <c r="O14" s="257"/>
      <c r="P14" s="258"/>
      <c r="Q14" s="257"/>
      <c r="R14" s="258"/>
      <c r="S14" s="257"/>
      <c r="T14" s="258"/>
      <c r="U14" s="257"/>
      <c r="V14" s="258"/>
      <c r="W14" s="257"/>
      <c r="X14" s="258"/>
      <c r="Y14" s="257"/>
      <c r="Z14" s="258"/>
      <c r="AA14" s="257"/>
      <c r="AB14" s="258"/>
      <c r="AC14" s="257"/>
      <c r="AD14" s="258"/>
      <c r="AE14" s="257"/>
      <c r="AF14" s="258">
        <v>7.6</v>
      </c>
      <c r="AG14" s="257">
        <v>30</v>
      </c>
      <c r="AH14" s="258">
        <v>2.8</v>
      </c>
      <c r="AI14" s="257">
        <v>30</v>
      </c>
      <c r="AJ14" s="258">
        <v>31</v>
      </c>
      <c r="AK14" s="265">
        <v>60</v>
      </c>
      <c r="AL14" s="258">
        <v>4.3</v>
      </c>
      <c r="AM14" s="257">
        <v>60</v>
      </c>
      <c r="AN14" s="258">
        <v>0.5</v>
      </c>
      <c r="AO14" s="257">
        <v>40</v>
      </c>
      <c r="AP14" s="258">
        <v>0.5</v>
      </c>
      <c r="AQ14" s="265">
        <v>10</v>
      </c>
      <c r="AR14" s="258">
        <v>0.2</v>
      </c>
      <c r="AS14" s="257">
        <v>5</v>
      </c>
      <c r="AT14" s="258"/>
      <c r="AU14" s="265"/>
      <c r="AV14" s="258"/>
      <c r="AW14" s="265"/>
      <c r="AX14" s="91">
        <v>6</v>
      </c>
      <c r="AY14" s="92">
        <f t="shared" si="0"/>
        <v>47</v>
      </c>
      <c r="AZ14" s="93">
        <f t="shared" si="0"/>
        <v>295</v>
      </c>
      <c r="BA14" s="94">
        <f t="shared" si="1"/>
        <v>31</v>
      </c>
      <c r="BB14" s="95">
        <f t="shared" si="2"/>
        <v>8</v>
      </c>
      <c r="BC14" s="214"/>
      <c r="BD14" s="197">
        <f t="shared" si="3"/>
        <v>1</v>
      </c>
      <c r="BE14" s="98">
        <f t="shared" si="4"/>
        <v>14.4</v>
      </c>
      <c r="BF14" s="99"/>
      <c r="BG14" s="86">
        <f>novembro!$BE15</f>
        <v>48.900000000000006</v>
      </c>
      <c r="BH14" s="97"/>
      <c r="BI14" s="197">
        <f t="shared" si="5"/>
        <v>0</v>
      </c>
    </row>
    <row r="15" spans="1:61" ht="21" customHeight="1">
      <c r="A15" s="71">
        <v>7</v>
      </c>
      <c r="B15" s="258">
        <v>1.2</v>
      </c>
      <c r="C15" s="257">
        <v>20</v>
      </c>
      <c r="D15" s="258">
        <v>0.1</v>
      </c>
      <c r="E15" s="257">
        <v>30</v>
      </c>
      <c r="F15" s="258"/>
      <c r="G15" s="257"/>
      <c r="H15" s="258">
        <v>0.2</v>
      </c>
      <c r="I15" s="257">
        <v>20</v>
      </c>
      <c r="J15" s="258">
        <v>0.3</v>
      </c>
      <c r="K15" s="257">
        <v>40</v>
      </c>
      <c r="L15" s="258">
        <v>0.1</v>
      </c>
      <c r="M15" s="257">
        <v>60</v>
      </c>
      <c r="N15" s="258">
        <v>0.1</v>
      </c>
      <c r="O15" s="257">
        <v>60</v>
      </c>
      <c r="P15" s="258"/>
      <c r="Q15" s="257"/>
      <c r="R15" s="258"/>
      <c r="S15" s="257"/>
      <c r="T15" s="258"/>
      <c r="U15" s="257"/>
      <c r="V15" s="258">
        <v>0.9</v>
      </c>
      <c r="W15" s="257">
        <v>50</v>
      </c>
      <c r="X15" s="258">
        <v>0.4</v>
      </c>
      <c r="Y15" s="257">
        <v>40</v>
      </c>
      <c r="Z15" s="258">
        <v>0.1</v>
      </c>
      <c r="AA15" s="257">
        <v>10</v>
      </c>
      <c r="AB15" s="258">
        <v>0.4</v>
      </c>
      <c r="AC15" s="257">
        <v>20</v>
      </c>
      <c r="AD15" s="258">
        <v>0.1</v>
      </c>
      <c r="AE15" s="257">
        <v>5</v>
      </c>
      <c r="AF15" s="258"/>
      <c r="AG15" s="257"/>
      <c r="AH15" s="258"/>
      <c r="AI15" s="257"/>
      <c r="AJ15" s="258"/>
      <c r="AK15" s="265"/>
      <c r="AL15" s="258"/>
      <c r="AM15" s="257"/>
      <c r="AN15" s="258">
        <v>0.3</v>
      </c>
      <c r="AO15" s="257">
        <v>30</v>
      </c>
      <c r="AP15" s="258"/>
      <c r="AQ15" s="265"/>
      <c r="AR15" s="258"/>
      <c r="AS15" s="257"/>
      <c r="AT15" s="258"/>
      <c r="AU15" s="265"/>
      <c r="AV15" s="258"/>
      <c r="AW15" s="265"/>
      <c r="AX15" s="91">
        <v>7</v>
      </c>
      <c r="AY15" s="92">
        <f t="shared" si="0"/>
        <v>4.2</v>
      </c>
      <c r="AZ15" s="93">
        <f t="shared" si="0"/>
        <v>385</v>
      </c>
      <c r="BA15" s="94">
        <f t="shared" si="1"/>
        <v>1.2</v>
      </c>
      <c r="BB15" s="95">
        <f t="shared" si="2"/>
        <v>12</v>
      </c>
      <c r="BC15" s="214"/>
      <c r="BD15" s="197">
        <f t="shared" si="3"/>
        <v>1</v>
      </c>
      <c r="BE15" s="98">
        <f t="shared" si="4"/>
        <v>48.900000000000006</v>
      </c>
      <c r="BF15" s="99"/>
      <c r="BG15" s="86">
        <f>novembro!$BE16</f>
        <v>39.4</v>
      </c>
      <c r="BH15" s="97"/>
      <c r="BI15" s="197">
        <f t="shared" si="5"/>
        <v>0</v>
      </c>
    </row>
    <row r="16" spans="1:61" ht="21" customHeight="1">
      <c r="A16" s="71">
        <v>8</v>
      </c>
      <c r="B16" s="258">
        <v>5.0999999999999996</v>
      </c>
      <c r="C16" s="257">
        <v>60</v>
      </c>
      <c r="D16" s="258">
        <v>14.3</v>
      </c>
      <c r="E16" s="257">
        <v>60</v>
      </c>
      <c r="F16" s="258">
        <v>12.1</v>
      </c>
      <c r="G16" s="257">
        <v>60</v>
      </c>
      <c r="H16" s="258">
        <v>1.1000000000000001</v>
      </c>
      <c r="I16" s="257">
        <v>45</v>
      </c>
      <c r="J16" s="258">
        <v>0.8</v>
      </c>
      <c r="K16" s="257">
        <v>30</v>
      </c>
      <c r="L16" s="258">
        <v>2.5</v>
      </c>
      <c r="M16" s="257">
        <v>60</v>
      </c>
      <c r="N16" s="258">
        <v>1.3</v>
      </c>
      <c r="O16" s="257">
        <v>40</v>
      </c>
      <c r="P16" s="258">
        <v>4.5</v>
      </c>
      <c r="Q16" s="257">
        <v>45</v>
      </c>
      <c r="R16" s="258">
        <v>2.5</v>
      </c>
      <c r="S16" s="257">
        <v>45</v>
      </c>
      <c r="T16" s="258"/>
      <c r="U16" s="257"/>
      <c r="V16" s="258">
        <v>11.1</v>
      </c>
      <c r="W16" s="257">
        <v>40</v>
      </c>
      <c r="X16" s="258">
        <v>3.3</v>
      </c>
      <c r="Y16" s="257">
        <v>30</v>
      </c>
      <c r="Z16" s="258">
        <v>0.3</v>
      </c>
      <c r="AA16" s="257">
        <v>20</v>
      </c>
      <c r="AB16" s="258">
        <v>0.1</v>
      </c>
      <c r="AC16" s="257">
        <v>5</v>
      </c>
      <c r="AD16" s="258">
        <v>0.1</v>
      </c>
      <c r="AE16" s="257">
        <v>10</v>
      </c>
      <c r="AF16" s="258">
        <v>0.3</v>
      </c>
      <c r="AG16" s="257">
        <v>15</v>
      </c>
      <c r="AH16" s="258">
        <v>1.1000000000000001</v>
      </c>
      <c r="AI16" s="257">
        <v>60</v>
      </c>
      <c r="AJ16" s="258">
        <v>1.9</v>
      </c>
      <c r="AK16" s="265">
        <v>60</v>
      </c>
      <c r="AL16" s="258">
        <v>0.6</v>
      </c>
      <c r="AM16" s="257">
        <v>50</v>
      </c>
      <c r="AN16" s="258">
        <v>0.8</v>
      </c>
      <c r="AO16" s="257">
        <v>50</v>
      </c>
      <c r="AP16" s="258"/>
      <c r="AQ16" s="265"/>
      <c r="AR16" s="258"/>
      <c r="AS16" s="257"/>
      <c r="AT16" s="258"/>
      <c r="AU16" s="265"/>
      <c r="AV16" s="258"/>
      <c r="AW16" s="265"/>
      <c r="AX16" s="91">
        <v>8</v>
      </c>
      <c r="AY16" s="92">
        <f t="shared" si="0"/>
        <v>63.79999999999999</v>
      </c>
      <c r="AZ16" s="93">
        <f t="shared" si="0"/>
        <v>785</v>
      </c>
      <c r="BA16" s="94">
        <f t="shared" si="1"/>
        <v>14.3</v>
      </c>
      <c r="BB16" s="95">
        <f t="shared" si="2"/>
        <v>19</v>
      </c>
      <c r="BC16" s="216"/>
      <c r="BD16" s="197">
        <f t="shared" si="3"/>
        <v>1</v>
      </c>
      <c r="BE16" s="98">
        <f t="shared" si="4"/>
        <v>39.4</v>
      </c>
      <c r="BF16" s="99"/>
      <c r="BG16" s="86">
        <f>novembro!$BE17</f>
        <v>26.600000000000009</v>
      </c>
      <c r="BH16" s="97"/>
      <c r="BI16" s="197">
        <f t="shared" si="5"/>
        <v>0</v>
      </c>
    </row>
    <row r="17" spans="1:61" ht="21" customHeight="1">
      <c r="A17" s="71">
        <v>9</v>
      </c>
      <c r="B17" s="258"/>
      <c r="C17" s="257"/>
      <c r="D17" s="258"/>
      <c r="E17" s="257"/>
      <c r="F17" s="258"/>
      <c r="G17" s="257"/>
      <c r="H17" s="258"/>
      <c r="I17" s="257"/>
      <c r="J17" s="258"/>
      <c r="K17" s="257"/>
      <c r="L17" s="258"/>
      <c r="M17" s="257"/>
      <c r="N17" s="258"/>
      <c r="O17" s="257"/>
      <c r="P17" s="258"/>
      <c r="Q17" s="257"/>
      <c r="R17" s="258"/>
      <c r="S17" s="257"/>
      <c r="T17" s="258"/>
      <c r="U17" s="257"/>
      <c r="V17" s="258"/>
      <c r="W17" s="257"/>
      <c r="X17" s="258"/>
      <c r="Y17" s="257"/>
      <c r="Z17" s="258"/>
      <c r="AA17" s="257"/>
      <c r="AB17" s="258"/>
      <c r="AC17" s="257"/>
      <c r="AD17" s="258"/>
      <c r="AE17" s="257"/>
      <c r="AF17" s="258"/>
      <c r="AG17" s="257"/>
      <c r="AH17" s="258"/>
      <c r="AI17" s="257"/>
      <c r="AJ17" s="258"/>
      <c r="AK17" s="265"/>
      <c r="AL17" s="258"/>
      <c r="AM17" s="257"/>
      <c r="AN17" s="258"/>
      <c r="AO17" s="257"/>
      <c r="AP17" s="258">
        <v>0.2</v>
      </c>
      <c r="AQ17" s="265">
        <v>20</v>
      </c>
      <c r="AR17" s="258">
        <v>0.1</v>
      </c>
      <c r="AS17" s="257">
        <v>10</v>
      </c>
      <c r="AT17" s="258"/>
      <c r="AU17" s="265"/>
      <c r="AV17" s="258"/>
      <c r="AW17" s="265"/>
      <c r="AX17" s="91">
        <v>9</v>
      </c>
      <c r="AY17" s="92">
        <f t="shared" si="0"/>
        <v>0.30000000000000004</v>
      </c>
      <c r="AZ17" s="93">
        <f t="shared" si="0"/>
        <v>30</v>
      </c>
      <c r="BA17" s="94">
        <f t="shared" si="1"/>
        <v>0.2</v>
      </c>
      <c r="BB17" s="95">
        <f t="shared" si="2"/>
        <v>2</v>
      </c>
      <c r="BC17" s="216"/>
      <c r="BD17" s="197">
        <f t="shared" si="3"/>
        <v>1</v>
      </c>
      <c r="BE17" s="98">
        <f t="shared" si="4"/>
        <v>26.600000000000009</v>
      </c>
      <c r="BF17" s="99"/>
      <c r="BG17" s="86">
        <f>novembro!$BE18</f>
        <v>0.30000000000000004</v>
      </c>
      <c r="BH17" s="97"/>
      <c r="BI17" s="197">
        <f t="shared" si="5"/>
        <v>0</v>
      </c>
    </row>
    <row r="18" spans="1:61" ht="21" customHeight="1">
      <c r="A18" s="71">
        <v>10</v>
      </c>
      <c r="B18" s="258"/>
      <c r="C18" s="257"/>
      <c r="D18" s="258"/>
      <c r="E18" s="257"/>
      <c r="F18" s="258"/>
      <c r="G18" s="257"/>
      <c r="H18" s="258"/>
      <c r="I18" s="257"/>
      <c r="J18" s="258"/>
      <c r="K18" s="257"/>
      <c r="L18" s="258"/>
      <c r="M18" s="257"/>
      <c r="N18" s="258"/>
      <c r="O18" s="257"/>
      <c r="P18" s="258"/>
      <c r="Q18" s="257"/>
      <c r="R18" s="258"/>
      <c r="S18" s="257"/>
      <c r="T18" s="258"/>
      <c r="U18" s="257"/>
      <c r="V18" s="258"/>
      <c r="W18" s="257"/>
      <c r="X18" s="258"/>
      <c r="Y18" s="257"/>
      <c r="Z18" s="258"/>
      <c r="AA18" s="257"/>
      <c r="AB18" s="258"/>
      <c r="AC18" s="257"/>
      <c r="AD18" s="258"/>
      <c r="AE18" s="257"/>
      <c r="AF18" s="258"/>
      <c r="AG18" s="257"/>
      <c r="AH18" s="258"/>
      <c r="AI18" s="257"/>
      <c r="AJ18" s="258"/>
      <c r="AK18" s="265"/>
      <c r="AL18" s="258"/>
      <c r="AM18" s="257"/>
      <c r="AN18" s="258"/>
      <c r="AO18" s="257"/>
      <c r="AP18" s="258"/>
      <c r="AQ18" s="265"/>
      <c r="AR18" s="258"/>
      <c r="AS18" s="257"/>
      <c r="AT18" s="258"/>
      <c r="AU18" s="265"/>
      <c r="AV18" s="258"/>
      <c r="AW18" s="265"/>
      <c r="AX18" s="91">
        <v>10</v>
      </c>
      <c r="AY18" s="92">
        <f t="shared" si="0"/>
        <v>0</v>
      </c>
      <c r="AZ18" s="93">
        <f t="shared" si="0"/>
        <v>0</v>
      </c>
      <c r="BA18" s="94">
        <f t="shared" si="1"/>
        <v>0</v>
      </c>
      <c r="BB18" s="95">
        <f t="shared" si="2"/>
        <v>0</v>
      </c>
      <c r="BC18" s="214"/>
      <c r="BD18" s="197">
        <f t="shared" si="3"/>
        <v>0</v>
      </c>
      <c r="BE18" s="98">
        <f t="shared" si="4"/>
        <v>0.30000000000000004</v>
      </c>
      <c r="BF18" s="99"/>
      <c r="BG18" s="86">
        <f>novembro!$BE19</f>
        <v>0</v>
      </c>
      <c r="BH18" s="97"/>
      <c r="BI18" s="197">
        <f t="shared" si="5"/>
        <v>0</v>
      </c>
    </row>
    <row r="19" spans="1:61" ht="21" customHeight="1">
      <c r="A19" s="71">
        <v>11</v>
      </c>
      <c r="B19" s="258"/>
      <c r="C19" s="257"/>
      <c r="D19" s="258"/>
      <c r="E19" s="257"/>
      <c r="F19" s="258"/>
      <c r="G19" s="257"/>
      <c r="H19" s="258"/>
      <c r="I19" s="257"/>
      <c r="J19" s="258"/>
      <c r="K19" s="257"/>
      <c r="L19" s="258"/>
      <c r="M19" s="257"/>
      <c r="N19" s="258"/>
      <c r="O19" s="257"/>
      <c r="P19" s="258"/>
      <c r="Q19" s="257"/>
      <c r="R19" s="258"/>
      <c r="S19" s="257"/>
      <c r="T19" s="258"/>
      <c r="U19" s="257"/>
      <c r="V19" s="258"/>
      <c r="W19" s="257"/>
      <c r="X19" s="258"/>
      <c r="Y19" s="257"/>
      <c r="Z19" s="258"/>
      <c r="AA19" s="257"/>
      <c r="AB19" s="258"/>
      <c r="AC19" s="257"/>
      <c r="AD19" s="258"/>
      <c r="AE19" s="257"/>
      <c r="AF19" s="258"/>
      <c r="AG19" s="257"/>
      <c r="AH19" s="258"/>
      <c r="AI19" s="257"/>
      <c r="AJ19" s="258"/>
      <c r="AK19" s="265"/>
      <c r="AL19" s="258"/>
      <c r="AM19" s="257"/>
      <c r="AN19" s="258"/>
      <c r="AO19" s="257"/>
      <c r="AP19" s="258"/>
      <c r="AQ19" s="265"/>
      <c r="AR19" s="258"/>
      <c r="AS19" s="257"/>
      <c r="AT19" s="258"/>
      <c r="AU19" s="265"/>
      <c r="AV19" s="258"/>
      <c r="AW19" s="265"/>
      <c r="AX19" s="91">
        <v>11</v>
      </c>
      <c r="AY19" s="92">
        <f t="shared" si="0"/>
        <v>0</v>
      </c>
      <c r="AZ19" s="93">
        <f t="shared" si="0"/>
        <v>0</v>
      </c>
      <c r="BA19" s="94">
        <f t="shared" si="1"/>
        <v>0</v>
      </c>
      <c r="BB19" s="95">
        <f t="shared" si="2"/>
        <v>0</v>
      </c>
      <c r="BC19" s="214"/>
      <c r="BD19" s="197">
        <f t="shared" si="3"/>
        <v>0</v>
      </c>
      <c r="BE19" s="98">
        <f t="shared" si="4"/>
        <v>0</v>
      </c>
      <c r="BF19" s="99"/>
      <c r="BG19" s="86">
        <f>novembro!$BE20</f>
        <v>0</v>
      </c>
      <c r="BH19" s="97"/>
      <c r="BI19" s="197">
        <f t="shared" si="5"/>
        <v>0</v>
      </c>
    </row>
    <row r="20" spans="1:61" ht="21" customHeight="1">
      <c r="A20" s="71">
        <v>12</v>
      </c>
      <c r="B20" s="258"/>
      <c r="C20" s="257"/>
      <c r="D20" s="258"/>
      <c r="E20" s="257"/>
      <c r="F20" s="258"/>
      <c r="G20" s="257"/>
      <c r="H20" s="258"/>
      <c r="I20" s="257"/>
      <c r="J20" s="258"/>
      <c r="K20" s="257"/>
      <c r="L20" s="258"/>
      <c r="M20" s="257"/>
      <c r="N20" s="258"/>
      <c r="O20" s="257"/>
      <c r="P20" s="258"/>
      <c r="Q20" s="257"/>
      <c r="R20" s="258"/>
      <c r="S20" s="257"/>
      <c r="T20" s="258"/>
      <c r="U20" s="257"/>
      <c r="V20" s="258"/>
      <c r="W20" s="257"/>
      <c r="X20" s="258"/>
      <c r="Y20" s="257"/>
      <c r="Z20" s="258"/>
      <c r="AA20" s="257"/>
      <c r="AB20" s="258"/>
      <c r="AC20" s="257"/>
      <c r="AD20" s="258"/>
      <c r="AE20" s="257"/>
      <c r="AF20" s="258"/>
      <c r="AG20" s="257"/>
      <c r="AH20" s="258"/>
      <c r="AI20" s="257"/>
      <c r="AJ20" s="258"/>
      <c r="AK20" s="265"/>
      <c r="AL20" s="258"/>
      <c r="AM20" s="257"/>
      <c r="AN20" s="258"/>
      <c r="AO20" s="257"/>
      <c r="AP20" s="258"/>
      <c r="AQ20" s="265"/>
      <c r="AR20" s="258"/>
      <c r="AS20" s="257"/>
      <c r="AT20" s="258">
        <v>0.5</v>
      </c>
      <c r="AU20" s="265">
        <v>10</v>
      </c>
      <c r="AV20" s="258">
        <v>7.2</v>
      </c>
      <c r="AW20" s="265">
        <v>60</v>
      </c>
      <c r="AX20" s="91">
        <v>12</v>
      </c>
      <c r="AY20" s="92">
        <f t="shared" si="0"/>
        <v>7.7</v>
      </c>
      <c r="AZ20" s="93">
        <f t="shared" si="0"/>
        <v>70</v>
      </c>
      <c r="BA20" s="94">
        <f t="shared" si="1"/>
        <v>7.2</v>
      </c>
      <c r="BB20" s="95">
        <f t="shared" si="2"/>
        <v>2</v>
      </c>
      <c r="BC20" s="214"/>
      <c r="BD20" s="197">
        <f t="shared" si="3"/>
        <v>1</v>
      </c>
      <c r="BE20" s="98">
        <f t="shared" si="4"/>
        <v>0</v>
      </c>
      <c r="BF20" s="99"/>
      <c r="BG20" s="86">
        <f>novembro!$BE21</f>
        <v>9.1999999999999993</v>
      </c>
      <c r="BH20" s="97"/>
      <c r="BI20" s="197">
        <f t="shared" si="5"/>
        <v>0</v>
      </c>
    </row>
    <row r="21" spans="1:61" ht="21" customHeight="1">
      <c r="A21" s="71">
        <v>13</v>
      </c>
      <c r="B21" s="258">
        <v>0.1</v>
      </c>
      <c r="C21" s="257">
        <v>10</v>
      </c>
      <c r="D21" s="258">
        <v>0.3</v>
      </c>
      <c r="E21" s="257">
        <v>30</v>
      </c>
      <c r="F21" s="258">
        <v>0.3</v>
      </c>
      <c r="G21" s="257">
        <v>10</v>
      </c>
      <c r="H21" s="258">
        <v>0.6</v>
      </c>
      <c r="I21" s="257">
        <v>30</v>
      </c>
      <c r="J21" s="258">
        <v>0.2</v>
      </c>
      <c r="K21" s="257">
        <v>10</v>
      </c>
      <c r="L21" s="258"/>
      <c r="M21" s="257"/>
      <c r="N21" s="258"/>
      <c r="O21" s="257"/>
      <c r="P21" s="258"/>
      <c r="Q21" s="257"/>
      <c r="R21" s="258"/>
      <c r="S21" s="257"/>
      <c r="T21" s="258"/>
      <c r="U21" s="257"/>
      <c r="V21" s="258"/>
      <c r="W21" s="257"/>
      <c r="X21" s="258"/>
      <c r="Y21" s="257"/>
      <c r="Z21" s="258"/>
      <c r="AA21" s="257"/>
      <c r="AB21" s="258"/>
      <c r="AC21" s="257"/>
      <c r="AD21" s="258"/>
      <c r="AE21" s="257"/>
      <c r="AF21" s="258"/>
      <c r="AG21" s="257"/>
      <c r="AH21" s="258"/>
      <c r="AI21" s="257"/>
      <c r="AJ21" s="258"/>
      <c r="AK21" s="265"/>
      <c r="AL21" s="258"/>
      <c r="AM21" s="257"/>
      <c r="AN21" s="258"/>
      <c r="AO21" s="257"/>
      <c r="AP21" s="258"/>
      <c r="AQ21" s="265"/>
      <c r="AR21" s="258"/>
      <c r="AS21" s="257"/>
      <c r="AT21" s="258"/>
      <c r="AU21" s="265"/>
      <c r="AV21" s="258"/>
      <c r="AW21" s="265"/>
      <c r="AX21" s="91">
        <v>13</v>
      </c>
      <c r="AY21" s="92">
        <f t="shared" si="0"/>
        <v>1.4999999999999998</v>
      </c>
      <c r="AZ21" s="93">
        <f t="shared" si="0"/>
        <v>90</v>
      </c>
      <c r="BA21" s="94">
        <f t="shared" si="1"/>
        <v>0.6</v>
      </c>
      <c r="BB21" s="95">
        <f t="shared" si="2"/>
        <v>5</v>
      </c>
      <c r="BC21" s="214"/>
      <c r="BD21" s="197">
        <f t="shared" si="3"/>
        <v>1</v>
      </c>
      <c r="BE21" s="98">
        <f t="shared" si="4"/>
        <v>9.1999999999999993</v>
      </c>
      <c r="BF21" s="99"/>
      <c r="BG21" s="86">
        <f>novembro!$BE22</f>
        <v>0</v>
      </c>
      <c r="BH21" s="97"/>
      <c r="BI21" s="197">
        <f t="shared" si="5"/>
        <v>0</v>
      </c>
    </row>
    <row r="22" spans="1:61" ht="21" customHeight="1">
      <c r="A22" s="71">
        <v>14</v>
      </c>
      <c r="B22" s="258"/>
      <c r="C22" s="257"/>
      <c r="D22" s="258"/>
      <c r="E22" s="257"/>
      <c r="F22" s="258"/>
      <c r="G22" s="257"/>
      <c r="H22" s="258"/>
      <c r="I22" s="257"/>
      <c r="J22" s="258"/>
      <c r="K22" s="257"/>
      <c r="L22" s="258"/>
      <c r="M22" s="257"/>
      <c r="N22" s="258"/>
      <c r="O22" s="257"/>
      <c r="P22" s="258"/>
      <c r="Q22" s="257"/>
      <c r="R22" s="258"/>
      <c r="S22" s="257"/>
      <c r="T22" s="258"/>
      <c r="U22" s="257"/>
      <c r="V22" s="258"/>
      <c r="W22" s="257"/>
      <c r="X22" s="258"/>
      <c r="Y22" s="257"/>
      <c r="Z22" s="258"/>
      <c r="AA22" s="257"/>
      <c r="AB22" s="258"/>
      <c r="AC22" s="257"/>
      <c r="AD22" s="258"/>
      <c r="AE22" s="257"/>
      <c r="AF22" s="258"/>
      <c r="AG22" s="257"/>
      <c r="AH22" s="258"/>
      <c r="AI22" s="257"/>
      <c r="AJ22" s="258"/>
      <c r="AK22" s="265"/>
      <c r="AL22" s="258"/>
      <c r="AM22" s="257"/>
      <c r="AN22" s="258"/>
      <c r="AO22" s="257"/>
      <c r="AP22" s="258"/>
      <c r="AQ22" s="265"/>
      <c r="AR22" s="258"/>
      <c r="AS22" s="257"/>
      <c r="AT22" s="258"/>
      <c r="AU22" s="265"/>
      <c r="AV22" s="258"/>
      <c r="AW22" s="265"/>
      <c r="AX22" s="91">
        <v>14</v>
      </c>
      <c r="AY22" s="92">
        <f t="shared" si="0"/>
        <v>0</v>
      </c>
      <c r="AZ22" s="93">
        <f t="shared" si="0"/>
        <v>0</v>
      </c>
      <c r="BA22" s="94">
        <f t="shared" si="1"/>
        <v>0</v>
      </c>
      <c r="BB22" s="95">
        <f t="shared" si="2"/>
        <v>0</v>
      </c>
      <c r="BC22" s="214"/>
      <c r="BD22" s="197">
        <f t="shared" si="3"/>
        <v>0</v>
      </c>
      <c r="BE22" s="98">
        <f t="shared" si="4"/>
        <v>0</v>
      </c>
      <c r="BF22" s="99"/>
      <c r="BG22" s="86">
        <f>novembro!$BE23</f>
        <v>0</v>
      </c>
      <c r="BH22" s="97"/>
      <c r="BI22" s="197">
        <f t="shared" si="5"/>
        <v>0</v>
      </c>
    </row>
    <row r="23" spans="1:61" ht="21" customHeight="1">
      <c r="A23" s="71">
        <v>15</v>
      </c>
      <c r="B23" s="258"/>
      <c r="C23" s="257"/>
      <c r="D23" s="258"/>
      <c r="E23" s="257"/>
      <c r="F23" s="258"/>
      <c r="G23" s="257"/>
      <c r="H23" s="258"/>
      <c r="I23" s="257"/>
      <c r="J23" s="258"/>
      <c r="K23" s="257"/>
      <c r="L23" s="258"/>
      <c r="M23" s="257"/>
      <c r="N23" s="258"/>
      <c r="O23" s="257"/>
      <c r="P23" s="258"/>
      <c r="Q23" s="257"/>
      <c r="R23" s="258"/>
      <c r="S23" s="257"/>
      <c r="T23" s="258"/>
      <c r="U23" s="257"/>
      <c r="V23" s="258"/>
      <c r="W23" s="257"/>
      <c r="X23" s="258"/>
      <c r="Y23" s="257"/>
      <c r="Z23" s="258"/>
      <c r="AA23" s="257"/>
      <c r="AB23" s="258"/>
      <c r="AC23" s="257"/>
      <c r="AD23" s="258"/>
      <c r="AE23" s="257"/>
      <c r="AF23" s="258"/>
      <c r="AG23" s="257"/>
      <c r="AH23" s="258"/>
      <c r="AI23" s="257"/>
      <c r="AJ23" s="258"/>
      <c r="AK23" s="265"/>
      <c r="AL23" s="258"/>
      <c r="AM23" s="257"/>
      <c r="AN23" s="258"/>
      <c r="AO23" s="257"/>
      <c r="AP23" s="258"/>
      <c r="AQ23" s="265"/>
      <c r="AR23" s="258"/>
      <c r="AS23" s="257"/>
      <c r="AT23" s="258"/>
      <c r="AU23" s="265"/>
      <c r="AV23" s="258"/>
      <c r="AW23" s="265"/>
      <c r="AX23" s="91">
        <v>15</v>
      </c>
      <c r="AY23" s="92">
        <f t="shared" si="0"/>
        <v>0</v>
      </c>
      <c r="AZ23" s="93">
        <f t="shared" si="0"/>
        <v>0</v>
      </c>
      <c r="BA23" s="94">
        <f t="shared" si="1"/>
        <v>0</v>
      </c>
      <c r="BB23" s="95">
        <f t="shared" si="2"/>
        <v>0</v>
      </c>
      <c r="BC23" s="214"/>
      <c r="BD23" s="197">
        <f t="shared" si="3"/>
        <v>0</v>
      </c>
      <c r="BE23" s="98">
        <f t="shared" si="4"/>
        <v>0</v>
      </c>
      <c r="BF23" s="99"/>
      <c r="BG23" s="86">
        <f>novembro!$BE24</f>
        <v>0</v>
      </c>
      <c r="BH23" s="97"/>
      <c r="BI23" s="197">
        <f t="shared" si="5"/>
        <v>0</v>
      </c>
    </row>
    <row r="24" spans="1:61" ht="21" customHeight="1">
      <c r="A24" s="71">
        <v>16</v>
      </c>
      <c r="B24" s="258"/>
      <c r="C24" s="257"/>
      <c r="D24" s="258"/>
      <c r="E24" s="257"/>
      <c r="F24" s="258"/>
      <c r="G24" s="257"/>
      <c r="H24" s="258"/>
      <c r="I24" s="257"/>
      <c r="J24" s="258"/>
      <c r="K24" s="257"/>
      <c r="L24" s="258"/>
      <c r="M24" s="257"/>
      <c r="N24" s="258"/>
      <c r="O24" s="257"/>
      <c r="P24" s="258"/>
      <c r="Q24" s="257"/>
      <c r="R24" s="258"/>
      <c r="S24" s="257"/>
      <c r="T24" s="258">
        <v>0.2</v>
      </c>
      <c r="U24" s="257">
        <v>10</v>
      </c>
      <c r="V24" s="258">
        <v>0.2</v>
      </c>
      <c r="W24" s="257">
        <v>15</v>
      </c>
      <c r="X24" s="258"/>
      <c r="Y24" s="257"/>
      <c r="Z24" s="258"/>
      <c r="AA24" s="257"/>
      <c r="AB24" s="258"/>
      <c r="AC24" s="257"/>
      <c r="AD24" s="258"/>
      <c r="AE24" s="257"/>
      <c r="AF24" s="258"/>
      <c r="AG24" s="257"/>
      <c r="AH24" s="258"/>
      <c r="AI24" s="257"/>
      <c r="AJ24" s="258"/>
      <c r="AK24" s="265"/>
      <c r="AL24" s="258"/>
      <c r="AM24" s="257"/>
      <c r="AN24" s="258"/>
      <c r="AO24" s="257"/>
      <c r="AP24" s="258"/>
      <c r="AQ24" s="265"/>
      <c r="AR24" s="258"/>
      <c r="AS24" s="257"/>
      <c r="AT24" s="258"/>
      <c r="AU24" s="265"/>
      <c r="AV24" s="258"/>
      <c r="AW24" s="265"/>
      <c r="AX24" s="91">
        <v>16</v>
      </c>
      <c r="AY24" s="92">
        <f t="shared" si="0"/>
        <v>0.4</v>
      </c>
      <c r="AZ24" s="93">
        <f t="shared" si="0"/>
        <v>25</v>
      </c>
      <c r="BA24" s="94">
        <f t="shared" si="1"/>
        <v>0.2</v>
      </c>
      <c r="BB24" s="95">
        <f t="shared" si="2"/>
        <v>2</v>
      </c>
      <c r="BC24" s="214"/>
      <c r="BD24" s="197">
        <f t="shared" si="3"/>
        <v>1</v>
      </c>
      <c r="BE24" s="98">
        <f t="shared" si="4"/>
        <v>0</v>
      </c>
      <c r="BF24" s="99"/>
      <c r="BG24" s="86">
        <f>novembro!$BE25</f>
        <v>0.4</v>
      </c>
      <c r="BH24" s="97"/>
      <c r="BI24" s="197">
        <f t="shared" si="5"/>
        <v>0</v>
      </c>
    </row>
    <row r="25" spans="1:61" ht="21" customHeight="1">
      <c r="A25" s="71">
        <v>17</v>
      </c>
      <c r="B25" s="258"/>
      <c r="C25" s="257"/>
      <c r="D25" s="258"/>
      <c r="E25" s="257"/>
      <c r="F25" s="258"/>
      <c r="G25" s="257"/>
      <c r="H25" s="258"/>
      <c r="I25" s="257"/>
      <c r="J25" s="258"/>
      <c r="K25" s="257"/>
      <c r="L25" s="258"/>
      <c r="M25" s="257"/>
      <c r="N25" s="258"/>
      <c r="O25" s="257"/>
      <c r="P25" s="258"/>
      <c r="Q25" s="257"/>
      <c r="R25" s="258"/>
      <c r="S25" s="257"/>
      <c r="T25" s="258"/>
      <c r="U25" s="257"/>
      <c r="V25" s="258"/>
      <c r="W25" s="257"/>
      <c r="X25" s="258"/>
      <c r="Y25" s="257"/>
      <c r="Z25" s="258"/>
      <c r="AA25" s="257"/>
      <c r="AB25" s="258"/>
      <c r="AC25" s="257"/>
      <c r="AD25" s="258"/>
      <c r="AE25" s="257"/>
      <c r="AF25" s="258"/>
      <c r="AG25" s="257"/>
      <c r="AH25" s="258"/>
      <c r="AI25" s="257"/>
      <c r="AJ25" s="258"/>
      <c r="AK25" s="265"/>
      <c r="AL25" s="258"/>
      <c r="AM25" s="257"/>
      <c r="AN25" s="258"/>
      <c r="AO25" s="257"/>
      <c r="AP25" s="258"/>
      <c r="AQ25" s="265"/>
      <c r="AR25" s="258"/>
      <c r="AS25" s="257"/>
      <c r="AT25" s="258"/>
      <c r="AU25" s="265"/>
      <c r="AV25" s="258"/>
      <c r="AW25" s="265"/>
      <c r="AX25" s="91">
        <v>17</v>
      </c>
      <c r="AY25" s="92">
        <f t="shared" si="0"/>
        <v>0</v>
      </c>
      <c r="AZ25" s="93">
        <f t="shared" si="0"/>
        <v>0</v>
      </c>
      <c r="BA25" s="94">
        <f t="shared" si="1"/>
        <v>0</v>
      </c>
      <c r="BB25" s="95">
        <f t="shared" si="2"/>
        <v>0</v>
      </c>
      <c r="BC25" s="214"/>
      <c r="BD25" s="197">
        <f t="shared" si="3"/>
        <v>0</v>
      </c>
      <c r="BE25" s="98">
        <f t="shared" si="4"/>
        <v>0.4</v>
      </c>
      <c r="BF25" s="99"/>
      <c r="BG25" s="86">
        <f>novembro!$BE26</f>
        <v>0</v>
      </c>
      <c r="BH25" s="97"/>
      <c r="BI25" s="197">
        <f t="shared" si="5"/>
        <v>0</v>
      </c>
    </row>
    <row r="26" spans="1:61" ht="21" customHeight="1">
      <c r="A26" s="71">
        <v>18</v>
      </c>
      <c r="B26" s="258"/>
      <c r="C26" s="257"/>
      <c r="D26" s="258"/>
      <c r="E26" s="257"/>
      <c r="F26" s="258"/>
      <c r="G26" s="257"/>
      <c r="H26" s="258"/>
      <c r="I26" s="257"/>
      <c r="J26" s="258"/>
      <c r="K26" s="257"/>
      <c r="L26" s="258"/>
      <c r="M26" s="257"/>
      <c r="N26" s="258"/>
      <c r="O26" s="257"/>
      <c r="P26" s="258"/>
      <c r="Q26" s="257"/>
      <c r="R26" s="258"/>
      <c r="S26" s="257"/>
      <c r="T26" s="258"/>
      <c r="U26" s="257"/>
      <c r="V26" s="258"/>
      <c r="W26" s="257"/>
      <c r="X26" s="258"/>
      <c r="Y26" s="257"/>
      <c r="Z26" s="258"/>
      <c r="AA26" s="257"/>
      <c r="AB26" s="258"/>
      <c r="AC26" s="257"/>
      <c r="AD26" s="258"/>
      <c r="AE26" s="257"/>
      <c r="AF26" s="258"/>
      <c r="AG26" s="257"/>
      <c r="AH26" s="258"/>
      <c r="AI26" s="257"/>
      <c r="AJ26" s="258"/>
      <c r="AK26" s="265"/>
      <c r="AL26" s="258"/>
      <c r="AM26" s="257"/>
      <c r="AN26" s="258"/>
      <c r="AO26" s="257"/>
      <c r="AP26" s="258"/>
      <c r="AQ26" s="265"/>
      <c r="AR26" s="258"/>
      <c r="AS26" s="257"/>
      <c r="AT26" s="258"/>
      <c r="AU26" s="265"/>
      <c r="AV26" s="258"/>
      <c r="AW26" s="265"/>
      <c r="AX26" s="91">
        <v>18</v>
      </c>
      <c r="AY26" s="92">
        <f t="shared" si="0"/>
        <v>0</v>
      </c>
      <c r="AZ26" s="93">
        <f t="shared" si="0"/>
        <v>0</v>
      </c>
      <c r="BA26" s="94">
        <f t="shared" si="1"/>
        <v>0</v>
      </c>
      <c r="BB26" s="95">
        <f t="shared" si="2"/>
        <v>0</v>
      </c>
      <c r="BC26" s="214"/>
      <c r="BD26" s="197">
        <f t="shared" si="3"/>
        <v>0</v>
      </c>
      <c r="BE26" s="98">
        <f t="shared" si="4"/>
        <v>0</v>
      </c>
      <c r="BF26" s="99"/>
      <c r="BG26" s="86">
        <f>novembro!$BE27</f>
        <v>0</v>
      </c>
      <c r="BH26" s="97"/>
      <c r="BI26" s="197">
        <f t="shared" si="5"/>
        <v>0</v>
      </c>
    </row>
    <row r="27" spans="1:61" ht="21" customHeight="1">
      <c r="A27" s="71">
        <v>19</v>
      </c>
      <c r="B27" s="258"/>
      <c r="C27" s="257"/>
      <c r="D27" s="258"/>
      <c r="E27" s="257"/>
      <c r="F27" s="258"/>
      <c r="G27" s="257"/>
      <c r="H27" s="258"/>
      <c r="I27" s="257"/>
      <c r="J27" s="258"/>
      <c r="K27" s="257"/>
      <c r="L27" s="258"/>
      <c r="M27" s="257"/>
      <c r="N27" s="258"/>
      <c r="O27" s="257"/>
      <c r="P27" s="258"/>
      <c r="Q27" s="257"/>
      <c r="R27" s="258"/>
      <c r="S27" s="257"/>
      <c r="T27" s="258"/>
      <c r="U27" s="257"/>
      <c r="V27" s="258"/>
      <c r="W27" s="257"/>
      <c r="X27" s="258"/>
      <c r="Y27" s="257"/>
      <c r="Z27" s="258"/>
      <c r="AA27" s="257"/>
      <c r="AB27" s="258"/>
      <c r="AC27" s="257"/>
      <c r="AD27" s="258"/>
      <c r="AE27" s="257"/>
      <c r="AF27" s="258"/>
      <c r="AG27" s="257"/>
      <c r="AH27" s="258"/>
      <c r="AI27" s="257"/>
      <c r="AJ27" s="258"/>
      <c r="AK27" s="265"/>
      <c r="AL27" s="258"/>
      <c r="AM27" s="257"/>
      <c r="AN27" s="258"/>
      <c r="AO27" s="257"/>
      <c r="AP27" s="258"/>
      <c r="AQ27" s="265"/>
      <c r="AR27" s="258"/>
      <c r="AS27" s="257"/>
      <c r="AT27" s="258"/>
      <c r="AU27" s="265"/>
      <c r="AV27" s="258"/>
      <c r="AW27" s="265"/>
      <c r="AX27" s="91">
        <v>19</v>
      </c>
      <c r="AY27" s="92">
        <f t="shared" si="0"/>
        <v>0</v>
      </c>
      <c r="AZ27" s="93">
        <f t="shared" si="0"/>
        <v>0</v>
      </c>
      <c r="BA27" s="94">
        <f t="shared" si="1"/>
        <v>0</v>
      </c>
      <c r="BB27" s="95">
        <f t="shared" si="2"/>
        <v>0</v>
      </c>
      <c r="BC27" s="214"/>
      <c r="BD27" s="197">
        <f t="shared" si="3"/>
        <v>0</v>
      </c>
      <c r="BE27" s="98">
        <f t="shared" si="4"/>
        <v>0</v>
      </c>
      <c r="BF27" s="99"/>
      <c r="BG27" s="86">
        <f>novembro!$BE28</f>
        <v>0</v>
      </c>
      <c r="BH27" s="97"/>
      <c r="BI27" s="197">
        <f t="shared" si="5"/>
        <v>0</v>
      </c>
    </row>
    <row r="28" spans="1:61" ht="21" customHeight="1">
      <c r="A28" s="71">
        <v>20</v>
      </c>
      <c r="B28" s="258"/>
      <c r="C28" s="257"/>
      <c r="D28" s="258"/>
      <c r="E28" s="257"/>
      <c r="F28" s="258"/>
      <c r="G28" s="257"/>
      <c r="H28" s="258"/>
      <c r="I28" s="257"/>
      <c r="J28" s="258"/>
      <c r="K28" s="257"/>
      <c r="L28" s="258"/>
      <c r="M28" s="257"/>
      <c r="N28" s="258"/>
      <c r="O28" s="257"/>
      <c r="P28" s="258"/>
      <c r="Q28" s="257"/>
      <c r="R28" s="258"/>
      <c r="S28" s="257"/>
      <c r="T28" s="258"/>
      <c r="U28" s="257"/>
      <c r="V28" s="258"/>
      <c r="W28" s="257"/>
      <c r="X28" s="258"/>
      <c r="Y28" s="257"/>
      <c r="Z28" s="258"/>
      <c r="AA28" s="257"/>
      <c r="AB28" s="258"/>
      <c r="AC28" s="257"/>
      <c r="AD28" s="258"/>
      <c r="AE28" s="257"/>
      <c r="AF28" s="258"/>
      <c r="AG28" s="257"/>
      <c r="AH28" s="258"/>
      <c r="AI28" s="257"/>
      <c r="AJ28" s="258"/>
      <c r="AK28" s="265"/>
      <c r="AL28" s="258"/>
      <c r="AM28" s="257"/>
      <c r="AN28" s="258"/>
      <c r="AO28" s="257"/>
      <c r="AP28" s="258"/>
      <c r="AQ28" s="265"/>
      <c r="AR28" s="258"/>
      <c r="AS28" s="257"/>
      <c r="AT28" s="258"/>
      <c r="AU28" s="265"/>
      <c r="AV28" s="258"/>
      <c r="AW28" s="265"/>
      <c r="AX28" s="91">
        <v>20</v>
      </c>
      <c r="AY28" s="92">
        <f t="shared" si="0"/>
        <v>0</v>
      </c>
      <c r="AZ28" s="93">
        <f t="shared" si="0"/>
        <v>0</v>
      </c>
      <c r="BA28" s="94">
        <f t="shared" si="1"/>
        <v>0</v>
      </c>
      <c r="BB28" s="95">
        <f t="shared" si="2"/>
        <v>0</v>
      </c>
      <c r="BC28" s="214"/>
      <c r="BD28" s="197">
        <f t="shared" si="3"/>
        <v>0</v>
      </c>
      <c r="BE28" s="98">
        <f t="shared" si="4"/>
        <v>0</v>
      </c>
      <c r="BF28" s="99"/>
      <c r="BG28" s="86">
        <f>novembro!$BE29</f>
        <v>0</v>
      </c>
      <c r="BH28" s="97"/>
      <c r="BI28" s="197">
        <f t="shared" si="5"/>
        <v>0</v>
      </c>
    </row>
    <row r="29" spans="1:61" ht="21" customHeight="1">
      <c r="A29" s="71">
        <v>21</v>
      </c>
      <c r="B29" s="258"/>
      <c r="C29" s="257"/>
      <c r="D29" s="258"/>
      <c r="E29" s="257"/>
      <c r="F29" s="258"/>
      <c r="G29" s="257"/>
      <c r="H29" s="258"/>
      <c r="I29" s="257"/>
      <c r="J29" s="258"/>
      <c r="K29" s="257"/>
      <c r="L29" s="258"/>
      <c r="M29" s="257"/>
      <c r="N29" s="258"/>
      <c r="O29" s="257"/>
      <c r="P29" s="258"/>
      <c r="Q29" s="257"/>
      <c r="R29" s="258"/>
      <c r="S29" s="257"/>
      <c r="T29" s="258"/>
      <c r="U29" s="257"/>
      <c r="V29" s="258">
        <v>0.3</v>
      </c>
      <c r="W29" s="257">
        <v>5</v>
      </c>
      <c r="X29" s="258">
        <v>1.3</v>
      </c>
      <c r="Y29" s="257">
        <v>25</v>
      </c>
      <c r="Z29" s="256"/>
      <c r="AA29" s="257"/>
      <c r="AB29" s="258"/>
      <c r="AC29" s="257"/>
      <c r="AD29" s="258"/>
      <c r="AE29" s="257"/>
      <c r="AF29" s="258"/>
      <c r="AG29" s="257"/>
      <c r="AH29" s="258"/>
      <c r="AI29" s="257"/>
      <c r="AJ29" s="258"/>
      <c r="AK29" s="265"/>
      <c r="AL29" s="258"/>
      <c r="AM29" s="257"/>
      <c r="AN29" s="258"/>
      <c r="AO29" s="257"/>
      <c r="AP29" s="258"/>
      <c r="AQ29" s="265"/>
      <c r="AR29" s="258"/>
      <c r="AS29" s="257"/>
      <c r="AT29" s="258"/>
      <c r="AU29" s="265"/>
      <c r="AV29" s="258"/>
      <c r="AW29" s="265"/>
      <c r="AX29" s="91">
        <v>21</v>
      </c>
      <c r="AY29" s="92">
        <f>B29+D29+F29+H29+J29+L29+N29+P29+R29+T29+V29+X29+Z29+AB29+AD29+AF29+AH29+AJ29+AL29+AN29+AP29+AR29+AT29+AV29</f>
        <v>1.6</v>
      </c>
      <c r="AZ29" s="93">
        <f t="shared" si="0"/>
        <v>30</v>
      </c>
      <c r="BA29" s="94">
        <f t="shared" si="1"/>
        <v>1.3</v>
      </c>
      <c r="BB29" s="95">
        <f t="shared" si="2"/>
        <v>2</v>
      </c>
      <c r="BC29" s="214"/>
      <c r="BD29" s="197">
        <f t="shared" si="3"/>
        <v>1</v>
      </c>
      <c r="BE29" s="98">
        <f t="shared" si="4"/>
        <v>0</v>
      </c>
      <c r="BF29" s="99"/>
      <c r="BG29" s="86">
        <f>novembro!$BE30</f>
        <v>2.7000000000000006</v>
      </c>
      <c r="BH29" s="97"/>
      <c r="BI29" s="197">
        <f t="shared" si="5"/>
        <v>0</v>
      </c>
    </row>
    <row r="30" spans="1:61" ht="21" customHeight="1">
      <c r="A30" s="71">
        <v>22</v>
      </c>
      <c r="B30" s="258">
        <v>0.1</v>
      </c>
      <c r="C30" s="257">
        <v>5</v>
      </c>
      <c r="D30" s="258">
        <v>0.7</v>
      </c>
      <c r="E30" s="257">
        <v>30</v>
      </c>
      <c r="F30" s="258"/>
      <c r="G30" s="257"/>
      <c r="H30" s="258">
        <v>0.2</v>
      </c>
      <c r="I30" s="257">
        <v>20</v>
      </c>
      <c r="J30" s="258">
        <v>0.1</v>
      </c>
      <c r="K30" s="257">
        <v>30</v>
      </c>
      <c r="L30" s="258"/>
      <c r="M30" s="257"/>
      <c r="N30" s="258"/>
      <c r="O30" s="257"/>
      <c r="P30" s="258"/>
      <c r="Q30" s="257"/>
      <c r="R30" s="258"/>
      <c r="S30" s="257"/>
      <c r="T30" s="258"/>
      <c r="U30" s="257"/>
      <c r="V30" s="258"/>
      <c r="W30" s="257"/>
      <c r="X30" s="258"/>
      <c r="Y30" s="257"/>
      <c r="Z30" s="258"/>
      <c r="AA30" s="257"/>
      <c r="AB30" s="258"/>
      <c r="AC30" s="257"/>
      <c r="AD30" s="258"/>
      <c r="AE30" s="257"/>
      <c r="AF30" s="258"/>
      <c r="AG30" s="257"/>
      <c r="AH30" s="258"/>
      <c r="AI30" s="257"/>
      <c r="AJ30" s="258"/>
      <c r="AK30" s="265"/>
      <c r="AL30" s="258"/>
      <c r="AM30" s="257"/>
      <c r="AN30" s="258"/>
      <c r="AO30" s="257"/>
      <c r="AP30" s="258"/>
      <c r="AQ30" s="265"/>
      <c r="AR30" s="258"/>
      <c r="AS30" s="257"/>
      <c r="AT30" s="258"/>
      <c r="AU30" s="265"/>
      <c r="AV30" s="258"/>
      <c r="AW30" s="265"/>
      <c r="AX30" s="91">
        <v>22</v>
      </c>
      <c r="AY30" s="92">
        <f t="shared" si="0"/>
        <v>1.1000000000000001</v>
      </c>
      <c r="AZ30" s="93">
        <f t="shared" si="0"/>
        <v>85</v>
      </c>
      <c r="BA30" s="94">
        <f t="shared" si="1"/>
        <v>0.7</v>
      </c>
      <c r="BB30" s="95">
        <f t="shared" si="2"/>
        <v>4</v>
      </c>
      <c r="BC30" s="214"/>
      <c r="BD30" s="197">
        <f t="shared" si="3"/>
        <v>1</v>
      </c>
      <c r="BE30" s="98">
        <f t="shared" si="4"/>
        <v>2.7000000000000006</v>
      </c>
      <c r="BF30" s="99"/>
      <c r="BG30" s="86">
        <f>novembro!$BE31</f>
        <v>1</v>
      </c>
      <c r="BH30" s="97"/>
      <c r="BI30" s="197">
        <f t="shared" si="5"/>
        <v>0</v>
      </c>
    </row>
    <row r="31" spans="1:61" ht="21" customHeight="1">
      <c r="A31" s="71">
        <v>23</v>
      </c>
      <c r="B31" s="258">
        <v>0.3</v>
      </c>
      <c r="C31" s="257">
        <v>15</v>
      </c>
      <c r="D31" s="258">
        <v>0.2</v>
      </c>
      <c r="E31" s="257">
        <v>15</v>
      </c>
      <c r="F31" s="258"/>
      <c r="G31" s="257"/>
      <c r="H31" s="258"/>
      <c r="I31" s="257"/>
      <c r="J31" s="258"/>
      <c r="K31" s="257"/>
      <c r="L31" s="258">
        <v>0.5</v>
      </c>
      <c r="M31" s="257">
        <v>30</v>
      </c>
      <c r="N31" s="258"/>
      <c r="O31" s="257"/>
      <c r="P31" s="258"/>
      <c r="Q31" s="257"/>
      <c r="R31" s="258"/>
      <c r="S31" s="257"/>
      <c r="T31" s="258"/>
      <c r="U31" s="257"/>
      <c r="V31" s="258"/>
      <c r="W31" s="257"/>
      <c r="X31" s="258"/>
      <c r="Y31" s="257"/>
      <c r="Z31" s="258"/>
      <c r="AA31" s="257"/>
      <c r="AB31" s="258"/>
      <c r="AC31" s="257"/>
      <c r="AD31" s="258"/>
      <c r="AE31" s="257"/>
      <c r="AF31" s="258"/>
      <c r="AG31" s="257"/>
      <c r="AH31" s="258"/>
      <c r="AI31" s="257"/>
      <c r="AJ31" s="258"/>
      <c r="AK31" s="265"/>
      <c r="AL31" s="258"/>
      <c r="AM31" s="257"/>
      <c r="AN31" s="258"/>
      <c r="AO31" s="257"/>
      <c r="AP31" s="258"/>
      <c r="AQ31" s="265"/>
      <c r="AR31" s="269"/>
      <c r="AS31" s="257"/>
      <c r="AT31" s="258"/>
      <c r="AU31" s="265"/>
      <c r="AV31" s="258"/>
      <c r="AW31" s="265"/>
      <c r="AX31" s="91">
        <v>23</v>
      </c>
      <c r="AY31" s="92">
        <f t="shared" si="0"/>
        <v>1</v>
      </c>
      <c r="AZ31" s="93">
        <f t="shared" si="0"/>
        <v>60</v>
      </c>
      <c r="BA31" s="94">
        <f t="shared" si="1"/>
        <v>0.5</v>
      </c>
      <c r="BB31" s="95">
        <f t="shared" si="2"/>
        <v>3</v>
      </c>
      <c r="BC31" s="214"/>
      <c r="BD31" s="197">
        <f t="shared" si="3"/>
        <v>1</v>
      </c>
      <c r="BE31" s="98">
        <f t="shared" si="4"/>
        <v>1</v>
      </c>
      <c r="BF31" s="99"/>
      <c r="BG31" s="86">
        <f>novembro!$BE32</f>
        <v>0.5</v>
      </c>
      <c r="BH31" s="97"/>
      <c r="BI31" s="197">
        <f t="shared" si="5"/>
        <v>0</v>
      </c>
    </row>
    <row r="32" spans="1:61" ht="21" customHeight="1">
      <c r="A32" s="71">
        <v>24</v>
      </c>
      <c r="B32" s="258"/>
      <c r="C32" s="257"/>
      <c r="D32" s="258"/>
      <c r="E32" s="257"/>
      <c r="F32" s="258"/>
      <c r="G32" s="257"/>
      <c r="H32" s="258"/>
      <c r="I32" s="257"/>
      <c r="J32" s="258"/>
      <c r="K32" s="257"/>
      <c r="L32" s="258">
        <v>0.5</v>
      </c>
      <c r="M32" s="257">
        <v>35</v>
      </c>
      <c r="N32" s="258"/>
      <c r="O32" s="257"/>
      <c r="P32" s="258"/>
      <c r="Q32" s="257"/>
      <c r="R32" s="258"/>
      <c r="S32" s="257"/>
      <c r="T32" s="258"/>
      <c r="U32" s="257"/>
      <c r="V32" s="258"/>
      <c r="W32" s="257"/>
      <c r="X32" s="258"/>
      <c r="Y32" s="257"/>
      <c r="Z32" s="258"/>
      <c r="AA32" s="257"/>
      <c r="AB32" s="258"/>
      <c r="AC32" s="257"/>
      <c r="AD32" s="258"/>
      <c r="AE32" s="257"/>
      <c r="AF32" s="258"/>
      <c r="AG32" s="257"/>
      <c r="AH32" s="258"/>
      <c r="AI32" s="257"/>
      <c r="AJ32" s="258"/>
      <c r="AK32" s="265"/>
      <c r="AL32" s="258"/>
      <c r="AM32" s="257"/>
      <c r="AN32" s="258"/>
      <c r="AO32" s="257"/>
      <c r="AP32" s="258"/>
      <c r="AQ32" s="265"/>
      <c r="AR32" s="269"/>
      <c r="AS32" s="257"/>
      <c r="AT32" s="258"/>
      <c r="AU32" s="265"/>
      <c r="AV32" s="258"/>
      <c r="AW32" s="265"/>
      <c r="AX32" s="91">
        <v>24</v>
      </c>
      <c r="AY32" s="92">
        <f t="shared" si="0"/>
        <v>0.5</v>
      </c>
      <c r="AZ32" s="93">
        <f t="shared" si="0"/>
        <v>35</v>
      </c>
      <c r="BA32" s="94">
        <f t="shared" si="1"/>
        <v>0.5</v>
      </c>
      <c r="BB32" s="95">
        <f t="shared" si="2"/>
        <v>1</v>
      </c>
      <c r="BC32" s="214"/>
      <c r="BD32" s="197">
        <f t="shared" si="3"/>
        <v>1</v>
      </c>
      <c r="BE32" s="98">
        <f t="shared" si="4"/>
        <v>0.5</v>
      </c>
      <c r="BF32" s="99"/>
      <c r="BG32" s="86">
        <f>novembro!$BE33</f>
        <v>0</v>
      </c>
      <c r="BH32" s="97"/>
      <c r="BI32" s="197">
        <f t="shared" si="5"/>
        <v>0</v>
      </c>
    </row>
    <row r="33" spans="1:61" ht="21" customHeight="1">
      <c r="A33" s="71">
        <v>25</v>
      </c>
      <c r="B33" s="258"/>
      <c r="C33" s="257"/>
      <c r="D33" s="258"/>
      <c r="E33" s="257"/>
      <c r="F33" s="258"/>
      <c r="G33" s="257"/>
      <c r="H33" s="258"/>
      <c r="I33" s="257"/>
      <c r="J33" s="258"/>
      <c r="K33" s="257"/>
      <c r="L33" s="258"/>
      <c r="M33" s="257"/>
      <c r="N33" s="258"/>
      <c r="O33" s="257"/>
      <c r="P33" s="258"/>
      <c r="Q33" s="257"/>
      <c r="R33" s="258"/>
      <c r="S33" s="257"/>
      <c r="T33" s="258"/>
      <c r="U33" s="257"/>
      <c r="V33" s="258"/>
      <c r="W33" s="257"/>
      <c r="X33" s="258"/>
      <c r="Y33" s="257"/>
      <c r="Z33" s="258"/>
      <c r="AA33" s="257"/>
      <c r="AB33" s="258"/>
      <c r="AC33" s="257"/>
      <c r="AD33" s="258"/>
      <c r="AE33" s="257"/>
      <c r="AF33" s="258"/>
      <c r="AG33" s="257"/>
      <c r="AH33" s="258"/>
      <c r="AI33" s="257"/>
      <c r="AJ33" s="258"/>
      <c r="AK33" s="265"/>
      <c r="AL33" s="258"/>
      <c r="AM33" s="257"/>
      <c r="AN33" s="258"/>
      <c r="AO33" s="257"/>
      <c r="AP33" s="258"/>
      <c r="AQ33" s="265"/>
      <c r="AR33" s="269"/>
      <c r="AS33" s="257"/>
      <c r="AT33" s="258"/>
      <c r="AU33" s="265"/>
      <c r="AV33" s="258"/>
      <c r="AW33" s="265"/>
      <c r="AX33" s="91">
        <v>25</v>
      </c>
      <c r="AY33" s="92">
        <f t="shared" si="0"/>
        <v>0</v>
      </c>
      <c r="AZ33" s="93">
        <f t="shared" si="0"/>
        <v>0</v>
      </c>
      <c r="BA33" s="94">
        <f t="shared" si="1"/>
        <v>0</v>
      </c>
      <c r="BB33" s="95">
        <f t="shared" si="2"/>
        <v>0</v>
      </c>
      <c r="BC33" s="214"/>
      <c r="BD33" s="197">
        <f t="shared" si="3"/>
        <v>0</v>
      </c>
      <c r="BE33" s="98">
        <f t="shared" si="4"/>
        <v>0</v>
      </c>
      <c r="BF33" s="99"/>
      <c r="BG33" s="86">
        <f>novembro!$BE34</f>
        <v>0</v>
      </c>
      <c r="BH33" s="97"/>
      <c r="BI33" s="197">
        <f t="shared" si="5"/>
        <v>0</v>
      </c>
    </row>
    <row r="34" spans="1:61" ht="21" customHeight="1">
      <c r="A34" s="71">
        <v>26</v>
      </c>
      <c r="B34" s="258"/>
      <c r="C34" s="257"/>
      <c r="D34" s="258"/>
      <c r="E34" s="257"/>
      <c r="F34" s="258"/>
      <c r="G34" s="257"/>
      <c r="H34" s="258"/>
      <c r="I34" s="257"/>
      <c r="J34" s="258"/>
      <c r="K34" s="257"/>
      <c r="L34" s="258"/>
      <c r="M34" s="257"/>
      <c r="N34" s="258"/>
      <c r="O34" s="257"/>
      <c r="P34" s="258"/>
      <c r="Q34" s="257"/>
      <c r="R34" s="258"/>
      <c r="S34" s="257"/>
      <c r="T34" s="258"/>
      <c r="U34" s="257"/>
      <c r="V34" s="258"/>
      <c r="W34" s="257"/>
      <c r="X34" s="258"/>
      <c r="Y34" s="257"/>
      <c r="Z34" s="258"/>
      <c r="AA34" s="257"/>
      <c r="AB34" s="258"/>
      <c r="AC34" s="257"/>
      <c r="AD34" s="258"/>
      <c r="AE34" s="257"/>
      <c r="AF34" s="258"/>
      <c r="AG34" s="257"/>
      <c r="AH34" s="258"/>
      <c r="AI34" s="257"/>
      <c r="AJ34" s="258"/>
      <c r="AK34" s="265"/>
      <c r="AL34" s="258"/>
      <c r="AM34" s="257"/>
      <c r="AN34" s="258"/>
      <c r="AO34" s="257"/>
      <c r="AP34" s="258"/>
      <c r="AQ34" s="265"/>
      <c r="AR34" s="258"/>
      <c r="AS34" s="257"/>
      <c r="AT34" s="258"/>
      <c r="AU34" s="265"/>
      <c r="AV34" s="258"/>
      <c r="AW34" s="265"/>
      <c r="AX34" s="91">
        <v>26</v>
      </c>
      <c r="AY34" s="92">
        <f t="shared" si="0"/>
        <v>0</v>
      </c>
      <c r="AZ34" s="93">
        <f t="shared" si="0"/>
        <v>0</v>
      </c>
      <c r="BA34" s="94">
        <f t="shared" si="1"/>
        <v>0</v>
      </c>
      <c r="BB34" s="95">
        <f t="shared" si="2"/>
        <v>0</v>
      </c>
      <c r="BC34" s="214"/>
      <c r="BD34" s="197">
        <f t="shared" si="3"/>
        <v>0</v>
      </c>
      <c r="BE34" s="98">
        <f t="shared" si="4"/>
        <v>0</v>
      </c>
      <c r="BF34" s="99"/>
      <c r="BG34" s="86">
        <f>novembro!$BE35</f>
        <v>0</v>
      </c>
      <c r="BH34" s="97"/>
      <c r="BI34" s="197">
        <f t="shared" si="5"/>
        <v>0</v>
      </c>
    </row>
    <row r="35" spans="1:61" ht="21" customHeight="1">
      <c r="A35" s="71">
        <v>27</v>
      </c>
      <c r="B35" s="258"/>
      <c r="C35" s="257"/>
      <c r="D35" s="258"/>
      <c r="E35" s="257"/>
      <c r="F35" s="258"/>
      <c r="G35" s="257"/>
      <c r="H35" s="258"/>
      <c r="I35" s="257"/>
      <c r="J35" s="258"/>
      <c r="K35" s="257"/>
      <c r="L35" s="258"/>
      <c r="M35" s="257"/>
      <c r="N35" s="258"/>
      <c r="O35" s="257"/>
      <c r="P35" s="258"/>
      <c r="Q35" s="257"/>
      <c r="R35" s="258"/>
      <c r="S35" s="257"/>
      <c r="T35" s="258"/>
      <c r="U35" s="257"/>
      <c r="V35" s="258"/>
      <c r="W35" s="257"/>
      <c r="X35" s="258"/>
      <c r="Y35" s="257"/>
      <c r="Z35" s="258"/>
      <c r="AA35" s="257"/>
      <c r="AB35" s="258"/>
      <c r="AC35" s="257"/>
      <c r="AD35" s="258"/>
      <c r="AE35" s="257"/>
      <c r="AF35" s="258"/>
      <c r="AG35" s="257"/>
      <c r="AH35" s="258"/>
      <c r="AI35" s="257"/>
      <c r="AJ35" s="258"/>
      <c r="AK35" s="265"/>
      <c r="AL35" s="258"/>
      <c r="AM35" s="257"/>
      <c r="AN35" s="258"/>
      <c r="AO35" s="257"/>
      <c r="AP35" s="258"/>
      <c r="AQ35" s="265"/>
      <c r="AR35" s="258"/>
      <c r="AS35" s="257"/>
      <c r="AT35" s="258"/>
      <c r="AU35" s="265"/>
      <c r="AV35" s="258"/>
      <c r="AW35" s="265"/>
      <c r="AX35" s="91">
        <v>27</v>
      </c>
      <c r="AY35" s="92">
        <f t="shared" si="0"/>
        <v>0</v>
      </c>
      <c r="AZ35" s="93">
        <f t="shared" si="0"/>
        <v>0</v>
      </c>
      <c r="BA35" s="94">
        <f t="shared" si="1"/>
        <v>0</v>
      </c>
      <c r="BB35" s="95">
        <f t="shared" si="2"/>
        <v>0</v>
      </c>
      <c r="BC35" s="214"/>
      <c r="BD35" s="197">
        <f t="shared" si="3"/>
        <v>0</v>
      </c>
      <c r="BE35" s="98">
        <f t="shared" si="4"/>
        <v>0</v>
      </c>
      <c r="BF35" s="99"/>
      <c r="BG35" s="86">
        <f>novembro!$BE36</f>
        <v>0</v>
      </c>
      <c r="BH35" s="97"/>
      <c r="BI35" s="197">
        <f t="shared" si="5"/>
        <v>0</v>
      </c>
    </row>
    <row r="36" spans="1:61" ht="21" customHeight="1">
      <c r="A36" s="71">
        <v>28</v>
      </c>
      <c r="B36" s="258"/>
      <c r="C36" s="257"/>
      <c r="D36" s="258"/>
      <c r="E36" s="257"/>
      <c r="F36" s="258"/>
      <c r="G36" s="257"/>
      <c r="H36" s="258"/>
      <c r="I36" s="257"/>
      <c r="J36" s="258"/>
      <c r="K36" s="257"/>
      <c r="L36" s="258"/>
      <c r="M36" s="257"/>
      <c r="N36" s="258"/>
      <c r="O36" s="257"/>
      <c r="P36" s="258"/>
      <c r="Q36" s="257"/>
      <c r="R36" s="258"/>
      <c r="S36" s="257"/>
      <c r="T36" s="258"/>
      <c r="U36" s="257"/>
      <c r="V36" s="258"/>
      <c r="W36" s="257"/>
      <c r="X36" s="258"/>
      <c r="Y36" s="257"/>
      <c r="Z36" s="258"/>
      <c r="AA36" s="257"/>
      <c r="AB36" s="258"/>
      <c r="AC36" s="257"/>
      <c r="AD36" s="258"/>
      <c r="AE36" s="257"/>
      <c r="AF36" s="258"/>
      <c r="AG36" s="257"/>
      <c r="AH36" s="258">
        <v>7.1</v>
      </c>
      <c r="AI36" s="257">
        <v>30</v>
      </c>
      <c r="AJ36" s="258">
        <v>21.1</v>
      </c>
      <c r="AK36" s="265">
        <v>60</v>
      </c>
      <c r="AL36" s="258">
        <v>0.7</v>
      </c>
      <c r="AM36" s="257">
        <v>50</v>
      </c>
      <c r="AN36" s="258"/>
      <c r="AO36" s="257"/>
      <c r="AP36" s="258">
        <v>4.2</v>
      </c>
      <c r="AQ36" s="265">
        <v>40</v>
      </c>
      <c r="AR36" s="258"/>
      <c r="AS36" s="257"/>
      <c r="AT36" s="258"/>
      <c r="AU36" s="265"/>
      <c r="AV36" s="258"/>
      <c r="AW36" s="265"/>
      <c r="AX36" s="91">
        <v>28</v>
      </c>
      <c r="AY36" s="92">
        <f t="shared" si="0"/>
        <v>33.1</v>
      </c>
      <c r="AZ36" s="93">
        <f t="shared" si="0"/>
        <v>180</v>
      </c>
      <c r="BA36" s="94">
        <f t="shared" si="1"/>
        <v>21.1</v>
      </c>
      <c r="BB36" s="95">
        <f t="shared" si="2"/>
        <v>4</v>
      </c>
      <c r="BC36" s="214"/>
      <c r="BD36" s="197">
        <f t="shared" si="3"/>
        <v>1</v>
      </c>
      <c r="BE36" s="98">
        <f t="shared" si="4"/>
        <v>0</v>
      </c>
      <c r="BF36" s="99"/>
      <c r="BG36" s="86">
        <f>novembro!$BE37</f>
        <v>33.1</v>
      </c>
      <c r="BH36" s="97"/>
      <c r="BI36" s="197">
        <f t="shared" si="5"/>
        <v>0</v>
      </c>
    </row>
    <row r="37" spans="1:61" ht="21" customHeight="1">
      <c r="A37" s="71">
        <v>29</v>
      </c>
      <c r="B37" s="258"/>
      <c r="C37" s="257"/>
      <c r="D37" s="258"/>
      <c r="E37" s="257"/>
      <c r="F37" s="258"/>
      <c r="G37" s="257"/>
      <c r="H37" s="258"/>
      <c r="I37" s="257"/>
      <c r="J37" s="258"/>
      <c r="K37" s="257"/>
      <c r="L37" s="258"/>
      <c r="M37" s="257"/>
      <c r="N37" s="258"/>
      <c r="O37" s="257"/>
      <c r="P37" s="258"/>
      <c r="Q37" s="257"/>
      <c r="R37" s="258"/>
      <c r="S37" s="257"/>
      <c r="T37" s="258"/>
      <c r="U37" s="257"/>
      <c r="V37" s="258"/>
      <c r="W37" s="257"/>
      <c r="X37" s="258"/>
      <c r="Y37" s="257"/>
      <c r="Z37" s="258"/>
      <c r="AA37" s="257"/>
      <c r="AB37" s="258"/>
      <c r="AC37" s="257"/>
      <c r="AD37" s="258"/>
      <c r="AE37" s="257"/>
      <c r="AF37" s="258"/>
      <c r="AG37" s="257"/>
      <c r="AH37" s="258"/>
      <c r="AI37" s="257"/>
      <c r="AJ37" s="258"/>
      <c r="AK37" s="265"/>
      <c r="AL37" s="258"/>
      <c r="AM37" s="257"/>
      <c r="AN37" s="258"/>
      <c r="AO37" s="257"/>
      <c r="AP37" s="258"/>
      <c r="AQ37" s="265"/>
      <c r="AR37" s="258"/>
      <c r="AS37" s="257"/>
      <c r="AT37" s="258"/>
      <c r="AU37" s="270"/>
      <c r="AV37" s="258"/>
      <c r="AW37" s="265"/>
      <c r="AX37" s="111">
        <v>29</v>
      </c>
      <c r="AY37" s="92">
        <f t="shared" si="0"/>
        <v>0</v>
      </c>
      <c r="AZ37" s="93">
        <f t="shared" si="0"/>
        <v>0</v>
      </c>
      <c r="BA37" s="94">
        <f t="shared" si="1"/>
        <v>0</v>
      </c>
      <c r="BB37" s="95">
        <f t="shared" si="2"/>
        <v>0</v>
      </c>
      <c r="BC37" s="214"/>
      <c r="BD37" s="197">
        <f t="shared" si="3"/>
        <v>0</v>
      </c>
      <c r="BE37" s="98">
        <f t="shared" si="4"/>
        <v>33.1</v>
      </c>
      <c r="BF37" s="99"/>
      <c r="BG37" s="86">
        <f>novembro!$BE38</f>
        <v>0</v>
      </c>
      <c r="BH37" s="97"/>
      <c r="BI37" s="197">
        <f t="shared" si="5"/>
        <v>0</v>
      </c>
    </row>
    <row r="38" spans="1:61" ht="21" customHeight="1" thickBot="1">
      <c r="A38" s="71">
        <v>30</v>
      </c>
      <c r="B38" s="283"/>
      <c r="C38" s="128"/>
      <c r="D38" s="276"/>
      <c r="E38" s="128"/>
      <c r="F38" s="276"/>
      <c r="G38" s="128"/>
      <c r="H38" s="276"/>
      <c r="I38" s="128"/>
      <c r="J38" s="276"/>
      <c r="K38" s="128"/>
      <c r="L38" s="276"/>
      <c r="M38" s="128"/>
      <c r="N38" s="276"/>
      <c r="O38" s="128"/>
      <c r="P38" s="258"/>
      <c r="Q38" s="257"/>
      <c r="R38" s="258"/>
      <c r="S38" s="257"/>
      <c r="T38" s="258"/>
      <c r="U38" s="257"/>
      <c r="V38" s="258"/>
      <c r="W38" s="257"/>
      <c r="X38" s="258"/>
      <c r="Y38" s="257"/>
      <c r="Z38" s="258"/>
      <c r="AA38" s="257"/>
      <c r="AB38" s="258"/>
      <c r="AC38" s="257"/>
      <c r="AD38" s="258"/>
      <c r="AE38" s="257"/>
      <c r="AF38" s="258"/>
      <c r="AG38" s="257"/>
      <c r="AH38" s="258"/>
      <c r="AI38" s="257"/>
      <c r="AJ38" s="258"/>
      <c r="AK38" s="265"/>
      <c r="AL38" s="258"/>
      <c r="AM38" s="257"/>
      <c r="AN38" s="258"/>
      <c r="AO38" s="257"/>
      <c r="AP38" s="258"/>
      <c r="AQ38" s="265"/>
      <c r="AR38" s="271"/>
      <c r="AS38" s="272"/>
      <c r="AT38" s="258"/>
      <c r="AU38" s="265"/>
      <c r="AV38" s="258"/>
      <c r="AW38" s="265"/>
      <c r="AX38" s="111">
        <v>30</v>
      </c>
      <c r="AY38" s="92">
        <f t="shared" si="0"/>
        <v>0</v>
      </c>
      <c r="AZ38" s="93">
        <f t="shared" si="0"/>
        <v>0</v>
      </c>
      <c r="BA38" s="94">
        <f t="shared" si="1"/>
        <v>0</v>
      </c>
      <c r="BB38" s="95">
        <f t="shared" si="2"/>
        <v>0</v>
      </c>
      <c r="BC38" s="214"/>
      <c r="BD38" s="197">
        <f t="shared" si="3"/>
        <v>0</v>
      </c>
      <c r="BE38" s="98">
        <f>P37+R37+T37+V37+X37+Z37+AB37+AD37+AF37+AH37+AJ37+AL37+AN37+AP37+AR37+AT37+AV37+B38+D38+F38+H38+J38+L38+N38</f>
        <v>0</v>
      </c>
      <c r="BF38" s="99"/>
      <c r="BG38" s="127">
        <f>novembro!$BH40</f>
        <v>0</v>
      </c>
      <c r="BH38" s="97"/>
      <c r="BI38" s="197">
        <f t="shared" si="5"/>
        <v>0</v>
      </c>
    </row>
    <row r="39" spans="1:61" ht="21" customHeight="1" thickBot="1">
      <c r="A39" s="284">
        <v>1</v>
      </c>
      <c r="B39" s="221"/>
      <c r="C39" s="222"/>
      <c r="D39" s="223"/>
      <c r="E39" s="222"/>
      <c r="F39" s="223"/>
      <c r="G39" s="222"/>
      <c r="H39" s="223"/>
      <c r="I39" s="222"/>
      <c r="J39" s="223"/>
      <c r="K39" s="222"/>
      <c r="L39" s="223"/>
      <c r="M39" s="222"/>
      <c r="N39" s="223"/>
      <c r="O39" s="224"/>
      <c r="P39" s="276"/>
      <c r="Q39" s="274"/>
      <c r="R39" s="275"/>
      <c r="S39" s="274"/>
      <c r="T39" s="275"/>
      <c r="U39" s="274"/>
      <c r="V39" s="275"/>
      <c r="W39" s="274"/>
      <c r="X39" s="275"/>
      <c r="Y39" s="274"/>
      <c r="Z39" s="275"/>
      <c r="AA39" s="274"/>
      <c r="AB39" s="275"/>
      <c r="AC39" s="274"/>
      <c r="AD39" s="275"/>
      <c r="AE39" s="274"/>
      <c r="AF39" s="275"/>
      <c r="AG39" s="274"/>
      <c r="AH39" s="275"/>
      <c r="AI39" s="274"/>
      <c r="AJ39" s="275"/>
      <c r="AK39" s="277"/>
      <c r="AL39" s="278"/>
      <c r="AM39" s="274"/>
      <c r="AN39" s="275"/>
      <c r="AO39" s="274"/>
      <c r="AP39" s="275"/>
      <c r="AQ39" s="279"/>
      <c r="AR39" s="275"/>
      <c r="AS39" s="274"/>
      <c r="AT39" s="275"/>
      <c r="AU39" s="279"/>
      <c r="AV39" s="280"/>
      <c r="AW39" s="279"/>
      <c r="AX39" s="123"/>
      <c r="AY39" s="92"/>
      <c r="AZ39" s="93"/>
      <c r="BA39" s="94"/>
      <c r="BB39" s="95"/>
      <c r="BC39" s="214"/>
      <c r="BD39" s="197"/>
      <c r="BE39" s="138"/>
      <c r="BF39" s="342"/>
      <c r="BG39" s="343"/>
      <c r="BH39" s="125" t="s">
        <v>97</v>
      </c>
      <c r="BI39" s="197">
        <f t="shared" si="5"/>
        <v>1</v>
      </c>
    </row>
    <row r="40" spans="1:61" ht="21" customHeight="1" thickBot="1">
      <c r="A40" s="229"/>
      <c r="B40" s="230"/>
      <c r="C40" s="32"/>
      <c r="D40" s="31"/>
      <c r="E40" s="32"/>
      <c r="F40" s="31"/>
      <c r="G40" s="32"/>
      <c r="H40" s="31"/>
      <c r="I40" s="32"/>
      <c r="J40" s="31"/>
      <c r="K40" s="32"/>
      <c r="L40" s="31"/>
      <c r="M40" s="32"/>
      <c r="N40" s="31"/>
      <c r="O40" s="31"/>
      <c r="P40" s="230"/>
      <c r="Q40" s="32"/>
      <c r="R40" s="31"/>
      <c r="S40" s="32"/>
      <c r="T40" s="31"/>
      <c r="U40" s="32"/>
      <c r="V40" s="31"/>
      <c r="W40" s="32"/>
      <c r="X40" s="31"/>
      <c r="Y40" s="32"/>
      <c r="Z40" s="31"/>
      <c r="AA40" s="32"/>
      <c r="AB40" s="31"/>
      <c r="AC40" s="32"/>
      <c r="AD40" s="31"/>
      <c r="AE40" s="32"/>
      <c r="AF40" s="31"/>
      <c r="AG40" s="32"/>
      <c r="AH40" s="31"/>
      <c r="AI40" s="32"/>
      <c r="AJ40" s="31"/>
      <c r="AK40" s="32"/>
      <c r="AL40" s="31"/>
      <c r="AM40" s="32"/>
      <c r="AN40" s="31"/>
      <c r="AO40" s="32"/>
      <c r="AP40" s="31"/>
      <c r="AQ40" s="32"/>
      <c r="AR40" s="31"/>
      <c r="AS40" s="32"/>
      <c r="AT40" s="31"/>
      <c r="AU40" s="32"/>
      <c r="AV40" s="31"/>
      <c r="AW40" s="32"/>
      <c r="AX40" s="132"/>
      <c r="AY40" s="231" t="s">
        <v>53</v>
      </c>
      <c r="AZ40" s="232"/>
      <c r="BA40" s="233"/>
      <c r="BB40" s="136"/>
      <c r="BC40" s="214"/>
      <c r="BD40" s="137" t="s">
        <v>54</v>
      </c>
      <c r="BE40" s="138">
        <f>SUM(BE9:BE39)</f>
        <v>232.7</v>
      </c>
      <c r="BF40" s="232"/>
      <c r="BG40" s="139"/>
      <c r="BH40" s="140">
        <f>P38+R38+T38+V38+X38+Z38+AB38+AD38+AF38+AH38+AJ38+AL38+AN38+AP38+AR38+AT38+AV38+B39+D39+F39+H39+J39+L39+N39</f>
        <v>0</v>
      </c>
      <c r="BI40" s="214"/>
    </row>
    <row r="41" spans="1:61" ht="21" customHeight="1" thickBot="1">
      <c r="A41" s="142"/>
      <c r="B41" s="37" t="s">
        <v>19</v>
      </c>
      <c r="C41" s="37"/>
      <c r="D41" s="38" t="s">
        <v>20</v>
      </c>
      <c r="E41" s="38"/>
      <c r="F41" s="37" t="s">
        <v>21</v>
      </c>
      <c r="G41" s="37"/>
      <c r="H41" s="37" t="s">
        <v>22</v>
      </c>
      <c r="I41" s="37"/>
      <c r="J41" s="39" t="s">
        <v>23</v>
      </c>
      <c r="K41" s="39"/>
      <c r="L41" s="37" t="s">
        <v>24</v>
      </c>
      <c r="M41" s="37"/>
      <c r="N41" s="37" t="s">
        <v>25</v>
      </c>
      <c r="O41" s="37"/>
      <c r="P41" s="37" t="s">
        <v>26</v>
      </c>
      <c r="Q41" s="37"/>
      <c r="R41" s="37" t="s">
        <v>27</v>
      </c>
      <c r="S41" s="37"/>
      <c r="T41" s="37" t="s">
        <v>28</v>
      </c>
      <c r="U41" s="37"/>
      <c r="V41" s="37" t="s">
        <v>29</v>
      </c>
      <c r="W41" s="37"/>
      <c r="X41" s="37" t="s">
        <v>30</v>
      </c>
      <c r="Y41" s="37"/>
      <c r="Z41" s="40" t="s">
        <v>31</v>
      </c>
      <c r="AA41" s="40"/>
      <c r="AB41" s="37" t="s">
        <v>32</v>
      </c>
      <c r="AC41" s="37"/>
      <c r="AD41" s="37" t="s">
        <v>33</v>
      </c>
      <c r="AE41" s="37"/>
      <c r="AF41" s="37" t="s">
        <v>34</v>
      </c>
      <c r="AG41" s="37"/>
      <c r="AH41" s="37" t="s">
        <v>35</v>
      </c>
      <c r="AI41" s="37"/>
      <c r="AJ41" s="37" t="s">
        <v>36</v>
      </c>
      <c r="AK41" s="37"/>
      <c r="AL41" s="37" t="s">
        <v>37</v>
      </c>
      <c r="AM41" s="37"/>
      <c r="AN41" s="37" t="s">
        <v>38</v>
      </c>
      <c r="AO41" s="37"/>
      <c r="AP41" s="37" t="s">
        <v>39</v>
      </c>
      <c r="AQ41" s="37"/>
      <c r="AR41" s="37" t="s">
        <v>40</v>
      </c>
      <c r="AS41" s="37"/>
      <c r="AT41" s="37" t="s">
        <v>41</v>
      </c>
      <c r="AU41" s="37"/>
      <c r="AV41" s="37" t="s">
        <v>42</v>
      </c>
      <c r="AW41" s="37"/>
      <c r="AX41" s="146"/>
      <c r="AY41" s="33" t="s">
        <v>15</v>
      </c>
      <c r="AZ41" s="33" t="s">
        <v>16</v>
      </c>
      <c r="BA41" s="34" t="s">
        <v>17</v>
      </c>
      <c r="BB41" s="34" t="s">
        <v>55</v>
      </c>
      <c r="BC41" s="214"/>
      <c r="BD41" s="137" t="s">
        <v>56</v>
      </c>
      <c r="BE41" s="147">
        <f>MAX(BE9:BE39)</f>
        <v>48.900000000000006</v>
      </c>
      <c r="BF41" s="148"/>
      <c r="BG41" s="148"/>
      <c r="BH41" s="148"/>
      <c r="BI41" s="238"/>
    </row>
    <row r="42" spans="1:61" ht="21" customHeight="1" thickBot="1">
      <c r="A42" s="142"/>
      <c r="B42" s="234" t="s">
        <v>47</v>
      </c>
      <c r="C42" s="235" t="s">
        <v>48</v>
      </c>
      <c r="D42" s="204" t="s">
        <v>47</v>
      </c>
      <c r="E42" s="236" t="s">
        <v>48</v>
      </c>
      <c r="F42" s="204" t="s">
        <v>47</v>
      </c>
      <c r="G42" s="237" t="s">
        <v>48</v>
      </c>
      <c r="H42" s="204" t="s">
        <v>47</v>
      </c>
      <c r="I42" s="237" t="s">
        <v>48</v>
      </c>
      <c r="J42" s="204" t="s">
        <v>47</v>
      </c>
      <c r="K42" s="237" t="s">
        <v>48</v>
      </c>
      <c r="L42" s="204" t="s">
        <v>47</v>
      </c>
      <c r="M42" s="237" t="s">
        <v>48</v>
      </c>
      <c r="N42" s="204" t="s">
        <v>47</v>
      </c>
      <c r="O42" s="237" t="s">
        <v>48</v>
      </c>
      <c r="P42" s="204" t="s">
        <v>47</v>
      </c>
      <c r="Q42" s="237" t="s">
        <v>48</v>
      </c>
      <c r="R42" s="204" t="s">
        <v>47</v>
      </c>
      <c r="S42" s="237" t="s">
        <v>48</v>
      </c>
      <c r="T42" s="204" t="s">
        <v>47</v>
      </c>
      <c r="U42" s="237" t="s">
        <v>48</v>
      </c>
      <c r="V42" s="204" t="s">
        <v>47</v>
      </c>
      <c r="W42" s="237" t="s">
        <v>48</v>
      </c>
      <c r="X42" s="204" t="s">
        <v>47</v>
      </c>
      <c r="Y42" s="237" t="s">
        <v>48</v>
      </c>
      <c r="Z42" s="204" t="s">
        <v>47</v>
      </c>
      <c r="AA42" s="237" t="s">
        <v>48</v>
      </c>
      <c r="AB42" s="204" t="s">
        <v>47</v>
      </c>
      <c r="AC42" s="237" t="s">
        <v>48</v>
      </c>
      <c r="AD42" s="204" t="s">
        <v>47</v>
      </c>
      <c r="AE42" s="237" t="s">
        <v>48</v>
      </c>
      <c r="AF42" s="204" t="s">
        <v>47</v>
      </c>
      <c r="AG42" s="237" t="s">
        <v>48</v>
      </c>
      <c r="AH42" s="204" t="s">
        <v>47</v>
      </c>
      <c r="AI42" s="237" t="s">
        <v>48</v>
      </c>
      <c r="AJ42" s="204" t="s">
        <v>47</v>
      </c>
      <c r="AK42" s="205" t="s">
        <v>48</v>
      </c>
      <c r="AL42" s="204" t="s">
        <v>47</v>
      </c>
      <c r="AM42" s="237" t="s">
        <v>48</v>
      </c>
      <c r="AN42" s="204" t="s">
        <v>47</v>
      </c>
      <c r="AO42" s="237" t="s">
        <v>48</v>
      </c>
      <c r="AP42" s="204" t="s">
        <v>47</v>
      </c>
      <c r="AQ42" s="205" t="s">
        <v>48</v>
      </c>
      <c r="AR42" s="204" t="s">
        <v>47</v>
      </c>
      <c r="AS42" s="237" t="s">
        <v>48</v>
      </c>
      <c r="AT42" s="204" t="s">
        <v>47</v>
      </c>
      <c r="AU42" s="205" t="s">
        <v>48</v>
      </c>
      <c r="AV42" s="204" t="s">
        <v>47</v>
      </c>
      <c r="AW42" s="205" t="s">
        <v>48</v>
      </c>
      <c r="AX42" s="146"/>
      <c r="AY42" s="35" t="s">
        <v>57</v>
      </c>
      <c r="AZ42" s="35" t="s">
        <v>43</v>
      </c>
      <c r="BA42" s="35" t="s">
        <v>44</v>
      </c>
      <c r="BB42" s="35" t="s">
        <v>58</v>
      </c>
      <c r="BC42" s="214"/>
      <c r="BD42" s="137" t="s">
        <v>59</v>
      </c>
      <c r="BE42" s="70">
        <f>COUNTIF(BE9:BE39,"&gt;=1")</f>
        <v>11</v>
      </c>
      <c r="BF42" s="238"/>
      <c r="BG42" s="238"/>
      <c r="BH42" s="238"/>
      <c r="BI42" s="238"/>
    </row>
    <row r="43" spans="1:61" ht="21" customHeight="1" thickBot="1">
      <c r="A43" s="238" t="s">
        <v>60</v>
      </c>
      <c r="B43" s="154">
        <f>SUM(B9:B39)</f>
        <v>7.1999999999999984</v>
      </c>
      <c r="C43" s="154"/>
      <c r="D43" s="154">
        <f t="shared" ref="D43:AV43" si="6">SUM(D9:D39)</f>
        <v>15.9</v>
      </c>
      <c r="E43" s="154"/>
      <c r="F43" s="154">
        <f t="shared" si="6"/>
        <v>12.6</v>
      </c>
      <c r="G43" s="154"/>
      <c r="H43" s="154">
        <f t="shared" si="6"/>
        <v>2.9000000000000004</v>
      </c>
      <c r="I43" s="154"/>
      <c r="J43" s="154">
        <f t="shared" si="6"/>
        <v>2.5000000000000004</v>
      </c>
      <c r="K43" s="154"/>
      <c r="L43" s="154">
        <f t="shared" si="6"/>
        <v>4.0999999999999996</v>
      </c>
      <c r="M43" s="154"/>
      <c r="N43" s="154">
        <f t="shared" si="6"/>
        <v>2.9000000000000004</v>
      </c>
      <c r="O43" s="154"/>
      <c r="P43" s="154">
        <f t="shared" si="6"/>
        <v>5.5</v>
      </c>
      <c r="Q43" s="154"/>
      <c r="R43" s="154">
        <f t="shared" si="6"/>
        <v>3.6</v>
      </c>
      <c r="S43" s="154"/>
      <c r="T43" s="154">
        <f t="shared" si="6"/>
        <v>0.4</v>
      </c>
      <c r="U43" s="154"/>
      <c r="V43" s="154">
        <f t="shared" si="6"/>
        <v>13.2</v>
      </c>
      <c r="W43" s="154"/>
      <c r="X43" s="154">
        <f t="shared" si="6"/>
        <v>5</v>
      </c>
      <c r="Y43" s="154"/>
      <c r="Z43" s="154">
        <f t="shared" si="6"/>
        <v>0.4</v>
      </c>
      <c r="AA43" s="154"/>
      <c r="AB43" s="154">
        <f t="shared" si="6"/>
        <v>3.7</v>
      </c>
      <c r="AC43" s="154"/>
      <c r="AD43" s="154">
        <f t="shared" si="6"/>
        <v>29.300000000000004</v>
      </c>
      <c r="AE43" s="154"/>
      <c r="AF43" s="154">
        <f t="shared" si="6"/>
        <v>12.7</v>
      </c>
      <c r="AG43" s="154"/>
      <c r="AH43" s="154">
        <f t="shared" si="6"/>
        <v>17.5</v>
      </c>
      <c r="AI43" s="154"/>
      <c r="AJ43" s="154">
        <f t="shared" si="6"/>
        <v>65.5</v>
      </c>
      <c r="AK43" s="154"/>
      <c r="AL43" s="154">
        <f t="shared" si="6"/>
        <v>6.3999999999999995</v>
      </c>
      <c r="AM43" s="154"/>
      <c r="AN43" s="154">
        <f t="shared" si="6"/>
        <v>4.4000000000000004</v>
      </c>
      <c r="AO43" s="154"/>
      <c r="AP43" s="154">
        <f t="shared" si="6"/>
        <v>5</v>
      </c>
      <c r="AQ43" s="154"/>
      <c r="AR43" s="154">
        <f t="shared" si="6"/>
        <v>0.70000000000000007</v>
      </c>
      <c r="AS43" s="154"/>
      <c r="AT43" s="154">
        <f t="shared" si="6"/>
        <v>1.2999999999999998</v>
      </c>
      <c r="AU43" s="154"/>
      <c r="AV43" s="154">
        <f t="shared" si="6"/>
        <v>10</v>
      </c>
      <c r="AW43" s="154"/>
      <c r="AX43" s="146"/>
      <c r="AY43" s="53" t="s">
        <v>49</v>
      </c>
      <c r="AZ43" s="53" t="s">
        <v>50</v>
      </c>
      <c r="BA43" s="54" t="s">
        <v>51</v>
      </c>
      <c r="BB43" s="54" t="s">
        <v>61</v>
      </c>
      <c r="BC43" s="214"/>
      <c r="BD43" s="137"/>
      <c r="BE43" s="70"/>
      <c r="BF43" s="238"/>
      <c r="BG43" s="238"/>
      <c r="BH43" s="238"/>
      <c r="BI43" s="238"/>
    </row>
    <row r="44" spans="1:61" s="161" customFormat="1" ht="21" customHeight="1" thickBot="1">
      <c r="A44" s="238" t="s">
        <v>62</v>
      </c>
      <c r="B44" s="155"/>
      <c r="C44" s="155">
        <f>SUM(C9:C39)</f>
        <v>165</v>
      </c>
      <c r="D44" s="155"/>
      <c r="E44" s="155">
        <f t="shared" ref="E44:AW44" si="7">SUM(E9:E39)</f>
        <v>210</v>
      </c>
      <c r="F44" s="155"/>
      <c r="G44" s="155">
        <f t="shared" si="7"/>
        <v>160</v>
      </c>
      <c r="H44" s="155"/>
      <c r="I44" s="155">
        <f t="shared" si="7"/>
        <v>250</v>
      </c>
      <c r="J44" s="155"/>
      <c r="K44" s="155">
        <f t="shared" si="7"/>
        <v>170</v>
      </c>
      <c r="L44" s="155"/>
      <c r="M44" s="155">
        <f t="shared" si="7"/>
        <v>245</v>
      </c>
      <c r="N44" s="155"/>
      <c r="O44" s="155">
        <f t="shared" si="7"/>
        <v>220</v>
      </c>
      <c r="P44" s="155"/>
      <c r="Q44" s="155">
        <f t="shared" si="7"/>
        <v>125</v>
      </c>
      <c r="R44" s="155"/>
      <c r="S44" s="155">
        <f t="shared" si="7"/>
        <v>120</v>
      </c>
      <c r="T44" s="155"/>
      <c r="U44" s="155">
        <f t="shared" si="7"/>
        <v>40</v>
      </c>
      <c r="V44" s="155"/>
      <c r="W44" s="155">
        <f t="shared" si="7"/>
        <v>160</v>
      </c>
      <c r="X44" s="155"/>
      <c r="Y44" s="155">
        <f t="shared" si="7"/>
        <v>95</v>
      </c>
      <c r="Z44" s="155"/>
      <c r="AA44" s="155">
        <f t="shared" si="7"/>
        <v>30</v>
      </c>
      <c r="AB44" s="155"/>
      <c r="AC44" s="155">
        <f t="shared" si="7"/>
        <v>90</v>
      </c>
      <c r="AD44" s="155"/>
      <c r="AE44" s="155">
        <f t="shared" si="7"/>
        <v>100</v>
      </c>
      <c r="AF44" s="155"/>
      <c r="AG44" s="155">
        <f t="shared" si="7"/>
        <v>140</v>
      </c>
      <c r="AH44" s="155"/>
      <c r="AI44" s="155">
        <f t="shared" si="7"/>
        <v>270</v>
      </c>
      <c r="AJ44" s="155"/>
      <c r="AK44" s="155">
        <f t="shared" si="7"/>
        <v>395</v>
      </c>
      <c r="AL44" s="155"/>
      <c r="AM44" s="155">
        <f t="shared" si="7"/>
        <v>295</v>
      </c>
      <c r="AN44" s="155"/>
      <c r="AO44" s="155">
        <f t="shared" si="7"/>
        <v>205</v>
      </c>
      <c r="AP44" s="155"/>
      <c r="AQ44" s="155">
        <f t="shared" si="7"/>
        <v>130</v>
      </c>
      <c r="AR44" s="155"/>
      <c r="AS44" s="155">
        <f t="shared" si="7"/>
        <v>65</v>
      </c>
      <c r="AT44" s="155"/>
      <c r="AU44" s="155">
        <f t="shared" si="7"/>
        <v>70</v>
      </c>
      <c r="AV44" s="155"/>
      <c r="AW44" s="155">
        <f t="shared" si="7"/>
        <v>155</v>
      </c>
      <c r="AX44" s="239"/>
      <c r="AY44" s="157">
        <f>AY9+AY10+AY11+AY12+AY13+AY14+AY15+AY16+AY17+AY18+AY19+AY20+AY21+AY22+AY23+AY24+AY25+AY26+AY27+AY28+AY29+AY30+AY31+AY32+AY33+AY34+AY35+AY36+AY37+AY38+AY39</f>
        <v>232.69999999999996</v>
      </c>
      <c r="AZ44" s="158">
        <f>AZ9+AZ10+AZ11+AZ12+AZ13+AZ14+AZ15+AZ16+AZ17+AZ18+AZ19+AZ20+AZ21+AZ22+AZ23+AZ24+AZ25+AZ26+AZ27+AZ28+AZ29+AZ30+AZ31+AZ32+AZ33+AZ34+AZ35+AZ36+AZ37+AZ38+AZ39</f>
        <v>3905</v>
      </c>
      <c r="BA44" s="154">
        <f>MAX(BA9:BA39)</f>
        <v>31</v>
      </c>
      <c r="BB44" s="155">
        <f>SUM(BB8:BB39)</f>
        <v>108</v>
      </c>
      <c r="BC44" s="42"/>
      <c r="BD44" s="197"/>
      <c r="BE44" s="240"/>
      <c r="BF44" s="241"/>
      <c r="BG44" s="240"/>
      <c r="BH44" s="242"/>
      <c r="BI44" s="238"/>
    </row>
    <row r="45" spans="1:61" s="161" customFormat="1" ht="21" customHeight="1" thickBot="1">
      <c r="A45" s="238" t="s">
        <v>63</v>
      </c>
      <c r="B45" s="155">
        <f>COUNT(B9:B39)</f>
        <v>6</v>
      </c>
      <c r="C45" s="155"/>
      <c r="D45" s="155">
        <f t="shared" ref="D45:AV45" si="8">COUNT(D9:D39)</f>
        <v>6</v>
      </c>
      <c r="E45" s="155"/>
      <c r="F45" s="155">
        <f t="shared" si="8"/>
        <v>4</v>
      </c>
      <c r="G45" s="155"/>
      <c r="H45" s="155">
        <f t="shared" si="8"/>
        <v>7</v>
      </c>
      <c r="I45" s="155"/>
      <c r="J45" s="155">
        <f t="shared" si="8"/>
        <v>5</v>
      </c>
      <c r="K45" s="155"/>
      <c r="L45" s="155">
        <f t="shared" si="8"/>
        <v>5</v>
      </c>
      <c r="M45" s="155"/>
      <c r="N45" s="155">
        <f t="shared" si="8"/>
        <v>4</v>
      </c>
      <c r="O45" s="155"/>
      <c r="P45" s="155">
        <f t="shared" si="8"/>
        <v>3</v>
      </c>
      <c r="Q45" s="155"/>
      <c r="R45" s="155">
        <f t="shared" si="8"/>
        <v>3</v>
      </c>
      <c r="S45" s="155"/>
      <c r="T45" s="155">
        <f t="shared" si="8"/>
        <v>2</v>
      </c>
      <c r="U45" s="155"/>
      <c r="V45" s="155">
        <f t="shared" si="8"/>
        <v>6</v>
      </c>
      <c r="W45" s="155"/>
      <c r="X45" s="155">
        <f t="shared" si="8"/>
        <v>3</v>
      </c>
      <c r="Y45" s="155"/>
      <c r="Z45" s="155">
        <f t="shared" si="8"/>
        <v>2</v>
      </c>
      <c r="AA45" s="155"/>
      <c r="AB45" s="155">
        <f t="shared" si="8"/>
        <v>5</v>
      </c>
      <c r="AC45" s="155"/>
      <c r="AD45" s="155">
        <f t="shared" si="8"/>
        <v>4</v>
      </c>
      <c r="AE45" s="155"/>
      <c r="AF45" s="155">
        <f t="shared" si="8"/>
        <v>4</v>
      </c>
      <c r="AG45" s="155"/>
      <c r="AH45" s="155">
        <f t="shared" si="8"/>
        <v>6</v>
      </c>
      <c r="AI45" s="155"/>
      <c r="AJ45" s="155">
        <f t="shared" si="8"/>
        <v>7</v>
      </c>
      <c r="AK45" s="155"/>
      <c r="AL45" s="155">
        <f t="shared" si="8"/>
        <v>7</v>
      </c>
      <c r="AM45" s="155"/>
      <c r="AN45" s="155">
        <f t="shared" si="8"/>
        <v>6</v>
      </c>
      <c r="AO45" s="155"/>
      <c r="AP45" s="155">
        <f t="shared" si="8"/>
        <v>4</v>
      </c>
      <c r="AQ45" s="155"/>
      <c r="AR45" s="155">
        <f t="shared" si="8"/>
        <v>3</v>
      </c>
      <c r="AS45" s="155"/>
      <c r="AT45" s="155">
        <f t="shared" si="8"/>
        <v>3</v>
      </c>
      <c r="AU45" s="155"/>
      <c r="AV45" s="155">
        <f t="shared" si="8"/>
        <v>3</v>
      </c>
      <c r="AW45" s="155"/>
      <c r="AX45" s="243"/>
      <c r="AY45" s="164" t="s">
        <v>64</v>
      </c>
      <c r="AZ45" s="165" t="s">
        <v>65</v>
      </c>
      <c r="BA45" s="240"/>
      <c r="BB45" s="34" t="s">
        <v>66</v>
      </c>
      <c r="BC45" s="214"/>
      <c r="BD45" s="197"/>
      <c r="BE45" s="238"/>
      <c r="BF45" s="241"/>
      <c r="BG45" s="240"/>
      <c r="BH45" s="238"/>
      <c r="BI45" s="238"/>
    </row>
    <row r="46" spans="1:61" s="161" customFormat="1" ht="21" customHeight="1" thickBot="1">
      <c r="A46" s="196"/>
      <c r="B46" s="196"/>
      <c r="C46" s="196"/>
      <c r="D46" s="196"/>
      <c r="E46" s="196"/>
      <c r="F46" s="196"/>
      <c r="G46" s="196"/>
      <c r="H46" s="196"/>
      <c r="I46" s="196"/>
      <c r="J46" s="196"/>
      <c r="K46" s="196"/>
      <c r="L46" s="196"/>
      <c r="M46" s="196"/>
      <c r="N46" s="196"/>
      <c r="O46" s="196"/>
      <c r="P46" s="196"/>
      <c r="Q46" s="196"/>
      <c r="R46" s="196"/>
      <c r="S46" s="196"/>
      <c r="T46" s="196"/>
      <c r="U46" s="196"/>
      <c r="V46" s="196"/>
      <c r="W46" s="196"/>
      <c r="X46" s="196"/>
      <c r="Y46" s="196"/>
      <c r="Z46" s="196"/>
      <c r="AA46" s="196"/>
      <c r="AB46" s="196"/>
      <c r="AC46" s="196"/>
      <c r="AD46" s="196"/>
      <c r="AE46" s="196"/>
      <c r="AF46" s="196"/>
      <c r="AG46" s="196"/>
      <c r="AH46" s="196"/>
      <c r="AI46" s="196"/>
      <c r="AJ46" s="196"/>
      <c r="AK46" s="196"/>
      <c r="AL46" s="196"/>
      <c r="AM46" s="196"/>
      <c r="AN46" s="196"/>
      <c r="AO46" s="196"/>
      <c r="AP46" s="196"/>
      <c r="AQ46" s="196"/>
      <c r="AR46" s="196"/>
      <c r="AS46" s="196"/>
      <c r="AT46" s="196"/>
      <c r="AU46" s="196"/>
      <c r="AV46" s="196"/>
      <c r="AW46" s="31"/>
      <c r="AX46" s="244"/>
      <c r="AY46" s="157">
        <f>[1]ano!M44</f>
        <v>123.32154285714286</v>
      </c>
      <c r="AZ46" s="167"/>
      <c r="BA46" s="245"/>
      <c r="BB46" s="35" t="s">
        <v>58</v>
      </c>
      <c r="BC46" s="214"/>
      <c r="BD46" s="197"/>
      <c r="BE46" s="240"/>
      <c r="BF46" s="238"/>
      <c r="BG46" s="245"/>
      <c r="BH46" s="238"/>
      <c r="BI46" s="238"/>
    </row>
    <row r="47" spans="1:61" s="161" customFormat="1" ht="21" customHeight="1" thickBot="1">
      <c r="A47" s="246"/>
      <c r="B47" s="247" t="s">
        <v>67</v>
      </c>
      <c r="C47" s="248"/>
      <c r="D47" s="248"/>
      <c r="E47" s="248"/>
      <c r="F47" s="248"/>
      <c r="G47" s="248"/>
      <c r="H47" s="248"/>
      <c r="I47" s="248"/>
      <c r="J47" s="248"/>
      <c r="K47" s="248"/>
      <c r="L47" s="248"/>
      <c r="M47" s="248"/>
      <c r="N47" s="242"/>
      <c r="O47" s="242"/>
      <c r="P47" s="242"/>
      <c r="Q47" s="242"/>
      <c r="R47" s="242"/>
      <c r="S47" s="242"/>
      <c r="T47" s="242"/>
      <c r="U47" s="242"/>
      <c r="V47" s="242"/>
      <c r="W47" s="242"/>
      <c r="X47" s="242"/>
      <c r="Y47" s="242"/>
      <c r="Z47" s="242"/>
      <c r="AA47" s="242"/>
      <c r="AB47" s="242"/>
      <c r="AC47" s="242"/>
      <c r="AD47" s="242"/>
      <c r="AE47" s="242"/>
      <c r="AF47" s="242"/>
      <c r="AG47" s="242"/>
      <c r="AH47" s="242"/>
      <c r="AI47" s="242"/>
      <c r="AJ47" s="242"/>
      <c r="AK47" s="242"/>
      <c r="AL47" s="242"/>
      <c r="AM47" s="242"/>
      <c r="AN47" s="242"/>
      <c r="AO47" s="242"/>
      <c r="AP47" s="242"/>
      <c r="AQ47" s="242"/>
      <c r="AR47" s="242"/>
      <c r="AS47" s="242"/>
      <c r="AT47" s="242"/>
      <c r="AU47" s="242"/>
      <c r="AV47" s="242"/>
      <c r="AW47" s="242"/>
      <c r="AX47" s="249"/>
      <c r="AY47" s="26" t="s">
        <v>68</v>
      </c>
      <c r="AZ47" s="167"/>
      <c r="BA47" s="245"/>
      <c r="BB47" s="54" t="s">
        <v>61</v>
      </c>
      <c r="BC47" s="214"/>
      <c r="BD47" s="197"/>
      <c r="BE47" s="238"/>
      <c r="BF47" s="238"/>
      <c r="BG47" s="245"/>
      <c r="BH47" s="238"/>
      <c r="BI47" s="238"/>
    </row>
    <row r="48" spans="1:61" s="161" customFormat="1" ht="21" customHeight="1" thickBot="1">
      <c r="A48" s="245"/>
      <c r="B48" s="250" t="s">
        <v>69</v>
      </c>
      <c r="C48" s="245"/>
      <c r="D48" s="245"/>
      <c r="E48" s="245"/>
      <c r="F48" s="245"/>
      <c r="G48" s="245"/>
      <c r="H48" s="245"/>
      <c r="I48" s="245"/>
      <c r="J48" s="245"/>
      <c r="K48" s="245"/>
      <c r="L48" s="245"/>
      <c r="M48" s="245"/>
      <c r="N48" s="196"/>
      <c r="O48" s="196"/>
      <c r="P48" s="196"/>
      <c r="Q48" s="196"/>
      <c r="R48" s="196"/>
      <c r="S48" s="196"/>
      <c r="T48" s="196"/>
      <c r="U48" s="196"/>
      <c r="V48" s="196"/>
      <c r="W48" s="196"/>
      <c r="X48" s="196"/>
      <c r="Y48" s="196"/>
      <c r="Z48" s="196"/>
      <c r="AA48" s="196"/>
      <c r="AB48" s="196"/>
      <c r="AC48" s="196"/>
      <c r="AD48" s="196"/>
      <c r="AE48" s="196"/>
      <c r="AF48" s="196"/>
      <c r="AG48" s="196"/>
      <c r="AH48" s="196"/>
      <c r="AI48" s="196"/>
      <c r="AJ48" s="196"/>
      <c r="AK48" s="196"/>
      <c r="AL48" s="196"/>
      <c r="AM48" s="196"/>
      <c r="AN48" s="196"/>
      <c r="AO48" s="196"/>
      <c r="AP48" s="196"/>
      <c r="AQ48" s="196"/>
      <c r="AR48" s="196"/>
      <c r="AS48" s="196"/>
      <c r="AT48" s="196"/>
      <c r="AU48" s="196"/>
      <c r="AV48" s="196"/>
      <c r="AW48" s="196"/>
      <c r="AX48" s="178"/>
      <c r="AY48" s="157">
        <f>AY44-AY46</f>
        <v>109.3784571428571</v>
      </c>
      <c r="AZ48" s="179"/>
      <c r="BA48" s="245"/>
      <c r="BB48" s="155">
        <f>SUM(BD9:BD39)</f>
        <v>16</v>
      </c>
      <c r="BC48" s="180"/>
      <c r="BD48" s="197"/>
      <c r="BE48" s="240"/>
      <c r="BF48" s="240"/>
      <c r="BG48" s="245"/>
      <c r="BH48" s="242"/>
      <c r="BI48" s="238"/>
    </row>
    <row r="49" spans="1:61" ht="24" customHeight="1">
      <c r="A49" s="1"/>
      <c r="B49" s="251" t="s">
        <v>71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245"/>
      <c r="AX49" s="1"/>
      <c r="AY49" s="344">
        <f>MAX(AY9:AY38)</f>
        <v>63.79999999999999</v>
      </c>
      <c r="AZ49" s="1"/>
      <c r="BA49" s="1"/>
      <c r="BB49" s="1"/>
      <c r="BC49" s="17"/>
      <c r="BD49" s="197"/>
      <c r="BE49" s="1"/>
      <c r="BF49" s="1"/>
      <c r="BG49" s="1"/>
      <c r="BH49" s="1"/>
      <c r="BI49" s="238"/>
    </row>
    <row r="50" spans="1:61" ht="23.25">
      <c r="A50" s="294"/>
      <c r="B50" s="252"/>
      <c r="C50" s="252"/>
      <c r="D50" s="252"/>
      <c r="E50" s="252"/>
      <c r="F50" s="252"/>
      <c r="G50" s="252"/>
      <c r="H50" s="252"/>
      <c r="I50" s="252"/>
      <c r="J50" s="252"/>
      <c r="K50" s="252"/>
      <c r="L50" s="252"/>
      <c r="M50" s="252"/>
      <c r="N50" s="252"/>
      <c r="O50" s="252"/>
      <c r="P50" s="252"/>
      <c r="Q50" s="252"/>
      <c r="R50" s="252"/>
      <c r="S50" s="252"/>
      <c r="T50" s="252"/>
      <c r="U50" s="252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61" s="189" customFormat="1" ht="18">
      <c r="A51" s="188"/>
      <c r="B51" s="188"/>
      <c r="C51" s="188"/>
      <c r="D51" s="188"/>
      <c r="E51" s="188"/>
      <c r="F51" s="188"/>
      <c r="G51" s="188"/>
      <c r="H51" s="188"/>
      <c r="I51" s="188"/>
      <c r="J51" s="188"/>
      <c r="K51" s="188"/>
      <c r="L51" s="188"/>
      <c r="M51" s="188"/>
      <c r="N51" s="188"/>
      <c r="O51" s="188"/>
      <c r="P51" s="188"/>
      <c r="Q51" s="188"/>
      <c r="R51" s="188"/>
      <c r="S51" s="188"/>
      <c r="T51" s="188"/>
      <c r="U51" s="188"/>
      <c r="V51" s="188"/>
      <c r="W51" s="188"/>
      <c r="X51" s="188"/>
      <c r="Y51" s="188"/>
      <c r="Z51" s="188"/>
      <c r="AA51" s="188"/>
      <c r="AB51" s="188"/>
      <c r="AC51" s="188"/>
      <c r="AD51" s="188"/>
      <c r="AE51" s="188"/>
      <c r="AF51" s="188"/>
      <c r="AG51" s="188"/>
      <c r="AH51" s="188"/>
      <c r="AI51" s="188"/>
      <c r="AJ51" s="188"/>
      <c r="AK51" s="188"/>
      <c r="AL51" s="188"/>
      <c r="AM51" s="188"/>
      <c r="AN51" s="188"/>
      <c r="AO51" s="188"/>
      <c r="AP51" s="188"/>
      <c r="AQ51" s="188"/>
      <c r="AR51" s="188"/>
      <c r="AS51" s="188"/>
      <c r="AT51" s="188"/>
      <c r="AU51" s="188"/>
      <c r="AV51" s="188"/>
      <c r="BD51" s="191"/>
    </row>
    <row r="52" spans="1:61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 t="s">
        <v>98</v>
      </c>
      <c r="AS52" s="6"/>
      <c r="AT52" s="6"/>
      <c r="AU52" s="6"/>
      <c r="AV52" s="6"/>
    </row>
    <row r="53" spans="1:61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1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1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1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12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1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1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</sheetData>
  <sheetProtection selectLockedCells="1" selectUnlockedCells="1"/>
  <mergeCells count="51">
    <mergeCell ref="AV41:AW41"/>
    <mergeCell ref="AJ41:AK41"/>
    <mergeCell ref="AL41:AM41"/>
    <mergeCell ref="AN41:AO41"/>
    <mergeCell ref="AP41:AQ41"/>
    <mergeCell ref="AR41:AS41"/>
    <mergeCell ref="AT41:AU41"/>
    <mergeCell ref="X41:Y41"/>
    <mergeCell ref="Z41:AA41"/>
    <mergeCell ref="AB41:AC41"/>
    <mergeCell ref="AD41:AE41"/>
    <mergeCell ref="AF41:AG41"/>
    <mergeCell ref="AH41:AI41"/>
    <mergeCell ref="L41:M41"/>
    <mergeCell ref="N41:O41"/>
    <mergeCell ref="P41:Q41"/>
    <mergeCell ref="R41:S41"/>
    <mergeCell ref="T41:U41"/>
    <mergeCell ref="V41:W41"/>
    <mergeCell ref="AN7:AO7"/>
    <mergeCell ref="AP7:AQ7"/>
    <mergeCell ref="AR7:AS7"/>
    <mergeCell ref="AT7:AU7"/>
    <mergeCell ref="AV7:AW7"/>
    <mergeCell ref="B41:C41"/>
    <mergeCell ref="D41:E41"/>
    <mergeCell ref="F41:G41"/>
    <mergeCell ref="H41:I41"/>
    <mergeCell ref="J41:K41"/>
    <mergeCell ref="AB7:AC7"/>
    <mergeCell ref="AD7:AE7"/>
    <mergeCell ref="AF7:AG7"/>
    <mergeCell ref="AH7:AI7"/>
    <mergeCell ref="AJ7:AK7"/>
    <mergeCell ref="AL7:AM7"/>
    <mergeCell ref="P7:Q7"/>
    <mergeCell ref="R7:S7"/>
    <mergeCell ref="T7:U7"/>
    <mergeCell ref="V7:W7"/>
    <mergeCell ref="X7:Y7"/>
    <mergeCell ref="Z7:AA7"/>
    <mergeCell ref="AY4:BB4"/>
    <mergeCell ref="BE4:BH4"/>
    <mergeCell ref="AY5:BB5"/>
    <mergeCell ref="B7:C7"/>
    <mergeCell ref="D7:E7"/>
    <mergeCell ref="F7:G7"/>
    <mergeCell ref="H7:I7"/>
    <mergeCell ref="J7:K7"/>
    <mergeCell ref="L7:M7"/>
    <mergeCell ref="N7:O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I58"/>
  <sheetViews>
    <sheetView showGridLines="0" defaultGridColor="0" colorId="8" zoomScale="60" zoomScaleNormal="60" workbookViewId="0">
      <selection activeCell="B5" sqref="B5"/>
    </sheetView>
  </sheetViews>
  <sheetFormatPr defaultColWidth="11.42578125" defaultRowHeight="12.75"/>
  <cols>
    <col min="1" max="1" width="6.57031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193" customWidth="1"/>
    <col min="57" max="58" width="13.140625" customWidth="1"/>
    <col min="59" max="59" width="12.42578125" customWidth="1"/>
    <col min="60" max="60" width="14.42578125" customWidth="1"/>
  </cols>
  <sheetData>
    <row r="1" spans="1:61" s="6" customFormat="1" ht="21" customHeight="1">
      <c r="A1" s="1"/>
      <c r="B1" s="2" t="s">
        <v>99</v>
      </c>
      <c r="C1" s="3"/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1"/>
      <c r="B2" s="7" t="s">
        <v>77</v>
      </c>
      <c r="C2" s="8"/>
      <c r="D2" s="8"/>
      <c r="E2" s="8"/>
      <c r="F2" s="9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</row>
    <row r="3" spans="1:61" s="6" customFormat="1" ht="21" customHeight="1" thickBot="1">
      <c r="A3" s="1"/>
      <c r="B3" s="194" t="s">
        <v>78</v>
      </c>
      <c r="C3" s="8"/>
      <c r="D3" s="8"/>
      <c r="E3" s="8"/>
      <c r="F3" s="9"/>
      <c r="G3" s="9"/>
      <c r="H3" s="1"/>
      <c r="I3" s="1"/>
      <c r="J3" s="1"/>
      <c r="K3" s="1"/>
      <c r="L3" s="1"/>
      <c r="M3" s="3" t="s">
        <v>8</v>
      </c>
      <c r="N3" s="1"/>
      <c r="O3" s="1"/>
      <c r="P3" s="1"/>
      <c r="Q3" s="1"/>
      <c r="R3" s="1"/>
      <c r="S3" s="1"/>
      <c r="T3" s="1"/>
      <c r="U3" s="1"/>
      <c r="V3" s="1"/>
      <c r="W3" s="13"/>
      <c r="X3" s="13"/>
      <c r="Y3" s="13"/>
      <c r="Z3" s="13"/>
      <c r="AA3" s="13"/>
      <c r="AB3" s="13"/>
      <c r="AC3" s="13"/>
      <c r="AD3" s="13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</row>
    <row r="4" spans="1:61" ht="21" customHeight="1" thickBot="1">
      <c r="A4" s="195"/>
      <c r="B4" s="196"/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  <c r="X4" s="196"/>
      <c r="Y4" s="196"/>
      <c r="Z4" s="196"/>
      <c r="AA4" s="196"/>
      <c r="AB4" s="196"/>
      <c r="AC4" s="196"/>
      <c r="AD4" s="196"/>
      <c r="AE4" s="196"/>
      <c r="AF4" s="196"/>
      <c r="AG4" s="196"/>
      <c r="AH4" s="196"/>
      <c r="AI4" s="196"/>
      <c r="AJ4" s="196"/>
      <c r="AK4" s="196"/>
      <c r="AL4" s="196"/>
      <c r="AM4" s="196"/>
      <c r="AN4" s="196"/>
      <c r="AO4" s="196"/>
      <c r="AP4" s="196"/>
      <c r="AQ4" s="196"/>
      <c r="AR4" s="196"/>
      <c r="AS4" s="196"/>
      <c r="AT4" s="196"/>
      <c r="AU4" s="196"/>
      <c r="AV4" s="196"/>
      <c r="AW4" s="196"/>
      <c r="AX4" s="196"/>
      <c r="AY4" s="18" t="s">
        <v>9</v>
      </c>
      <c r="AZ4" s="18"/>
      <c r="BA4" s="18"/>
      <c r="BB4" s="18"/>
      <c r="BC4" s="17"/>
      <c r="BD4" s="19"/>
      <c r="BE4" s="18" t="s">
        <v>9</v>
      </c>
      <c r="BF4" s="18"/>
      <c r="BG4" s="18"/>
      <c r="BH4" s="18"/>
    </row>
    <row r="5" spans="1:61" ht="21" customHeight="1" thickBo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"/>
      <c r="AS5" s="1"/>
      <c r="AT5" s="1"/>
      <c r="AU5" s="1"/>
      <c r="AV5" s="1"/>
      <c r="AW5" s="1"/>
      <c r="AX5" s="17"/>
      <c r="AY5" s="25" t="s">
        <v>11</v>
      </c>
      <c r="AZ5" s="25"/>
      <c r="BA5" s="25"/>
      <c r="BB5" s="25"/>
      <c r="BC5" s="17"/>
      <c r="BD5" s="19"/>
      <c r="BE5" s="26" t="s">
        <v>12</v>
      </c>
      <c r="BF5" s="27" t="s">
        <v>13</v>
      </c>
      <c r="BG5" s="28" t="s">
        <v>14</v>
      </c>
      <c r="BH5" s="29"/>
    </row>
    <row r="6" spans="1:61" ht="21" customHeight="1" thickBot="1">
      <c r="A6" s="30"/>
      <c r="B6" s="31"/>
      <c r="C6" s="32"/>
      <c r="D6" s="31"/>
      <c r="E6" s="32"/>
      <c r="F6" s="31"/>
      <c r="G6" s="32"/>
      <c r="H6" s="31"/>
      <c r="I6" s="32"/>
      <c r="J6" s="31"/>
      <c r="K6" s="32"/>
      <c r="L6" s="31"/>
      <c r="M6" s="32"/>
      <c r="N6" s="31"/>
      <c r="O6" s="32"/>
      <c r="P6" s="31"/>
      <c r="Q6" s="32"/>
      <c r="R6" s="31"/>
      <c r="S6" s="32"/>
      <c r="T6" s="31"/>
      <c r="U6" s="32"/>
      <c r="V6" s="31"/>
      <c r="W6" s="32"/>
      <c r="X6" s="31"/>
      <c r="Y6" s="32"/>
      <c r="Z6" s="31"/>
      <c r="AA6" s="32"/>
      <c r="AB6" s="31"/>
      <c r="AC6" s="32"/>
      <c r="AD6" s="31"/>
      <c r="AE6" s="32"/>
      <c r="AF6" s="31"/>
      <c r="AG6" s="32"/>
      <c r="AH6" s="31"/>
      <c r="AI6" s="32"/>
      <c r="AJ6" s="31"/>
      <c r="AK6" s="32"/>
      <c r="AL6" s="31"/>
      <c r="AM6" s="32"/>
      <c r="AN6" s="31"/>
      <c r="AO6" s="32"/>
      <c r="AP6" s="31"/>
      <c r="AQ6" s="32"/>
      <c r="AR6" s="31"/>
      <c r="AS6" s="32"/>
      <c r="AT6" s="31"/>
      <c r="AU6" s="32"/>
      <c r="AV6" s="31"/>
      <c r="AW6" s="32"/>
      <c r="AX6" s="31"/>
      <c r="AY6" s="33" t="s">
        <v>15</v>
      </c>
      <c r="AZ6" s="33" t="s">
        <v>16</v>
      </c>
      <c r="BA6" s="34" t="s">
        <v>17</v>
      </c>
      <c r="BB6" s="34"/>
      <c r="BC6" s="17"/>
      <c r="BD6" s="19"/>
      <c r="BE6" s="35" t="s">
        <v>15</v>
      </c>
      <c r="BF6" s="35"/>
      <c r="BG6" s="35" t="s">
        <v>17</v>
      </c>
      <c r="BH6" s="35"/>
    </row>
    <row r="7" spans="1:61" ht="21" customHeight="1" thickBot="1">
      <c r="A7" s="36" t="s">
        <v>18</v>
      </c>
      <c r="B7" s="37" t="s">
        <v>19</v>
      </c>
      <c r="C7" s="37"/>
      <c r="D7" s="38" t="s">
        <v>20</v>
      </c>
      <c r="E7" s="38"/>
      <c r="F7" s="37" t="s">
        <v>21</v>
      </c>
      <c r="G7" s="37"/>
      <c r="H7" s="37" t="s">
        <v>22</v>
      </c>
      <c r="I7" s="37"/>
      <c r="J7" s="39" t="s">
        <v>23</v>
      </c>
      <c r="K7" s="39"/>
      <c r="L7" s="37" t="s">
        <v>24</v>
      </c>
      <c r="M7" s="37"/>
      <c r="N7" s="37" t="s">
        <v>25</v>
      </c>
      <c r="O7" s="37"/>
      <c r="P7" s="37" t="s">
        <v>26</v>
      </c>
      <c r="Q7" s="37"/>
      <c r="R7" s="37" t="s">
        <v>27</v>
      </c>
      <c r="S7" s="37"/>
      <c r="T7" s="37" t="s">
        <v>28</v>
      </c>
      <c r="U7" s="37"/>
      <c r="V7" s="37" t="s">
        <v>29</v>
      </c>
      <c r="W7" s="37"/>
      <c r="X7" s="37" t="s">
        <v>30</v>
      </c>
      <c r="Y7" s="37"/>
      <c r="Z7" s="40" t="s">
        <v>31</v>
      </c>
      <c r="AA7" s="40"/>
      <c r="AB7" s="37" t="s">
        <v>32</v>
      </c>
      <c r="AC7" s="37"/>
      <c r="AD7" s="37" t="s">
        <v>33</v>
      </c>
      <c r="AE7" s="37"/>
      <c r="AF7" s="37" t="s">
        <v>34</v>
      </c>
      <c r="AG7" s="37"/>
      <c r="AH7" s="37" t="s">
        <v>35</v>
      </c>
      <c r="AI7" s="37"/>
      <c r="AJ7" s="37" t="s">
        <v>36</v>
      </c>
      <c r="AK7" s="37"/>
      <c r="AL7" s="37" t="s">
        <v>37</v>
      </c>
      <c r="AM7" s="37"/>
      <c r="AN7" s="37" t="s">
        <v>38</v>
      </c>
      <c r="AO7" s="37"/>
      <c r="AP7" s="37" t="s">
        <v>39</v>
      </c>
      <c r="AQ7" s="37"/>
      <c r="AR7" s="37" t="s">
        <v>40</v>
      </c>
      <c r="AS7" s="37"/>
      <c r="AT7" s="37" t="s">
        <v>41</v>
      </c>
      <c r="AU7" s="37"/>
      <c r="AV7" s="37" t="s">
        <v>42</v>
      </c>
      <c r="AW7" s="37"/>
      <c r="AX7" s="41" t="s">
        <v>18</v>
      </c>
      <c r="AY7" s="35" t="s">
        <v>43</v>
      </c>
      <c r="AZ7" s="35" t="s">
        <v>43</v>
      </c>
      <c r="BA7" s="35" t="s">
        <v>44</v>
      </c>
      <c r="BB7" s="35" t="s">
        <v>45</v>
      </c>
      <c r="BC7" s="42"/>
      <c r="BD7" s="197"/>
      <c r="BE7" s="35" t="s">
        <v>43</v>
      </c>
      <c r="BF7" s="35"/>
      <c r="BG7" s="35" t="s">
        <v>44</v>
      </c>
      <c r="BH7" s="35"/>
    </row>
    <row r="8" spans="1:61" ht="21" customHeight="1" thickBot="1">
      <c r="A8" s="43" t="s">
        <v>46</v>
      </c>
      <c r="B8" s="198" t="s">
        <v>47</v>
      </c>
      <c r="C8" s="199" t="s">
        <v>48</v>
      </c>
      <c r="D8" s="200" t="s">
        <v>47</v>
      </c>
      <c r="E8" s="201" t="s">
        <v>48</v>
      </c>
      <c r="F8" s="200" t="s">
        <v>47</v>
      </c>
      <c r="G8" s="202" t="s">
        <v>48</v>
      </c>
      <c r="H8" s="200" t="s">
        <v>47</v>
      </c>
      <c r="I8" s="202" t="s">
        <v>48</v>
      </c>
      <c r="J8" s="200" t="s">
        <v>47</v>
      </c>
      <c r="K8" s="202" t="s">
        <v>48</v>
      </c>
      <c r="L8" s="200" t="s">
        <v>47</v>
      </c>
      <c r="M8" s="202" t="s">
        <v>48</v>
      </c>
      <c r="N8" s="200" t="s">
        <v>47</v>
      </c>
      <c r="O8" s="202" t="s">
        <v>48</v>
      </c>
      <c r="P8" s="200" t="s">
        <v>47</v>
      </c>
      <c r="Q8" s="202" t="s">
        <v>48</v>
      </c>
      <c r="R8" s="200" t="s">
        <v>47</v>
      </c>
      <c r="S8" s="202" t="s">
        <v>48</v>
      </c>
      <c r="T8" s="200" t="s">
        <v>47</v>
      </c>
      <c r="U8" s="202" t="s">
        <v>48</v>
      </c>
      <c r="V8" s="200" t="s">
        <v>47</v>
      </c>
      <c r="W8" s="202" t="s">
        <v>48</v>
      </c>
      <c r="X8" s="200" t="s">
        <v>47</v>
      </c>
      <c r="Y8" s="202" t="s">
        <v>48</v>
      </c>
      <c r="Z8" s="200" t="s">
        <v>47</v>
      </c>
      <c r="AA8" s="202" t="s">
        <v>48</v>
      </c>
      <c r="AB8" s="200" t="s">
        <v>47</v>
      </c>
      <c r="AC8" s="202" t="s">
        <v>48</v>
      </c>
      <c r="AD8" s="200" t="s">
        <v>47</v>
      </c>
      <c r="AE8" s="202" t="s">
        <v>48</v>
      </c>
      <c r="AF8" s="200" t="s">
        <v>47</v>
      </c>
      <c r="AG8" s="202" t="s">
        <v>48</v>
      </c>
      <c r="AH8" s="200" t="s">
        <v>47</v>
      </c>
      <c r="AI8" s="202" t="s">
        <v>48</v>
      </c>
      <c r="AJ8" s="200" t="s">
        <v>47</v>
      </c>
      <c r="AK8" s="203" t="s">
        <v>48</v>
      </c>
      <c r="AL8" s="200" t="s">
        <v>47</v>
      </c>
      <c r="AM8" s="202" t="s">
        <v>48</v>
      </c>
      <c r="AN8" s="200" t="s">
        <v>47</v>
      </c>
      <c r="AO8" s="202" t="s">
        <v>48</v>
      </c>
      <c r="AP8" s="200" t="s">
        <v>47</v>
      </c>
      <c r="AQ8" s="203" t="s">
        <v>48</v>
      </c>
      <c r="AR8" s="200" t="s">
        <v>47</v>
      </c>
      <c r="AS8" s="202" t="s">
        <v>48</v>
      </c>
      <c r="AT8" s="204" t="s">
        <v>47</v>
      </c>
      <c r="AU8" s="205" t="s">
        <v>48</v>
      </c>
      <c r="AV8" s="204" t="s">
        <v>47</v>
      </c>
      <c r="AW8" s="341" t="s">
        <v>48</v>
      </c>
      <c r="AX8" s="52" t="s">
        <v>46</v>
      </c>
      <c r="AY8" s="53" t="s">
        <v>49</v>
      </c>
      <c r="AZ8" s="53" t="s">
        <v>50</v>
      </c>
      <c r="BA8" s="54" t="s">
        <v>51</v>
      </c>
      <c r="BB8" s="54" t="s">
        <v>52</v>
      </c>
      <c r="BC8" s="206"/>
      <c r="BD8" s="197"/>
      <c r="BE8" s="54" t="s">
        <v>49</v>
      </c>
      <c r="BF8" s="54"/>
      <c r="BG8" s="54" t="s">
        <v>51</v>
      </c>
      <c r="BH8" s="54" t="s">
        <v>52</v>
      </c>
    </row>
    <row r="9" spans="1:61" ht="21" customHeight="1" thickBot="1">
      <c r="A9" s="71">
        <v>1</v>
      </c>
      <c r="B9" s="256"/>
      <c r="C9" s="257"/>
      <c r="D9" s="258"/>
      <c r="E9" s="257"/>
      <c r="F9" s="258"/>
      <c r="G9" s="257"/>
      <c r="H9" s="258"/>
      <c r="I9" s="257"/>
      <c r="J9" s="258"/>
      <c r="K9" s="257"/>
      <c r="L9" s="258"/>
      <c r="M9" s="257"/>
      <c r="N9" s="258"/>
      <c r="O9" s="257"/>
      <c r="P9" s="258"/>
      <c r="Q9" s="257"/>
      <c r="R9" s="258"/>
      <c r="S9" s="257"/>
      <c r="T9" s="258"/>
      <c r="U9" s="257"/>
      <c r="V9" s="258"/>
      <c r="W9" s="257"/>
      <c r="X9" s="258"/>
      <c r="Y9" s="257"/>
      <c r="Z9" s="258"/>
      <c r="AA9" s="257"/>
      <c r="AB9" s="258"/>
      <c r="AC9" s="257"/>
      <c r="AD9" s="258"/>
      <c r="AE9" s="257"/>
      <c r="AF9" s="259"/>
      <c r="AG9" s="257"/>
      <c r="AH9" s="258"/>
      <c r="AI9" s="257"/>
      <c r="AJ9" s="258"/>
      <c r="AK9" s="262"/>
      <c r="AL9" s="256"/>
      <c r="AM9" s="261"/>
      <c r="AN9" s="256"/>
      <c r="AO9" s="261"/>
      <c r="AP9" s="256"/>
      <c r="AQ9" s="262"/>
      <c r="AR9" s="256"/>
      <c r="AS9" s="263"/>
      <c r="AT9" s="256"/>
      <c r="AU9" s="262"/>
      <c r="AV9" s="256"/>
      <c r="AW9" s="262"/>
      <c r="AX9" s="91">
        <v>1</v>
      </c>
      <c r="AY9" s="92">
        <f t="shared" ref="AY9:AZ39" si="0">B9+D9+F9+H9+J9+L9+N9+P9+R9+T9+V9+X9+Z9+AB9+AD9+AF9+AH9+AJ9+AL9+AN9+AP9+AR9+AT9+AV9</f>
        <v>0</v>
      </c>
      <c r="AZ9" s="93">
        <f t="shared" si="0"/>
        <v>0</v>
      </c>
      <c r="BA9" s="94">
        <f t="shared" ref="BA9:BA39" si="1">MAX(B9,D9,F9,H9,J9,L9,N9,P9,R9,T9,V9,X9,Z9,AB9,AD9,AF9,AH9,AJ9,AL9,AN9,AP9,AR9,AT9,AV9)</f>
        <v>0</v>
      </c>
      <c r="BB9" s="95">
        <f t="shared" ref="BB9:BB39" si="2">COUNT(B9,D9,F9,H9,J9,L9,N9,P9,R9,T9,V9,X9,Z9,AB9,AD9,AF9,AH9,AJ9,AL9,AN9,AP9,AR9,AT9,AV9)</f>
        <v>0</v>
      </c>
      <c r="BC9" s="214"/>
      <c r="BD9" s="197">
        <f t="shared" ref="BD9:BD39" si="3">IF(BB9&gt;0,1,0)</f>
        <v>0</v>
      </c>
      <c r="BE9" s="264">
        <f>novembro!$BH40</f>
        <v>0</v>
      </c>
      <c r="BF9" s="85">
        <v>39416</v>
      </c>
      <c r="BG9" s="86">
        <f>dezembro!$BE10</f>
        <v>0</v>
      </c>
      <c r="BH9" s="87"/>
      <c r="BI9" s="197">
        <f>IF(BH9&gt;0,1,0)</f>
        <v>0</v>
      </c>
    </row>
    <row r="10" spans="1:61" ht="21" customHeight="1" thickBot="1">
      <c r="A10" s="71">
        <v>2</v>
      </c>
      <c r="B10" s="258"/>
      <c r="C10" s="257"/>
      <c r="D10" s="258"/>
      <c r="E10" s="257"/>
      <c r="F10" s="258"/>
      <c r="G10" s="257"/>
      <c r="H10" s="258"/>
      <c r="I10" s="257"/>
      <c r="J10" s="258"/>
      <c r="K10" s="257"/>
      <c r="L10" s="258"/>
      <c r="M10" s="257"/>
      <c r="N10" s="258"/>
      <c r="O10" s="257"/>
      <c r="P10" s="258"/>
      <c r="Q10" s="257"/>
      <c r="R10" s="258"/>
      <c r="S10" s="257"/>
      <c r="T10" s="258"/>
      <c r="U10" s="257"/>
      <c r="V10" s="258"/>
      <c r="W10" s="257"/>
      <c r="X10" s="258"/>
      <c r="Y10" s="257"/>
      <c r="Z10" s="258"/>
      <c r="AA10" s="257"/>
      <c r="AB10" s="258"/>
      <c r="AC10" s="257"/>
      <c r="AD10" s="258"/>
      <c r="AE10" s="257"/>
      <c r="AF10" s="258"/>
      <c r="AG10" s="257"/>
      <c r="AH10" s="258"/>
      <c r="AI10" s="257"/>
      <c r="AJ10" s="258"/>
      <c r="AK10" s="265"/>
      <c r="AL10" s="258"/>
      <c r="AM10" s="257"/>
      <c r="AN10" s="258"/>
      <c r="AO10" s="257"/>
      <c r="AP10" s="258"/>
      <c r="AQ10" s="265"/>
      <c r="AR10" s="258">
        <v>5.2</v>
      </c>
      <c r="AS10" s="257">
        <v>60</v>
      </c>
      <c r="AT10" s="258">
        <v>0.1</v>
      </c>
      <c r="AU10" s="265">
        <v>20</v>
      </c>
      <c r="AV10" s="258"/>
      <c r="AW10" s="265"/>
      <c r="AX10" s="91">
        <v>2</v>
      </c>
      <c r="AY10" s="92">
        <f t="shared" si="0"/>
        <v>5.3</v>
      </c>
      <c r="AZ10" s="93">
        <f t="shared" si="0"/>
        <v>80</v>
      </c>
      <c r="BA10" s="94">
        <f t="shared" si="1"/>
        <v>5.2</v>
      </c>
      <c r="BB10" s="95">
        <f t="shared" si="2"/>
        <v>2</v>
      </c>
      <c r="BC10" s="214"/>
      <c r="BD10" s="197">
        <f t="shared" si="3"/>
        <v>1</v>
      </c>
      <c r="BE10" s="84">
        <f>P9+R9+T9+V9+X9+Z9+AB9+AD9+AF9+AH9+AJ9+AL9+AN9+AP9+AR9+AT9+AV9+B10+D10+F10+H10+J10+L10+N10</f>
        <v>0</v>
      </c>
      <c r="BF10" s="96"/>
      <c r="BG10" s="86">
        <f>dezembro!$BE11</f>
        <v>10.5</v>
      </c>
      <c r="BH10" s="97"/>
      <c r="BI10" s="197">
        <f>IF(BH10&gt;0,1,0)</f>
        <v>0</v>
      </c>
    </row>
    <row r="11" spans="1:61" ht="21" customHeight="1">
      <c r="A11" s="71">
        <v>3</v>
      </c>
      <c r="B11" s="258"/>
      <c r="C11" s="257"/>
      <c r="D11" s="258"/>
      <c r="E11" s="257"/>
      <c r="F11" s="258">
        <v>0.4</v>
      </c>
      <c r="G11" s="257">
        <v>40</v>
      </c>
      <c r="H11" s="258">
        <v>0.9</v>
      </c>
      <c r="I11" s="257">
        <v>60</v>
      </c>
      <c r="J11" s="258">
        <v>0.6</v>
      </c>
      <c r="K11" s="257">
        <v>60</v>
      </c>
      <c r="L11" s="258">
        <v>2</v>
      </c>
      <c r="M11" s="257">
        <v>60</v>
      </c>
      <c r="N11" s="258">
        <v>1.3</v>
      </c>
      <c r="O11" s="257">
        <v>60</v>
      </c>
      <c r="P11" s="258">
        <v>0.2</v>
      </c>
      <c r="Q11" s="257">
        <v>40</v>
      </c>
      <c r="R11" s="258">
        <v>2.1</v>
      </c>
      <c r="S11" s="257">
        <v>60</v>
      </c>
      <c r="T11" s="258">
        <v>7.1</v>
      </c>
      <c r="U11" s="257">
        <v>60</v>
      </c>
      <c r="V11" s="258">
        <v>4.8</v>
      </c>
      <c r="W11" s="257">
        <v>50</v>
      </c>
      <c r="X11" s="258">
        <v>0.1</v>
      </c>
      <c r="Y11" s="257">
        <v>20</v>
      </c>
      <c r="Z11" s="258"/>
      <c r="AA11" s="257"/>
      <c r="AB11" s="258"/>
      <c r="AC11" s="257"/>
      <c r="AD11" s="258"/>
      <c r="AE11" s="257"/>
      <c r="AF11" s="258"/>
      <c r="AG11" s="257"/>
      <c r="AH11" s="258"/>
      <c r="AI11" s="257"/>
      <c r="AJ11" s="258"/>
      <c r="AK11" s="265"/>
      <c r="AL11" s="258"/>
      <c r="AM11" s="257"/>
      <c r="AN11" s="258"/>
      <c r="AO11" s="257"/>
      <c r="AP11" s="258"/>
      <c r="AQ11" s="265"/>
      <c r="AR11" s="258"/>
      <c r="AS11" s="257"/>
      <c r="AT11" s="258"/>
      <c r="AU11" s="265"/>
      <c r="AV11" s="258">
        <v>0.1</v>
      </c>
      <c r="AW11" s="265">
        <v>20</v>
      </c>
      <c r="AX11" s="91">
        <v>3</v>
      </c>
      <c r="AY11" s="92">
        <f t="shared" si="0"/>
        <v>19.600000000000001</v>
      </c>
      <c r="AZ11" s="93">
        <f t="shared" si="0"/>
        <v>530</v>
      </c>
      <c r="BA11" s="94">
        <f t="shared" si="1"/>
        <v>7.1</v>
      </c>
      <c r="BB11" s="95">
        <f t="shared" si="2"/>
        <v>11</v>
      </c>
      <c r="BC11" s="214"/>
      <c r="BD11" s="197">
        <f t="shared" si="3"/>
        <v>1</v>
      </c>
      <c r="BE11" s="98">
        <f t="shared" ref="BE11:BE39" si="4">P10+R10+T10+V10+X10+Z10+AB10+AD10+AF10+AH10+AJ10+AL10+AN10+AP10+AR10+AT10+AV10+B11+D11+F11+H11+J11+L11+N11</f>
        <v>10.5</v>
      </c>
      <c r="BF11" s="99"/>
      <c r="BG11" s="86">
        <f>dezembro!$BE12</f>
        <v>14.799999999999997</v>
      </c>
      <c r="BH11" s="97"/>
      <c r="BI11" s="197">
        <f t="shared" ref="BI11:BI39" si="5">IF(BH11&gt;0,1,0)</f>
        <v>0</v>
      </c>
    </row>
    <row r="12" spans="1:61" ht="21" customHeight="1">
      <c r="A12" s="71">
        <v>4</v>
      </c>
      <c r="B12" s="258"/>
      <c r="C12" s="257"/>
      <c r="D12" s="258">
        <v>0.1</v>
      </c>
      <c r="E12" s="257">
        <v>60</v>
      </c>
      <c r="F12" s="258"/>
      <c r="G12" s="257"/>
      <c r="H12" s="258">
        <v>0.2</v>
      </c>
      <c r="I12" s="257">
        <v>30</v>
      </c>
      <c r="J12" s="258"/>
      <c r="K12" s="257"/>
      <c r="L12" s="258">
        <v>0.1</v>
      </c>
      <c r="M12" s="257">
        <v>60</v>
      </c>
      <c r="N12" s="258"/>
      <c r="O12" s="257"/>
      <c r="P12" s="258"/>
      <c r="Q12" s="257"/>
      <c r="R12" s="258"/>
      <c r="S12" s="257"/>
      <c r="T12" s="266"/>
      <c r="U12" s="257"/>
      <c r="V12" s="258"/>
      <c r="W12" s="257"/>
      <c r="X12" s="258"/>
      <c r="Y12" s="257"/>
      <c r="Z12" s="258"/>
      <c r="AA12" s="257"/>
      <c r="AB12" s="258"/>
      <c r="AC12" s="257"/>
      <c r="AD12" s="258"/>
      <c r="AE12" s="257"/>
      <c r="AF12" s="258"/>
      <c r="AG12" s="257"/>
      <c r="AH12" s="258"/>
      <c r="AI12" s="257"/>
      <c r="AJ12" s="258"/>
      <c r="AK12" s="265"/>
      <c r="AL12" s="258"/>
      <c r="AM12" s="257"/>
      <c r="AN12" s="258"/>
      <c r="AO12" s="257"/>
      <c r="AP12" s="258"/>
      <c r="AQ12" s="265"/>
      <c r="AR12" s="258"/>
      <c r="AS12" s="257"/>
      <c r="AT12" s="258"/>
      <c r="AU12" s="265"/>
      <c r="AV12" s="258">
        <v>0.6</v>
      </c>
      <c r="AW12" s="265">
        <v>55</v>
      </c>
      <c r="AX12" s="91">
        <v>4</v>
      </c>
      <c r="AY12" s="92">
        <f t="shared" si="0"/>
        <v>1</v>
      </c>
      <c r="AZ12" s="93">
        <f t="shared" si="0"/>
        <v>205</v>
      </c>
      <c r="BA12" s="94">
        <f t="shared" si="1"/>
        <v>0.6</v>
      </c>
      <c r="BB12" s="95">
        <f t="shared" si="2"/>
        <v>4</v>
      </c>
      <c r="BC12" s="214"/>
      <c r="BD12" s="197">
        <f t="shared" si="3"/>
        <v>1</v>
      </c>
      <c r="BE12" s="98">
        <f t="shared" si="4"/>
        <v>14.799999999999997</v>
      </c>
      <c r="BF12" s="99"/>
      <c r="BG12" s="86">
        <f>dezembro!$BE13</f>
        <v>1.1000000000000001</v>
      </c>
      <c r="BH12" s="97"/>
      <c r="BI12" s="197">
        <f t="shared" si="5"/>
        <v>0</v>
      </c>
    </row>
    <row r="13" spans="1:61" ht="21" customHeight="1">
      <c r="A13" s="71">
        <v>5</v>
      </c>
      <c r="B13" s="258">
        <v>0.2</v>
      </c>
      <c r="C13" s="257">
        <v>40</v>
      </c>
      <c r="D13" s="258">
        <v>0.2</v>
      </c>
      <c r="E13" s="257">
        <v>40</v>
      </c>
      <c r="F13" s="258">
        <v>0.1</v>
      </c>
      <c r="G13" s="257">
        <v>60</v>
      </c>
      <c r="H13" s="258"/>
      <c r="I13" s="257"/>
      <c r="J13" s="258"/>
      <c r="K13" s="257"/>
      <c r="L13" s="258"/>
      <c r="M13" s="257"/>
      <c r="N13" s="258"/>
      <c r="O13" s="257"/>
      <c r="P13" s="258"/>
      <c r="Q13" s="257"/>
      <c r="R13" s="258"/>
      <c r="S13" s="257"/>
      <c r="T13" s="258"/>
      <c r="U13" s="257"/>
      <c r="V13" s="258"/>
      <c r="W13" s="257"/>
      <c r="X13" s="258"/>
      <c r="Y13" s="257"/>
      <c r="Z13" s="258"/>
      <c r="AA13" s="257"/>
      <c r="AB13" s="258"/>
      <c r="AC13" s="257"/>
      <c r="AD13" s="258"/>
      <c r="AE13" s="257"/>
      <c r="AF13" s="258"/>
      <c r="AG13" s="257"/>
      <c r="AH13" s="258"/>
      <c r="AI13" s="257"/>
      <c r="AJ13" s="258"/>
      <c r="AK13" s="265"/>
      <c r="AL13" s="258">
        <v>0.1</v>
      </c>
      <c r="AM13" s="257">
        <v>5</v>
      </c>
      <c r="AN13" s="258">
        <v>11.8</v>
      </c>
      <c r="AO13" s="257">
        <v>40</v>
      </c>
      <c r="AP13" s="258">
        <v>3.7</v>
      </c>
      <c r="AQ13" s="265">
        <v>50</v>
      </c>
      <c r="AR13" s="258">
        <v>0.1</v>
      </c>
      <c r="AS13" s="257">
        <v>20</v>
      </c>
      <c r="AT13" s="258"/>
      <c r="AU13" s="265"/>
      <c r="AV13" s="258"/>
      <c r="AW13" s="265"/>
      <c r="AX13" s="91">
        <v>5</v>
      </c>
      <c r="AY13" s="92">
        <f t="shared" si="0"/>
        <v>16.200000000000003</v>
      </c>
      <c r="AZ13" s="93">
        <f t="shared" si="0"/>
        <v>255</v>
      </c>
      <c r="BA13" s="94">
        <f t="shared" si="1"/>
        <v>11.8</v>
      </c>
      <c r="BB13" s="95">
        <f t="shared" si="2"/>
        <v>7</v>
      </c>
      <c r="BC13" s="214"/>
      <c r="BD13" s="197">
        <f t="shared" si="3"/>
        <v>1</v>
      </c>
      <c r="BE13" s="98">
        <f t="shared" si="4"/>
        <v>1.1000000000000001</v>
      </c>
      <c r="BF13" s="99"/>
      <c r="BG13" s="86">
        <f>dezembro!$BE14</f>
        <v>15.8</v>
      </c>
      <c r="BH13" s="97"/>
      <c r="BI13" s="197">
        <f t="shared" si="5"/>
        <v>0</v>
      </c>
    </row>
    <row r="14" spans="1:61" ht="21" customHeight="1">
      <c r="A14" s="71">
        <v>6</v>
      </c>
      <c r="B14" s="258"/>
      <c r="C14" s="257"/>
      <c r="D14" s="258"/>
      <c r="E14" s="257"/>
      <c r="F14" s="258"/>
      <c r="G14" s="257"/>
      <c r="H14" s="258"/>
      <c r="I14" s="257"/>
      <c r="J14" s="258">
        <v>0.1</v>
      </c>
      <c r="K14" s="257">
        <v>60</v>
      </c>
      <c r="L14" s="258"/>
      <c r="M14" s="257"/>
      <c r="N14" s="258"/>
      <c r="O14" s="257"/>
      <c r="P14" s="258"/>
      <c r="Q14" s="257"/>
      <c r="R14" s="258"/>
      <c r="S14" s="257"/>
      <c r="T14" s="258"/>
      <c r="U14" s="257"/>
      <c r="V14" s="258"/>
      <c r="W14" s="257"/>
      <c r="X14" s="258"/>
      <c r="Y14" s="257"/>
      <c r="Z14" s="258"/>
      <c r="AA14" s="257"/>
      <c r="AB14" s="258"/>
      <c r="AC14" s="257"/>
      <c r="AD14" s="258"/>
      <c r="AE14" s="257"/>
      <c r="AF14" s="258"/>
      <c r="AG14" s="257"/>
      <c r="AH14" s="258"/>
      <c r="AI14" s="257"/>
      <c r="AJ14" s="258"/>
      <c r="AK14" s="265"/>
      <c r="AL14" s="258"/>
      <c r="AM14" s="257"/>
      <c r="AN14" s="258"/>
      <c r="AO14" s="257"/>
      <c r="AP14" s="258"/>
      <c r="AQ14" s="265"/>
      <c r="AR14" s="258"/>
      <c r="AS14" s="257"/>
      <c r="AT14" s="258"/>
      <c r="AU14" s="265"/>
      <c r="AV14" s="258"/>
      <c r="AW14" s="265"/>
      <c r="AX14" s="91">
        <v>6</v>
      </c>
      <c r="AY14" s="92">
        <f t="shared" si="0"/>
        <v>0.1</v>
      </c>
      <c r="AZ14" s="93">
        <f t="shared" si="0"/>
        <v>60</v>
      </c>
      <c r="BA14" s="94">
        <f t="shared" si="1"/>
        <v>0.1</v>
      </c>
      <c r="BB14" s="95">
        <f t="shared" si="2"/>
        <v>1</v>
      </c>
      <c r="BC14" s="214"/>
      <c r="BD14" s="197">
        <f t="shared" si="3"/>
        <v>1</v>
      </c>
      <c r="BE14" s="98">
        <f t="shared" si="4"/>
        <v>15.8</v>
      </c>
      <c r="BF14" s="99"/>
      <c r="BG14" s="86">
        <f>dezembro!$BE15</f>
        <v>0</v>
      </c>
      <c r="BH14" s="97"/>
      <c r="BI14" s="197">
        <f t="shared" si="5"/>
        <v>0</v>
      </c>
    </row>
    <row r="15" spans="1:61" ht="21" customHeight="1">
      <c r="A15" s="71">
        <v>7</v>
      </c>
      <c r="B15" s="258"/>
      <c r="C15" s="257"/>
      <c r="D15" s="258"/>
      <c r="E15" s="257"/>
      <c r="F15" s="258"/>
      <c r="G15" s="257"/>
      <c r="H15" s="258"/>
      <c r="I15" s="257"/>
      <c r="J15" s="258"/>
      <c r="K15" s="257"/>
      <c r="L15" s="258"/>
      <c r="M15" s="257"/>
      <c r="N15" s="258"/>
      <c r="O15" s="257"/>
      <c r="P15" s="258"/>
      <c r="Q15" s="257"/>
      <c r="R15" s="258"/>
      <c r="S15" s="257"/>
      <c r="T15" s="258"/>
      <c r="U15" s="257"/>
      <c r="V15" s="258"/>
      <c r="W15" s="257"/>
      <c r="X15" s="258"/>
      <c r="Y15" s="257"/>
      <c r="Z15" s="258"/>
      <c r="AA15" s="257"/>
      <c r="AB15" s="258"/>
      <c r="AC15" s="257"/>
      <c r="AD15" s="258"/>
      <c r="AE15" s="257"/>
      <c r="AF15" s="258"/>
      <c r="AG15" s="257"/>
      <c r="AH15" s="258"/>
      <c r="AI15" s="257"/>
      <c r="AJ15" s="258"/>
      <c r="AK15" s="265"/>
      <c r="AL15" s="258"/>
      <c r="AM15" s="257"/>
      <c r="AN15" s="258"/>
      <c r="AO15" s="257"/>
      <c r="AP15" s="258"/>
      <c r="AQ15" s="265"/>
      <c r="AR15" s="258"/>
      <c r="AS15" s="257"/>
      <c r="AT15" s="258"/>
      <c r="AU15" s="265"/>
      <c r="AV15" s="258"/>
      <c r="AW15" s="265"/>
      <c r="AX15" s="91">
        <v>7</v>
      </c>
      <c r="AY15" s="92">
        <f t="shared" si="0"/>
        <v>0</v>
      </c>
      <c r="AZ15" s="93">
        <f t="shared" si="0"/>
        <v>0</v>
      </c>
      <c r="BA15" s="94">
        <f t="shared" si="1"/>
        <v>0</v>
      </c>
      <c r="BB15" s="95">
        <f t="shared" si="2"/>
        <v>0</v>
      </c>
      <c r="BC15" s="214"/>
      <c r="BD15" s="197">
        <f t="shared" si="3"/>
        <v>0</v>
      </c>
      <c r="BE15" s="98">
        <f t="shared" si="4"/>
        <v>0</v>
      </c>
      <c r="BF15" s="99"/>
      <c r="BG15" s="86">
        <f>dezembro!$BE16</f>
        <v>0</v>
      </c>
      <c r="BH15" s="97"/>
      <c r="BI15" s="197">
        <f t="shared" si="5"/>
        <v>0</v>
      </c>
    </row>
    <row r="16" spans="1:61" ht="21" customHeight="1">
      <c r="A16" s="71">
        <v>8</v>
      </c>
      <c r="B16" s="258"/>
      <c r="C16" s="257"/>
      <c r="D16" s="258"/>
      <c r="E16" s="257"/>
      <c r="F16" s="258"/>
      <c r="G16" s="257"/>
      <c r="H16" s="258"/>
      <c r="I16" s="257"/>
      <c r="J16" s="258"/>
      <c r="K16" s="257"/>
      <c r="L16" s="258"/>
      <c r="M16" s="257"/>
      <c r="N16" s="258"/>
      <c r="O16" s="257"/>
      <c r="P16" s="258"/>
      <c r="Q16" s="257"/>
      <c r="R16" s="258"/>
      <c r="S16" s="257"/>
      <c r="T16" s="258"/>
      <c r="U16" s="257"/>
      <c r="V16" s="258">
        <v>0.1</v>
      </c>
      <c r="W16" s="257">
        <v>5</v>
      </c>
      <c r="X16" s="258">
        <v>0.1</v>
      </c>
      <c r="Y16" s="257">
        <v>5</v>
      </c>
      <c r="Z16" s="258"/>
      <c r="AA16" s="257"/>
      <c r="AB16" s="258"/>
      <c r="AC16" s="257"/>
      <c r="AD16" s="258">
        <v>0.3</v>
      </c>
      <c r="AE16" s="257">
        <v>25</v>
      </c>
      <c r="AF16" s="258">
        <v>0.1</v>
      </c>
      <c r="AG16" s="257">
        <v>5</v>
      </c>
      <c r="AH16" s="258"/>
      <c r="AI16" s="257"/>
      <c r="AJ16" s="258"/>
      <c r="AK16" s="265"/>
      <c r="AL16" s="258"/>
      <c r="AM16" s="257"/>
      <c r="AN16" s="258"/>
      <c r="AO16" s="257"/>
      <c r="AP16" s="258"/>
      <c r="AQ16" s="265"/>
      <c r="AR16" s="258"/>
      <c r="AS16" s="257"/>
      <c r="AT16" s="258"/>
      <c r="AU16" s="265"/>
      <c r="AV16" s="258"/>
      <c r="AW16" s="265"/>
      <c r="AX16" s="91">
        <v>8</v>
      </c>
      <c r="AY16" s="92">
        <f t="shared" si="0"/>
        <v>0.6</v>
      </c>
      <c r="AZ16" s="93">
        <f t="shared" si="0"/>
        <v>40</v>
      </c>
      <c r="BA16" s="94">
        <f t="shared" si="1"/>
        <v>0.3</v>
      </c>
      <c r="BB16" s="95">
        <f t="shared" si="2"/>
        <v>4</v>
      </c>
      <c r="BC16" s="216"/>
      <c r="BD16" s="197">
        <f t="shared" si="3"/>
        <v>1</v>
      </c>
      <c r="BE16" s="98">
        <f t="shared" si="4"/>
        <v>0</v>
      </c>
      <c r="BF16" s="99"/>
      <c r="BG16" s="86">
        <f>dezembro!$BE17</f>
        <v>0.6</v>
      </c>
      <c r="BH16" s="97"/>
      <c r="BI16" s="197">
        <f t="shared" si="5"/>
        <v>0</v>
      </c>
    </row>
    <row r="17" spans="1:61" ht="21" customHeight="1">
      <c r="A17" s="71">
        <v>9</v>
      </c>
      <c r="B17" s="258"/>
      <c r="C17" s="257"/>
      <c r="D17" s="258"/>
      <c r="E17" s="257"/>
      <c r="F17" s="258"/>
      <c r="G17" s="257"/>
      <c r="H17" s="258"/>
      <c r="I17" s="257"/>
      <c r="J17" s="258"/>
      <c r="K17" s="257"/>
      <c r="L17" s="258"/>
      <c r="M17" s="257"/>
      <c r="N17" s="258"/>
      <c r="O17" s="257"/>
      <c r="P17" s="258"/>
      <c r="Q17" s="257"/>
      <c r="R17" s="258"/>
      <c r="S17" s="257"/>
      <c r="T17" s="258"/>
      <c r="U17" s="257"/>
      <c r="V17" s="258"/>
      <c r="W17" s="257"/>
      <c r="X17" s="258"/>
      <c r="Y17" s="257"/>
      <c r="Z17" s="258"/>
      <c r="AA17" s="257"/>
      <c r="AB17" s="258">
        <v>0.4</v>
      </c>
      <c r="AC17" s="257">
        <v>20</v>
      </c>
      <c r="AD17" s="258">
        <v>0.3</v>
      </c>
      <c r="AE17" s="257">
        <v>30</v>
      </c>
      <c r="AF17" s="258">
        <v>0.1</v>
      </c>
      <c r="AG17" s="257">
        <v>20</v>
      </c>
      <c r="AH17" s="258"/>
      <c r="AI17" s="257"/>
      <c r="AJ17" s="258"/>
      <c r="AK17" s="265"/>
      <c r="AL17" s="258"/>
      <c r="AM17" s="257"/>
      <c r="AN17" s="258"/>
      <c r="AO17" s="257"/>
      <c r="AP17" s="258"/>
      <c r="AQ17" s="265"/>
      <c r="AR17" s="258"/>
      <c r="AS17" s="257"/>
      <c r="AT17" s="258"/>
      <c r="AU17" s="265"/>
      <c r="AV17" s="258">
        <v>0.1</v>
      </c>
      <c r="AW17" s="265">
        <v>10</v>
      </c>
      <c r="AX17" s="91">
        <v>9</v>
      </c>
      <c r="AY17" s="92">
        <f t="shared" si="0"/>
        <v>0.89999999999999991</v>
      </c>
      <c r="AZ17" s="93">
        <f t="shared" si="0"/>
        <v>80</v>
      </c>
      <c r="BA17" s="94">
        <f t="shared" si="1"/>
        <v>0.4</v>
      </c>
      <c r="BB17" s="95">
        <f t="shared" si="2"/>
        <v>4</v>
      </c>
      <c r="BC17" s="216"/>
      <c r="BD17" s="197">
        <f t="shared" si="3"/>
        <v>1</v>
      </c>
      <c r="BE17" s="98">
        <f t="shared" si="4"/>
        <v>0.6</v>
      </c>
      <c r="BF17" s="99"/>
      <c r="BG17" s="86">
        <f>dezembro!$BE18</f>
        <v>6.7999999999999989</v>
      </c>
      <c r="BH17" s="97"/>
      <c r="BI17" s="197">
        <f t="shared" si="5"/>
        <v>0</v>
      </c>
    </row>
    <row r="18" spans="1:61" ht="21" customHeight="1">
      <c r="A18" s="71">
        <v>10</v>
      </c>
      <c r="B18" s="258">
        <v>0.1</v>
      </c>
      <c r="C18" s="257">
        <v>5</v>
      </c>
      <c r="D18" s="258">
        <v>0.2</v>
      </c>
      <c r="E18" s="257">
        <v>45</v>
      </c>
      <c r="F18" s="258">
        <v>0.5</v>
      </c>
      <c r="G18" s="257">
        <v>60</v>
      </c>
      <c r="H18" s="258">
        <v>1.1000000000000001</v>
      </c>
      <c r="I18" s="257">
        <v>60</v>
      </c>
      <c r="J18" s="258">
        <v>2</v>
      </c>
      <c r="K18" s="257">
        <v>40</v>
      </c>
      <c r="L18" s="258">
        <v>1.9</v>
      </c>
      <c r="M18" s="257">
        <v>50</v>
      </c>
      <c r="N18" s="258">
        <v>0.1</v>
      </c>
      <c r="O18" s="257">
        <v>10</v>
      </c>
      <c r="P18" s="258"/>
      <c r="Q18" s="257"/>
      <c r="R18" s="258"/>
      <c r="S18" s="257"/>
      <c r="T18" s="258"/>
      <c r="U18" s="257"/>
      <c r="V18" s="258"/>
      <c r="W18" s="257"/>
      <c r="X18" s="258"/>
      <c r="Y18" s="257"/>
      <c r="Z18" s="258"/>
      <c r="AA18" s="257"/>
      <c r="AB18" s="258"/>
      <c r="AC18" s="257"/>
      <c r="AD18" s="258">
        <v>4.5</v>
      </c>
      <c r="AE18" s="257">
        <v>50</v>
      </c>
      <c r="AF18" s="258">
        <v>7.6</v>
      </c>
      <c r="AG18" s="257">
        <v>50</v>
      </c>
      <c r="AH18" s="258">
        <v>0.3</v>
      </c>
      <c r="AI18" s="257">
        <v>30</v>
      </c>
      <c r="AJ18" s="258"/>
      <c r="AK18" s="265"/>
      <c r="AL18" s="258"/>
      <c r="AM18" s="257"/>
      <c r="AN18" s="258"/>
      <c r="AO18" s="257"/>
      <c r="AP18" s="258">
        <v>0.5</v>
      </c>
      <c r="AQ18" s="265">
        <v>60</v>
      </c>
      <c r="AR18" s="258">
        <v>0.2</v>
      </c>
      <c r="AS18" s="257">
        <v>60</v>
      </c>
      <c r="AT18" s="258">
        <v>0.1</v>
      </c>
      <c r="AU18" s="265">
        <v>10</v>
      </c>
      <c r="AV18" s="258">
        <v>0.1</v>
      </c>
      <c r="AW18" s="265">
        <v>30</v>
      </c>
      <c r="AX18" s="91">
        <v>10</v>
      </c>
      <c r="AY18" s="92">
        <f t="shared" si="0"/>
        <v>19.200000000000003</v>
      </c>
      <c r="AZ18" s="93">
        <f t="shared" si="0"/>
        <v>560</v>
      </c>
      <c r="BA18" s="94">
        <f t="shared" si="1"/>
        <v>7.6</v>
      </c>
      <c r="BB18" s="95">
        <f t="shared" si="2"/>
        <v>14</v>
      </c>
      <c r="BC18" s="214"/>
      <c r="BD18" s="197">
        <f t="shared" si="3"/>
        <v>1</v>
      </c>
      <c r="BE18" s="98">
        <f t="shared" si="4"/>
        <v>6.7999999999999989</v>
      </c>
      <c r="BF18" s="99"/>
      <c r="BG18" s="86">
        <f>dezembro!$BE19</f>
        <v>13.499999999999998</v>
      </c>
      <c r="BH18" s="97"/>
      <c r="BI18" s="197">
        <f t="shared" si="5"/>
        <v>0</v>
      </c>
    </row>
    <row r="19" spans="1:61" ht="21" customHeight="1">
      <c r="A19" s="71">
        <v>11</v>
      </c>
      <c r="B19" s="258"/>
      <c r="C19" s="257"/>
      <c r="D19" s="258">
        <v>0.1</v>
      </c>
      <c r="E19" s="257">
        <v>60</v>
      </c>
      <c r="F19" s="258"/>
      <c r="G19" s="257"/>
      <c r="H19" s="258"/>
      <c r="I19" s="257"/>
      <c r="J19" s="258"/>
      <c r="K19" s="257"/>
      <c r="L19" s="258"/>
      <c r="M19" s="257"/>
      <c r="N19" s="258">
        <v>0.1</v>
      </c>
      <c r="O19" s="257">
        <v>60</v>
      </c>
      <c r="P19" s="258"/>
      <c r="Q19" s="257"/>
      <c r="R19" s="258"/>
      <c r="S19" s="257"/>
      <c r="T19" s="258"/>
      <c r="U19" s="257"/>
      <c r="V19" s="258"/>
      <c r="W19" s="257"/>
      <c r="X19" s="258"/>
      <c r="Y19" s="257"/>
      <c r="Z19" s="258"/>
      <c r="AA19" s="257"/>
      <c r="AB19" s="258"/>
      <c r="AC19" s="257"/>
      <c r="AD19" s="258"/>
      <c r="AE19" s="257"/>
      <c r="AF19" s="258"/>
      <c r="AG19" s="257"/>
      <c r="AH19" s="258"/>
      <c r="AI19" s="257"/>
      <c r="AJ19" s="258"/>
      <c r="AK19" s="265"/>
      <c r="AL19" s="258"/>
      <c r="AM19" s="257"/>
      <c r="AN19" s="258"/>
      <c r="AO19" s="257"/>
      <c r="AP19" s="258"/>
      <c r="AQ19" s="265"/>
      <c r="AR19" s="258"/>
      <c r="AS19" s="257"/>
      <c r="AT19" s="258"/>
      <c r="AU19" s="265"/>
      <c r="AV19" s="258"/>
      <c r="AW19" s="265"/>
      <c r="AX19" s="91">
        <v>11</v>
      </c>
      <c r="AY19" s="92">
        <f t="shared" si="0"/>
        <v>0.2</v>
      </c>
      <c r="AZ19" s="93">
        <f t="shared" si="0"/>
        <v>120</v>
      </c>
      <c r="BA19" s="94">
        <f t="shared" si="1"/>
        <v>0.1</v>
      </c>
      <c r="BB19" s="95">
        <f t="shared" si="2"/>
        <v>2</v>
      </c>
      <c r="BC19" s="214"/>
      <c r="BD19" s="197">
        <f t="shared" si="3"/>
        <v>1</v>
      </c>
      <c r="BE19" s="98">
        <f t="shared" si="4"/>
        <v>13.499999999999998</v>
      </c>
      <c r="BF19" s="99"/>
      <c r="BG19" s="86">
        <f>dezembro!$BE20</f>
        <v>0</v>
      </c>
      <c r="BH19" s="97"/>
      <c r="BI19" s="197">
        <f t="shared" si="5"/>
        <v>0</v>
      </c>
    </row>
    <row r="20" spans="1:61" ht="21" customHeight="1">
      <c r="A20" s="71">
        <v>12</v>
      </c>
      <c r="B20" s="258"/>
      <c r="C20" s="257"/>
      <c r="D20" s="258"/>
      <c r="E20" s="257"/>
      <c r="F20" s="258"/>
      <c r="G20" s="257"/>
      <c r="H20" s="345"/>
      <c r="I20" s="257"/>
      <c r="J20" s="258"/>
      <c r="K20" s="257"/>
      <c r="L20" s="258"/>
      <c r="M20" s="257"/>
      <c r="N20" s="258"/>
      <c r="O20" s="257"/>
      <c r="P20" s="258"/>
      <c r="Q20" s="257"/>
      <c r="R20" s="258"/>
      <c r="S20" s="257"/>
      <c r="T20" s="258"/>
      <c r="U20" s="257"/>
      <c r="V20" s="258"/>
      <c r="W20" s="257"/>
      <c r="X20" s="258"/>
      <c r="Y20" s="257"/>
      <c r="Z20" s="258"/>
      <c r="AA20" s="257"/>
      <c r="AB20" s="258"/>
      <c r="AC20" s="257"/>
      <c r="AD20" s="258"/>
      <c r="AE20" s="257"/>
      <c r="AF20" s="258"/>
      <c r="AG20" s="257"/>
      <c r="AH20" s="258"/>
      <c r="AI20" s="257"/>
      <c r="AJ20" s="258"/>
      <c r="AK20" s="265"/>
      <c r="AL20" s="258"/>
      <c r="AM20" s="257"/>
      <c r="AN20" s="258"/>
      <c r="AO20" s="257"/>
      <c r="AP20" s="258"/>
      <c r="AQ20" s="265"/>
      <c r="AR20" s="258"/>
      <c r="AS20" s="257"/>
      <c r="AT20" s="258"/>
      <c r="AU20" s="265"/>
      <c r="AV20" s="258"/>
      <c r="AW20" s="265"/>
      <c r="AX20" s="91">
        <v>12</v>
      </c>
      <c r="AY20" s="92">
        <f t="shared" si="0"/>
        <v>0</v>
      </c>
      <c r="AZ20" s="93">
        <f t="shared" si="0"/>
        <v>0</v>
      </c>
      <c r="BA20" s="94">
        <f t="shared" si="1"/>
        <v>0</v>
      </c>
      <c r="BB20" s="95">
        <f t="shared" si="2"/>
        <v>0</v>
      </c>
      <c r="BC20" s="214"/>
      <c r="BD20" s="197">
        <f t="shared" si="3"/>
        <v>0</v>
      </c>
      <c r="BE20" s="98">
        <f t="shared" si="4"/>
        <v>0</v>
      </c>
      <c r="BF20" s="99"/>
      <c r="BG20" s="86">
        <f>dezembro!$BE21</f>
        <v>0</v>
      </c>
      <c r="BH20" s="97"/>
      <c r="BI20" s="197">
        <f t="shared" si="5"/>
        <v>0</v>
      </c>
    </row>
    <row r="21" spans="1:61" ht="21" customHeight="1">
      <c r="A21" s="71">
        <v>13</v>
      </c>
      <c r="B21" s="258"/>
      <c r="C21" s="257"/>
      <c r="D21" s="258"/>
      <c r="E21" s="257"/>
      <c r="F21" s="258"/>
      <c r="G21" s="257"/>
      <c r="H21" s="258"/>
      <c r="I21" s="257"/>
      <c r="J21" s="258"/>
      <c r="K21" s="257"/>
      <c r="L21" s="258"/>
      <c r="M21" s="257"/>
      <c r="N21" s="258"/>
      <c r="O21" s="257"/>
      <c r="P21" s="258"/>
      <c r="Q21" s="257"/>
      <c r="R21" s="258"/>
      <c r="S21" s="257"/>
      <c r="T21" s="258"/>
      <c r="U21" s="257"/>
      <c r="V21" s="258"/>
      <c r="W21" s="257"/>
      <c r="X21" s="258"/>
      <c r="Y21" s="257"/>
      <c r="Z21" s="258"/>
      <c r="AA21" s="257"/>
      <c r="AB21" s="258"/>
      <c r="AC21" s="257"/>
      <c r="AD21" s="258"/>
      <c r="AE21" s="257"/>
      <c r="AF21" s="258"/>
      <c r="AG21" s="257"/>
      <c r="AH21" s="258"/>
      <c r="AI21" s="257"/>
      <c r="AJ21" s="258"/>
      <c r="AK21" s="265"/>
      <c r="AL21" s="258"/>
      <c r="AM21" s="257"/>
      <c r="AN21" s="258"/>
      <c r="AO21" s="257"/>
      <c r="AP21" s="258"/>
      <c r="AQ21" s="265"/>
      <c r="AR21" s="258"/>
      <c r="AS21" s="257"/>
      <c r="AT21" s="258"/>
      <c r="AU21" s="265"/>
      <c r="AV21" s="258"/>
      <c r="AW21" s="265"/>
      <c r="AX21" s="91">
        <v>13</v>
      </c>
      <c r="AY21" s="92">
        <f t="shared" si="0"/>
        <v>0</v>
      </c>
      <c r="AZ21" s="93">
        <f t="shared" si="0"/>
        <v>0</v>
      </c>
      <c r="BA21" s="94">
        <f t="shared" si="1"/>
        <v>0</v>
      </c>
      <c r="BB21" s="95">
        <f t="shared" si="2"/>
        <v>0</v>
      </c>
      <c r="BC21" s="214"/>
      <c r="BD21" s="197">
        <f t="shared" si="3"/>
        <v>0</v>
      </c>
      <c r="BE21" s="98">
        <f t="shared" si="4"/>
        <v>0</v>
      </c>
      <c r="BF21" s="99"/>
      <c r="BG21" s="86">
        <f>dezembro!$BE22</f>
        <v>0</v>
      </c>
      <c r="BH21" s="97"/>
      <c r="BI21" s="197">
        <f t="shared" si="5"/>
        <v>0</v>
      </c>
    </row>
    <row r="22" spans="1:61" ht="21" customHeight="1">
      <c r="A22" s="71">
        <v>14</v>
      </c>
      <c r="B22" s="258"/>
      <c r="C22" s="257"/>
      <c r="D22" s="258"/>
      <c r="E22" s="257"/>
      <c r="F22" s="258"/>
      <c r="G22" s="257"/>
      <c r="H22" s="258"/>
      <c r="I22" s="257"/>
      <c r="J22" s="258"/>
      <c r="K22" s="257"/>
      <c r="L22" s="258"/>
      <c r="M22" s="257"/>
      <c r="N22" s="258"/>
      <c r="O22" s="257"/>
      <c r="P22" s="258"/>
      <c r="Q22" s="257"/>
      <c r="R22" s="258"/>
      <c r="S22" s="257"/>
      <c r="T22" s="258"/>
      <c r="U22" s="257"/>
      <c r="V22" s="258"/>
      <c r="W22" s="257"/>
      <c r="X22" s="258"/>
      <c r="Y22" s="257"/>
      <c r="Z22" s="258"/>
      <c r="AA22" s="257"/>
      <c r="AB22" s="258"/>
      <c r="AC22" s="257"/>
      <c r="AD22" s="258"/>
      <c r="AE22" s="257"/>
      <c r="AF22" s="258"/>
      <c r="AG22" s="257"/>
      <c r="AH22" s="258"/>
      <c r="AI22" s="257"/>
      <c r="AJ22" s="258"/>
      <c r="AK22" s="265"/>
      <c r="AL22" s="258"/>
      <c r="AM22" s="257"/>
      <c r="AN22" s="258">
        <v>0.3</v>
      </c>
      <c r="AO22" s="257">
        <v>20</v>
      </c>
      <c r="AP22" s="258">
        <v>0.7</v>
      </c>
      <c r="AQ22" s="265">
        <v>60</v>
      </c>
      <c r="AR22" s="258">
        <v>0.3</v>
      </c>
      <c r="AS22" s="257">
        <v>40</v>
      </c>
      <c r="AT22" s="258">
        <v>0.3</v>
      </c>
      <c r="AU22" s="265">
        <v>40</v>
      </c>
      <c r="AV22" s="258">
        <v>0.1</v>
      </c>
      <c r="AW22" s="265">
        <v>10</v>
      </c>
      <c r="AX22" s="91">
        <v>14</v>
      </c>
      <c r="AY22" s="92">
        <f t="shared" si="0"/>
        <v>1.7000000000000002</v>
      </c>
      <c r="AZ22" s="93">
        <f t="shared" si="0"/>
        <v>170</v>
      </c>
      <c r="BA22" s="94">
        <f t="shared" si="1"/>
        <v>0.7</v>
      </c>
      <c r="BB22" s="95">
        <f t="shared" si="2"/>
        <v>5</v>
      </c>
      <c r="BC22" s="214"/>
      <c r="BD22" s="197">
        <f t="shared" si="3"/>
        <v>1</v>
      </c>
      <c r="BE22" s="98">
        <f t="shared" si="4"/>
        <v>0</v>
      </c>
      <c r="BF22" s="99"/>
      <c r="BG22" s="86">
        <f>dezembro!$BE23</f>
        <v>1.7000000000000002</v>
      </c>
      <c r="BH22" s="97"/>
      <c r="BI22" s="197">
        <f t="shared" si="5"/>
        <v>0</v>
      </c>
    </row>
    <row r="23" spans="1:61" ht="21" customHeight="1">
      <c r="A23" s="71">
        <v>15</v>
      </c>
      <c r="B23" s="258"/>
      <c r="C23" s="257"/>
      <c r="D23" s="258"/>
      <c r="E23" s="257"/>
      <c r="F23" s="258"/>
      <c r="G23" s="257"/>
      <c r="H23" s="258"/>
      <c r="I23" s="257"/>
      <c r="J23" s="258"/>
      <c r="K23" s="257"/>
      <c r="L23" s="258"/>
      <c r="M23" s="257"/>
      <c r="N23" s="258"/>
      <c r="O23" s="257"/>
      <c r="P23" s="258">
        <v>0.1</v>
      </c>
      <c r="Q23" s="257">
        <v>60</v>
      </c>
      <c r="R23" s="258"/>
      <c r="S23" s="257"/>
      <c r="T23" s="258"/>
      <c r="U23" s="257"/>
      <c r="V23" s="258"/>
      <c r="W23" s="257"/>
      <c r="X23" s="258"/>
      <c r="Y23" s="257"/>
      <c r="Z23" s="258"/>
      <c r="AA23" s="257"/>
      <c r="AB23" s="258"/>
      <c r="AC23" s="257"/>
      <c r="AD23" s="258"/>
      <c r="AE23" s="257"/>
      <c r="AF23" s="258"/>
      <c r="AG23" s="257"/>
      <c r="AH23" s="258"/>
      <c r="AI23" s="257"/>
      <c r="AJ23" s="258"/>
      <c r="AK23" s="265"/>
      <c r="AL23" s="258"/>
      <c r="AM23" s="257"/>
      <c r="AN23" s="258"/>
      <c r="AO23" s="257"/>
      <c r="AP23" s="258"/>
      <c r="AQ23" s="265"/>
      <c r="AR23" s="258"/>
      <c r="AS23" s="257"/>
      <c r="AT23" s="258"/>
      <c r="AU23" s="265"/>
      <c r="AV23" s="258"/>
      <c r="AW23" s="265"/>
      <c r="AX23" s="91">
        <v>15</v>
      </c>
      <c r="AY23" s="92">
        <f t="shared" si="0"/>
        <v>0.1</v>
      </c>
      <c r="AZ23" s="93">
        <f t="shared" si="0"/>
        <v>60</v>
      </c>
      <c r="BA23" s="94">
        <f t="shared" si="1"/>
        <v>0.1</v>
      </c>
      <c r="BB23" s="95">
        <f t="shared" si="2"/>
        <v>1</v>
      </c>
      <c r="BC23" s="214"/>
      <c r="BD23" s="197">
        <f t="shared" si="3"/>
        <v>1</v>
      </c>
      <c r="BE23" s="98">
        <f t="shared" si="4"/>
        <v>1.7000000000000002</v>
      </c>
      <c r="BF23" s="99"/>
      <c r="BG23" s="86">
        <f>dezembro!$BE24</f>
        <v>0.1</v>
      </c>
      <c r="BH23" s="97"/>
      <c r="BI23" s="197">
        <f t="shared" si="5"/>
        <v>0</v>
      </c>
    </row>
    <row r="24" spans="1:61" ht="21" customHeight="1">
      <c r="A24" s="71">
        <v>16</v>
      </c>
      <c r="B24" s="258"/>
      <c r="C24" s="257"/>
      <c r="D24" s="258"/>
      <c r="E24" s="257"/>
      <c r="F24" s="258"/>
      <c r="G24" s="257"/>
      <c r="H24" s="258"/>
      <c r="I24" s="257"/>
      <c r="J24" s="258"/>
      <c r="K24" s="257"/>
      <c r="L24" s="258"/>
      <c r="M24" s="257"/>
      <c r="N24" s="258"/>
      <c r="O24" s="257"/>
      <c r="P24" s="258"/>
      <c r="Q24" s="257"/>
      <c r="R24" s="258"/>
      <c r="S24" s="257"/>
      <c r="T24" s="258"/>
      <c r="U24" s="257"/>
      <c r="V24" s="258"/>
      <c r="W24" s="257"/>
      <c r="X24" s="258"/>
      <c r="Y24" s="257"/>
      <c r="Z24" s="258"/>
      <c r="AA24" s="257"/>
      <c r="AB24" s="258"/>
      <c r="AC24" s="257"/>
      <c r="AD24" s="258"/>
      <c r="AE24" s="257"/>
      <c r="AF24" s="258"/>
      <c r="AG24" s="257"/>
      <c r="AH24" s="258"/>
      <c r="AI24" s="257"/>
      <c r="AJ24" s="258"/>
      <c r="AK24" s="265"/>
      <c r="AL24" s="258"/>
      <c r="AM24" s="257"/>
      <c r="AN24" s="258"/>
      <c r="AO24" s="257"/>
      <c r="AP24" s="258"/>
      <c r="AQ24" s="265"/>
      <c r="AR24" s="258"/>
      <c r="AS24" s="257"/>
      <c r="AT24" s="258"/>
      <c r="AU24" s="265"/>
      <c r="AV24" s="258"/>
      <c r="AW24" s="265"/>
      <c r="AX24" s="91">
        <v>16</v>
      </c>
      <c r="AY24" s="92">
        <f t="shared" si="0"/>
        <v>0</v>
      </c>
      <c r="AZ24" s="93">
        <f t="shared" si="0"/>
        <v>0</v>
      </c>
      <c r="BA24" s="94">
        <f t="shared" si="1"/>
        <v>0</v>
      </c>
      <c r="BB24" s="95">
        <f t="shared" si="2"/>
        <v>0</v>
      </c>
      <c r="BC24" s="214"/>
      <c r="BD24" s="197">
        <f t="shared" si="3"/>
        <v>0</v>
      </c>
      <c r="BE24" s="98">
        <f t="shared" si="4"/>
        <v>0.1</v>
      </c>
      <c r="BF24" s="99"/>
      <c r="BG24" s="86">
        <f>dezembro!$BE25</f>
        <v>0</v>
      </c>
      <c r="BH24" s="97"/>
      <c r="BI24" s="197">
        <f t="shared" si="5"/>
        <v>0</v>
      </c>
    </row>
    <row r="25" spans="1:61" ht="21" customHeight="1">
      <c r="A25" s="71">
        <v>17</v>
      </c>
      <c r="B25" s="258"/>
      <c r="C25" s="257"/>
      <c r="D25" s="258"/>
      <c r="E25" s="257"/>
      <c r="F25" s="258"/>
      <c r="G25" s="257"/>
      <c r="H25" s="258"/>
      <c r="I25" s="257"/>
      <c r="J25" s="258"/>
      <c r="K25" s="257"/>
      <c r="L25" s="258"/>
      <c r="M25" s="257"/>
      <c r="N25" s="258"/>
      <c r="O25" s="257"/>
      <c r="P25" s="258"/>
      <c r="Q25" s="257"/>
      <c r="R25" s="258"/>
      <c r="S25" s="257"/>
      <c r="T25" s="258"/>
      <c r="U25" s="257"/>
      <c r="V25" s="258"/>
      <c r="W25" s="257"/>
      <c r="X25" s="258"/>
      <c r="Y25" s="257"/>
      <c r="Z25" s="258"/>
      <c r="AA25" s="257"/>
      <c r="AB25" s="258"/>
      <c r="AC25" s="257"/>
      <c r="AD25" s="258"/>
      <c r="AE25" s="257"/>
      <c r="AF25" s="258"/>
      <c r="AG25" s="257"/>
      <c r="AH25" s="258"/>
      <c r="AI25" s="257"/>
      <c r="AJ25" s="258"/>
      <c r="AK25" s="265"/>
      <c r="AL25" s="258"/>
      <c r="AM25" s="257"/>
      <c r="AN25" s="258"/>
      <c r="AO25" s="257"/>
      <c r="AP25" s="258"/>
      <c r="AQ25" s="265"/>
      <c r="AR25" s="258"/>
      <c r="AS25" s="257"/>
      <c r="AT25" s="258"/>
      <c r="AU25" s="265"/>
      <c r="AV25" s="258"/>
      <c r="AW25" s="265"/>
      <c r="AX25" s="91">
        <v>17</v>
      </c>
      <c r="AY25" s="92">
        <f t="shared" si="0"/>
        <v>0</v>
      </c>
      <c r="AZ25" s="93">
        <f t="shared" si="0"/>
        <v>0</v>
      </c>
      <c r="BA25" s="94">
        <f t="shared" si="1"/>
        <v>0</v>
      </c>
      <c r="BB25" s="95">
        <f t="shared" si="2"/>
        <v>0</v>
      </c>
      <c r="BC25" s="214"/>
      <c r="BD25" s="197">
        <f t="shared" si="3"/>
        <v>0</v>
      </c>
      <c r="BE25" s="98">
        <f t="shared" si="4"/>
        <v>0</v>
      </c>
      <c r="BF25" s="99"/>
      <c r="BG25" s="86">
        <f>dezembro!$BE26</f>
        <v>0</v>
      </c>
      <c r="BH25" s="97"/>
      <c r="BI25" s="197">
        <f t="shared" si="5"/>
        <v>0</v>
      </c>
    </row>
    <row r="26" spans="1:61" ht="21" customHeight="1">
      <c r="A26" s="71">
        <v>18</v>
      </c>
      <c r="B26" s="258"/>
      <c r="C26" s="257"/>
      <c r="D26" s="258"/>
      <c r="E26" s="257"/>
      <c r="F26" s="258"/>
      <c r="G26" s="257"/>
      <c r="H26" s="258"/>
      <c r="I26" s="257"/>
      <c r="J26" s="258"/>
      <c r="K26" s="257"/>
      <c r="L26" s="258"/>
      <c r="M26" s="257"/>
      <c r="N26" s="258"/>
      <c r="O26" s="257"/>
      <c r="P26" s="258"/>
      <c r="Q26" s="257"/>
      <c r="R26" s="258"/>
      <c r="S26" s="257"/>
      <c r="T26" s="258"/>
      <c r="U26" s="257"/>
      <c r="V26" s="258"/>
      <c r="W26" s="257"/>
      <c r="X26" s="258"/>
      <c r="Y26" s="257"/>
      <c r="Z26" s="258"/>
      <c r="AA26" s="257"/>
      <c r="AB26" s="258"/>
      <c r="AC26" s="257"/>
      <c r="AD26" s="258"/>
      <c r="AE26" s="257"/>
      <c r="AF26" s="258"/>
      <c r="AG26" s="257"/>
      <c r="AH26" s="258"/>
      <c r="AI26" s="257"/>
      <c r="AJ26" s="258"/>
      <c r="AK26" s="265"/>
      <c r="AL26" s="258"/>
      <c r="AM26" s="257"/>
      <c r="AN26" s="258"/>
      <c r="AO26" s="257"/>
      <c r="AP26" s="258"/>
      <c r="AQ26" s="265"/>
      <c r="AR26" s="258"/>
      <c r="AS26" s="257"/>
      <c r="AT26" s="258"/>
      <c r="AU26" s="265"/>
      <c r="AV26" s="258"/>
      <c r="AW26" s="265"/>
      <c r="AX26" s="91">
        <v>18</v>
      </c>
      <c r="AY26" s="92">
        <f t="shared" si="0"/>
        <v>0</v>
      </c>
      <c r="AZ26" s="93">
        <f t="shared" si="0"/>
        <v>0</v>
      </c>
      <c r="BA26" s="94">
        <f t="shared" si="1"/>
        <v>0</v>
      </c>
      <c r="BB26" s="95">
        <f t="shared" si="2"/>
        <v>0</v>
      </c>
      <c r="BC26" s="214"/>
      <c r="BD26" s="197">
        <f t="shared" si="3"/>
        <v>0</v>
      </c>
      <c r="BE26" s="98">
        <f t="shared" si="4"/>
        <v>0</v>
      </c>
      <c r="BF26" s="99"/>
      <c r="BG26" s="86">
        <f>dezembro!$BE27</f>
        <v>0</v>
      </c>
      <c r="BH26" s="97"/>
      <c r="BI26" s="197">
        <f t="shared" si="5"/>
        <v>0</v>
      </c>
    </row>
    <row r="27" spans="1:61" ht="21" customHeight="1">
      <c r="A27" s="71">
        <v>19</v>
      </c>
      <c r="B27" s="258"/>
      <c r="C27" s="257"/>
      <c r="D27" s="258"/>
      <c r="E27" s="257"/>
      <c r="F27" s="258"/>
      <c r="G27" s="257"/>
      <c r="H27" s="258"/>
      <c r="I27" s="257"/>
      <c r="J27" s="258"/>
      <c r="K27" s="257"/>
      <c r="L27" s="258"/>
      <c r="M27" s="257"/>
      <c r="N27" s="258"/>
      <c r="O27" s="257"/>
      <c r="P27" s="258"/>
      <c r="Q27" s="257"/>
      <c r="R27" s="258"/>
      <c r="S27" s="257"/>
      <c r="T27" s="258"/>
      <c r="U27" s="257"/>
      <c r="V27" s="258"/>
      <c r="W27" s="257"/>
      <c r="X27" s="258"/>
      <c r="Y27" s="257"/>
      <c r="Z27" s="258"/>
      <c r="AA27" s="257"/>
      <c r="AB27" s="258"/>
      <c r="AC27" s="257"/>
      <c r="AD27" s="258"/>
      <c r="AE27" s="257"/>
      <c r="AF27" s="258"/>
      <c r="AG27" s="257"/>
      <c r="AH27" s="258"/>
      <c r="AI27" s="257"/>
      <c r="AJ27" s="258"/>
      <c r="AK27" s="265"/>
      <c r="AL27" s="258"/>
      <c r="AM27" s="257"/>
      <c r="AN27" s="258"/>
      <c r="AO27" s="257"/>
      <c r="AP27" s="258"/>
      <c r="AQ27" s="265"/>
      <c r="AR27" s="258"/>
      <c r="AS27" s="257"/>
      <c r="AT27" s="258"/>
      <c r="AU27" s="265"/>
      <c r="AV27" s="258"/>
      <c r="AW27" s="265"/>
      <c r="AX27" s="91">
        <v>19</v>
      </c>
      <c r="AY27" s="92">
        <f t="shared" si="0"/>
        <v>0</v>
      </c>
      <c r="AZ27" s="93">
        <f t="shared" si="0"/>
        <v>0</v>
      </c>
      <c r="BA27" s="94">
        <f t="shared" si="1"/>
        <v>0</v>
      </c>
      <c r="BB27" s="95">
        <f t="shared" si="2"/>
        <v>0</v>
      </c>
      <c r="BC27" s="214"/>
      <c r="BD27" s="197">
        <f t="shared" si="3"/>
        <v>0</v>
      </c>
      <c r="BE27" s="98">
        <f t="shared" si="4"/>
        <v>0</v>
      </c>
      <c r="BF27" s="99"/>
      <c r="BG27" s="86">
        <f>dezembro!$BE28</f>
        <v>0</v>
      </c>
      <c r="BH27" s="97"/>
      <c r="BI27" s="197">
        <f t="shared" si="5"/>
        <v>0</v>
      </c>
    </row>
    <row r="28" spans="1:61" ht="21" customHeight="1">
      <c r="A28" s="71">
        <v>20</v>
      </c>
      <c r="B28" s="258"/>
      <c r="C28" s="257"/>
      <c r="D28" s="258"/>
      <c r="E28" s="257"/>
      <c r="F28" s="258"/>
      <c r="G28" s="257"/>
      <c r="H28" s="258"/>
      <c r="I28" s="257"/>
      <c r="J28" s="258"/>
      <c r="K28" s="257"/>
      <c r="L28" s="258"/>
      <c r="M28" s="257"/>
      <c r="N28" s="258"/>
      <c r="O28" s="257"/>
      <c r="P28" s="258"/>
      <c r="Q28" s="257"/>
      <c r="R28" s="258"/>
      <c r="S28" s="257"/>
      <c r="T28" s="258"/>
      <c r="U28" s="257"/>
      <c r="V28" s="258"/>
      <c r="W28" s="257"/>
      <c r="X28" s="258"/>
      <c r="Y28" s="257"/>
      <c r="Z28" s="258"/>
      <c r="AA28" s="257"/>
      <c r="AB28" s="258"/>
      <c r="AC28" s="257"/>
      <c r="AD28" s="258"/>
      <c r="AE28" s="257"/>
      <c r="AF28" s="258"/>
      <c r="AG28" s="257"/>
      <c r="AH28" s="258"/>
      <c r="AI28" s="257"/>
      <c r="AJ28" s="258">
        <v>5.3</v>
      </c>
      <c r="AK28" s="265">
        <v>60</v>
      </c>
      <c r="AL28" s="258">
        <v>4.0999999999999996</v>
      </c>
      <c r="AM28" s="257">
        <v>60</v>
      </c>
      <c r="AN28" s="258">
        <v>1.6</v>
      </c>
      <c r="AO28" s="257">
        <v>60</v>
      </c>
      <c r="AP28" s="258">
        <v>0.4</v>
      </c>
      <c r="AQ28" s="265">
        <v>35</v>
      </c>
      <c r="AR28" s="258">
        <v>1.2</v>
      </c>
      <c r="AS28" s="257">
        <v>25</v>
      </c>
      <c r="AT28" s="258"/>
      <c r="AU28" s="265"/>
      <c r="AV28" s="258"/>
      <c r="AW28" s="265"/>
      <c r="AX28" s="91">
        <v>20</v>
      </c>
      <c r="AY28" s="92">
        <f t="shared" si="0"/>
        <v>12.599999999999998</v>
      </c>
      <c r="AZ28" s="93">
        <f t="shared" si="0"/>
        <v>240</v>
      </c>
      <c r="BA28" s="94">
        <f t="shared" si="1"/>
        <v>5.3</v>
      </c>
      <c r="BB28" s="95">
        <f t="shared" si="2"/>
        <v>5</v>
      </c>
      <c r="BC28" s="214"/>
      <c r="BD28" s="197">
        <f t="shared" si="3"/>
        <v>1</v>
      </c>
      <c r="BE28" s="98">
        <f t="shared" si="4"/>
        <v>0</v>
      </c>
      <c r="BF28" s="99"/>
      <c r="BG28" s="86">
        <f>dezembro!$BE29</f>
        <v>12.699999999999998</v>
      </c>
      <c r="BH28" s="97"/>
      <c r="BI28" s="197">
        <f t="shared" si="5"/>
        <v>0</v>
      </c>
    </row>
    <row r="29" spans="1:61" ht="21" customHeight="1">
      <c r="A29" s="71">
        <v>21</v>
      </c>
      <c r="B29" s="258"/>
      <c r="C29" s="257"/>
      <c r="D29" s="258">
        <v>0.1</v>
      </c>
      <c r="E29" s="257">
        <v>60</v>
      </c>
      <c r="F29" s="258"/>
      <c r="G29" s="257"/>
      <c r="H29" s="258"/>
      <c r="I29" s="257"/>
      <c r="J29" s="258"/>
      <c r="K29" s="257"/>
      <c r="L29" s="258"/>
      <c r="M29" s="257"/>
      <c r="N29" s="258"/>
      <c r="O29" s="257"/>
      <c r="P29" s="258"/>
      <c r="Q29" s="257"/>
      <c r="R29" s="258"/>
      <c r="S29" s="257"/>
      <c r="T29" s="258"/>
      <c r="U29" s="257"/>
      <c r="V29" s="258"/>
      <c r="W29" s="257"/>
      <c r="X29" s="258"/>
      <c r="Y29" s="257"/>
      <c r="Z29" s="256">
        <v>4.0999999999999996</v>
      </c>
      <c r="AA29" s="257">
        <v>30</v>
      </c>
      <c r="AB29" s="258"/>
      <c r="AC29" s="257"/>
      <c r="AD29" s="258">
        <v>0.6</v>
      </c>
      <c r="AE29" s="257">
        <v>20</v>
      </c>
      <c r="AF29" s="258">
        <v>0.7</v>
      </c>
      <c r="AG29" s="257">
        <v>20</v>
      </c>
      <c r="AH29" s="258"/>
      <c r="AI29" s="257"/>
      <c r="AJ29" s="258"/>
      <c r="AK29" s="265"/>
      <c r="AL29" s="258">
        <v>0.1</v>
      </c>
      <c r="AM29" s="257">
        <v>10</v>
      </c>
      <c r="AN29" s="258">
        <v>0.3</v>
      </c>
      <c r="AO29" s="257">
        <v>15</v>
      </c>
      <c r="AP29" s="258">
        <v>0.1</v>
      </c>
      <c r="AQ29" s="265">
        <v>10</v>
      </c>
      <c r="AR29" s="258"/>
      <c r="AS29" s="257"/>
      <c r="AT29" s="258"/>
      <c r="AU29" s="265"/>
      <c r="AV29" s="258"/>
      <c r="AW29" s="265"/>
      <c r="AX29" s="91">
        <v>21</v>
      </c>
      <c r="AY29" s="92">
        <f t="shared" si="0"/>
        <v>5.9999999999999982</v>
      </c>
      <c r="AZ29" s="93">
        <f t="shared" si="0"/>
        <v>165</v>
      </c>
      <c r="BA29" s="94">
        <f t="shared" si="1"/>
        <v>4.0999999999999996</v>
      </c>
      <c r="BB29" s="95">
        <f t="shared" si="2"/>
        <v>7</v>
      </c>
      <c r="BC29" s="214"/>
      <c r="BD29" s="197">
        <f t="shared" si="3"/>
        <v>1</v>
      </c>
      <c r="BE29" s="98">
        <f t="shared" si="4"/>
        <v>12.699999999999998</v>
      </c>
      <c r="BF29" s="99"/>
      <c r="BG29" s="86">
        <f>dezembro!$BE30</f>
        <v>5.8999999999999986</v>
      </c>
      <c r="BH29" s="97"/>
      <c r="BI29" s="197">
        <f t="shared" si="5"/>
        <v>0</v>
      </c>
    </row>
    <row r="30" spans="1:61" ht="21" customHeight="1">
      <c r="A30" s="71">
        <v>22</v>
      </c>
      <c r="B30" s="258"/>
      <c r="C30" s="257"/>
      <c r="D30" s="258"/>
      <c r="E30" s="257"/>
      <c r="F30" s="258"/>
      <c r="G30" s="257"/>
      <c r="H30" s="258"/>
      <c r="I30" s="257"/>
      <c r="J30" s="258"/>
      <c r="K30" s="257"/>
      <c r="L30" s="258"/>
      <c r="M30" s="257"/>
      <c r="N30" s="258"/>
      <c r="O30" s="257"/>
      <c r="P30" s="258"/>
      <c r="Q30" s="257"/>
      <c r="R30" s="258"/>
      <c r="S30" s="257"/>
      <c r="T30" s="258"/>
      <c r="U30" s="257"/>
      <c r="V30" s="258"/>
      <c r="W30" s="257"/>
      <c r="X30" s="258"/>
      <c r="Y30" s="257"/>
      <c r="Z30" s="258"/>
      <c r="AA30" s="257"/>
      <c r="AB30" s="258"/>
      <c r="AC30" s="257"/>
      <c r="AD30" s="258"/>
      <c r="AE30" s="257"/>
      <c r="AF30" s="258"/>
      <c r="AG30" s="257"/>
      <c r="AH30" s="258"/>
      <c r="AI30" s="257"/>
      <c r="AJ30" s="258"/>
      <c r="AK30" s="265"/>
      <c r="AL30" s="258"/>
      <c r="AM30" s="265"/>
      <c r="AN30" s="258"/>
      <c r="AO30" s="257"/>
      <c r="AP30" s="258"/>
      <c r="AQ30" s="257"/>
      <c r="AR30" s="258"/>
      <c r="AS30" s="265"/>
      <c r="AT30" s="258"/>
      <c r="AU30" s="265"/>
      <c r="AV30" s="258">
        <v>1.4</v>
      </c>
      <c r="AW30" s="265">
        <v>30</v>
      </c>
      <c r="AX30" s="91">
        <v>22</v>
      </c>
      <c r="AY30" s="92">
        <f t="shared" si="0"/>
        <v>1.4</v>
      </c>
      <c r="AZ30" s="93">
        <f t="shared" si="0"/>
        <v>30</v>
      </c>
      <c r="BA30" s="94">
        <f t="shared" si="1"/>
        <v>1.4</v>
      </c>
      <c r="BB30" s="95">
        <f t="shared" si="2"/>
        <v>1</v>
      </c>
      <c r="BC30" s="214"/>
      <c r="BD30" s="197">
        <f t="shared" si="3"/>
        <v>1</v>
      </c>
      <c r="BE30" s="98">
        <f t="shared" si="4"/>
        <v>5.8999999999999986</v>
      </c>
      <c r="BF30" s="99"/>
      <c r="BG30" s="86">
        <f>dezembro!$BE31</f>
        <v>4.2</v>
      </c>
      <c r="BH30" s="97"/>
      <c r="BI30" s="197">
        <f t="shared" si="5"/>
        <v>0</v>
      </c>
    </row>
    <row r="31" spans="1:61" ht="21" customHeight="1">
      <c r="A31" s="71">
        <v>23</v>
      </c>
      <c r="B31" s="258">
        <v>0.2</v>
      </c>
      <c r="C31" s="257">
        <v>15</v>
      </c>
      <c r="D31" s="258"/>
      <c r="E31" s="257"/>
      <c r="F31" s="258"/>
      <c r="G31" s="257"/>
      <c r="H31" s="258">
        <v>0.2</v>
      </c>
      <c r="I31" s="257">
        <v>20</v>
      </c>
      <c r="J31" s="258">
        <v>0.1</v>
      </c>
      <c r="K31" s="257">
        <v>25</v>
      </c>
      <c r="L31" s="258">
        <v>1</v>
      </c>
      <c r="M31" s="257">
        <v>25</v>
      </c>
      <c r="N31" s="258">
        <v>1.3</v>
      </c>
      <c r="O31" s="257">
        <v>50</v>
      </c>
      <c r="P31" s="258"/>
      <c r="Q31" s="257"/>
      <c r="R31" s="258">
        <v>0.8</v>
      </c>
      <c r="S31" s="257">
        <v>35</v>
      </c>
      <c r="T31" s="258"/>
      <c r="U31" s="257"/>
      <c r="V31" s="258"/>
      <c r="W31" s="257"/>
      <c r="X31" s="258"/>
      <c r="Y31" s="257"/>
      <c r="Z31" s="258"/>
      <c r="AA31" s="257"/>
      <c r="AB31" s="258"/>
      <c r="AC31" s="257"/>
      <c r="AD31" s="258"/>
      <c r="AE31" s="257"/>
      <c r="AF31" s="258"/>
      <c r="AG31" s="257"/>
      <c r="AH31" s="258"/>
      <c r="AI31" s="257"/>
      <c r="AJ31" s="258"/>
      <c r="AK31" s="265"/>
      <c r="AL31" s="258"/>
      <c r="AM31" s="257"/>
      <c r="AN31" s="258">
        <v>0.3</v>
      </c>
      <c r="AO31" s="257">
        <v>30</v>
      </c>
      <c r="AP31" s="258">
        <v>0.1</v>
      </c>
      <c r="AQ31" s="265">
        <v>30</v>
      </c>
      <c r="AR31" s="269">
        <v>0.2</v>
      </c>
      <c r="AS31" s="257">
        <v>35</v>
      </c>
      <c r="AT31" s="258">
        <v>0.2</v>
      </c>
      <c r="AU31" s="265">
        <v>20</v>
      </c>
      <c r="AV31" s="258"/>
      <c r="AW31" s="265"/>
      <c r="AX31" s="91">
        <v>23</v>
      </c>
      <c r="AY31" s="92">
        <f t="shared" si="0"/>
        <v>4.3999999999999995</v>
      </c>
      <c r="AZ31" s="93">
        <f t="shared" si="0"/>
        <v>285</v>
      </c>
      <c r="BA31" s="94">
        <f t="shared" si="1"/>
        <v>1.3</v>
      </c>
      <c r="BB31" s="95">
        <f t="shared" si="2"/>
        <v>10</v>
      </c>
      <c r="BC31" s="214"/>
      <c r="BD31" s="197">
        <f t="shared" si="3"/>
        <v>1</v>
      </c>
      <c r="BE31" s="98">
        <f t="shared" si="4"/>
        <v>4.2</v>
      </c>
      <c r="BF31" s="99"/>
      <c r="BG31" s="86">
        <f>dezembro!$BE32</f>
        <v>2</v>
      </c>
      <c r="BH31" s="97"/>
      <c r="BI31" s="197">
        <f t="shared" si="5"/>
        <v>0</v>
      </c>
    </row>
    <row r="32" spans="1:61" ht="21" customHeight="1">
      <c r="A32" s="71">
        <v>24</v>
      </c>
      <c r="B32" s="258">
        <v>0.3</v>
      </c>
      <c r="C32" s="257">
        <v>30</v>
      </c>
      <c r="D32" s="258"/>
      <c r="E32" s="257"/>
      <c r="F32" s="258"/>
      <c r="G32" s="257"/>
      <c r="H32" s="258"/>
      <c r="I32" s="257"/>
      <c r="J32" s="258"/>
      <c r="K32" s="257"/>
      <c r="L32" s="258">
        <v>0.1</v>
      </c>
      <c r="M32" s="257">
        <v>30</v>
      </c>
      <c r="N32" s="258"/>
      <c r="O32" s="257"/>
      <c r="P32" s="258"/>
      <c r="Q32" s="257"/>
      <c r="R32" s="258"/>
      <c r="S32" s="257"/>
      <c r="T32" s="258"/>
      <c r="U32" s="257"/>
      <c r="V32" s="258"/>
      <c r="W32" s="257"/>
      <c r="X32" s="258"/>
      <c r="Y32" s="257"/>
      <c r="Z32" s="258"/>
      <c r="AA32" s="257"/>
      <c r="AB32" s="258"/>
      <c r="AC32" s="257"/>
      <c r="AD32" s="258"/>
      <c r="AE32" s="257"/>
      <c r="AF32" s="258"/>
      <c r="AG32" s="257"/>
      <c r="AH32" s="258"/>
      <c r="AI32" s="257"/>
      <c r="AJ32" s="258"/>
      <c r="AK32" s="265"/>
      <c r="AL32" s="258"/>
      <c r="AM32" s="257"/>
      <c r="AN32" s="258"/>
      <c r="AO32" s="257"/>
      <c r="AP32" s="258"/>
      <c r="AQ32" s="265"/>
      <c r="AR32" s="269"/>
      <c r="AS32" s="257"/>
      <c r="AT32" s="258"/>
      <c r="AU32" s="265"/>
      <c r="AV32" s="258"/>
      <c r="AW32" s="265"/>
      <c r="AX32" s="91">
        <v>24</v>
      </c>
      <c r="AY32" s="92">
        <f t="shared" si="0"/>
        <v>0.4</v>
      </c>
      <c r="AZ32" s="93">
        <f t="shared" si="0"/>
        <v>60</v>
      </c>
      <c r="BA32" s="94">
        <f t="shared" si="1"/>
        <v>0.3</v>
      </c>
      <c r="BB32" s="95">
        <f t="shared" si="2"/>
        <v>2</v>
      </c>
      <c r="BC32" s="214"/>
      <c r="BD32" s="197">
        <f t="shared" si="3"/>
        <v>1</v>
      </c>
      <c r="BE32" s="98">
        <f t="shared" si="4"/>
        <v>2</v>
      </c>
      <c r="BF32" s="99"/>
      <c r="BG32" s="86">
        <f>dezembro!$BE33</f>
        <v>0</v>
      </c>
      <c r="BH32" s="97"/>
      <c r="BI32" s="197">
        <f t="shared" si="5"/>
        <v>0</v>
      </c>
    </row>
    <row r="33" spans="1:61" ht="21" customHeight="1">
      <c r="A33" s="71">
        <v>25</v>
      </c>
      <c r="B33" s="258"/>
      <c r="C33" s="257"/>
      <c r="D33" s="258"/>
      <c r="E33" s="257"/>
      <c r="F33" s="258"/>
      <c r="G33" s="257"/>
      <c r="H33" s="258"/>
      <c r="I33" s="257"/>
      <c r="J33" s="258"/>
      <c r="K33" s="257"/>
      <c r="L33" s="258"/>
      <c r="M33" s="257"/>
      <c r="N33" s="258"/>
      <c r="O33" s="257"/>
      <c r="P33" s="258"/>
      <c r="Q33" s="257"/>
      <c r="R33" s="258"/>
      <c r="S33" s="257"/>
      <c r="T33" s="258"/>
      <c r="U33" s="257"/>
      <c r="V33" s="258"/>
      <c r="W33" s="257"/>
      <c r="X33" s="258"/>
      <c r="Y33" s="257"/>
      <c r="Z33" s="258"/>
      <c r="AA33" s="257"/>
      <c r="AB33" s="258"/>
      <c r="AC33" s="257"/>
      <c r="AD33" s="258"/>
      <c r="AE33" s="257"/>
      <c r="AF33" s="258">
        <v>0.2</v>
      </c>
      <c r="AG33" s="257">
        <v>10</v>
      </c>
      <c r="AH33" s="258"/>
      <c r="AI33" s="257"/>
      <c r="AJ33" s="258">
        <v>41.1</v>
      </c>
      <c r="AK33" s="265">
        <v>50</v>
      </c>
      <c r="AL33" s="258">
        <v>11.9</v>
      </c>
      <c r="AM33" s="257">
        <v>60</v>
      </c>
      <c r="AN33" s="258">
        <v>5.3</v>
      </c>
      <c r="AO33" s="257">
        <v>30</v>
      </c>
      <c r="AP33" s="258"/>
      <c r="AQ33" s="265"/>
      <c r="AR33" s="269"/>
      <c r="AS33" s="257"/>
      <c r="AT33" s="258"/>
      <c r="AU33" s="265"/>
      <c r="AV33" s="258">
        <v>1.1000000000000001</v>
      </c>
      <c r="AW33" s="265">
        <v>25</v>
      </c>
      <c r="AX33" s="91">
        <v>25</v>
      </c>
      <c r="AY33" s="92">
        <f t="shared" si="0"/>
        <v>59.6</v>
      </c>
      <c r="AZ33" s="93">
        <f t="shared" si="0"/>
        <v>175</v>
      </c>
      <c r="BA33" s="94">
        <f t="shared" si="1"/>
        <v>41.1</v>
      </c>
      <c r="BB33" s="95">
        <f t="shared" si="2"/>
        <v>5</v>
      </c>
      <c r="BC33" s="214"/>
      <c r="BD33" s="197">
        <f t="shared" si="3"/>
        <v>1</v>
      </c>
      <c r="BE33" s="98">
        <f t="shared" si="4"/>
        <v>0</v>
      </c>
      <c r="BF33" s="99"/>
      <c r="BG33" s="86">
        <f>dezembro!$BE34</f>
        <v>71.5</v>
      </c>
      <c r="BH33" s="97"/>
      <c r="BI33" s="197">
        <f t="shared" si="5"/>
        <v>0</v>
      </c>
    </row>
    <row r="34" spans="1:61" ht="21" customHeight="1">
      <c r="A34" s="71">
        <v>26</v>
      </c>
      <c r="B34" s="258">
        <v>4.8</v>
      </c>
      <c r="C34" s="257">
        <v>60</v>
      </c>
      <c r="D34" s="258">
        <v>2.1</v>
      </c>
      <c r="E34" s="257">
        <v>50</v>
      </c>
      <c r="F34" s="258">
        <v>0.5</v>
      </c>
      <c r="G34" s="257">
        <v>30</v>
      </c>
      <c r="H34" s="258">
        <v>0.5</v>
      </c>
      <c r="I34" s="257">
        <v>40</v>
      </c>
      <c r="J34" s="258"/>
      <c r="K34" s="257"/>
      <c r="L34" s="258">
        <v>1.8</v>
      </c>
      <c r="M34" s="257">
        <v>60</v>
      </c>
      <c r="N34" s="258">
        <v>2.2000000000000002</v>
      </c>
      <c r="O34" s="257">
        <v>60</v>
      </c>
      <c r="P34" s="258">
        <v>2.1</v>
      </c>
      <c r="Q34" s="257">
        <v>60</v>
      </c>
      <c r="R34" s="258">
        <v>0.3</v>
      </c>
      <c r="S34" s="257">
        <v>25</v>
      </c>
      <c r="T34" s="258"/>
      <c r="U34" s="257"/>
      <c r="V34" s="258"/>
      <c r="W34" s="257"/>
      <c r="X34" s="258">
        <v>0.1</v>
      </c>
      <c r="Y34" s="257">
        <v>5</v>
      </c>
      <c r="Z34" s="258">
        <v>0.6</v>
      </c>
      <c r="AA34" s="257">
        <v>20</v>
      </c>
      <c r="AB34" s="258">
        <v>0.1</v>
      </c>
      <c r="AC34" s="257">
        <v>10</v>
      </c>
      <c r="AD34" s="258">
        <v>3.4</v>
      </c>
      <c r="AE34" s="257">
        <v>15</v>
      </c>
      <c r="AF34" s="258">
        <v>3</v>
      </c>
      <c r="AG34" s="257">
        <v>25</v>
      </c>
      <c r="AH34" s="258"/>
      <c r="AI34" s="257"/>
      <c r="AJ34" s="258">
        <v>0.7</v>
      </c>
      <c r="AK34" s="265">
        <v>30</v>
      </c>
      <c r="AL34" s="258">
        <v>2.6</v>
      </c>
      <c r="AM34" s="257">
        <v>60</v>
      </c>
      <c r="AN34" s="258">
        <v>2.7</v>
      </c>
      <c r="AO34" s="257">
        <v>60</v>
      </c>
      <c r="AP34" s="258">
        <v>2.5</v>
      </c>
      <c r="AQ34" s="265">
        <v>60</v>
      </c>
      <c r="AR34" s="258">
        <v>1</v>
      </c>
      <c r="AS34" s="257">
        <v>60</v>
      </c>
      <c r="AT34" s="258">
        <v>4.0999999999999996</v>
      </c>
      <c r="AU34" s="265">
        <v>60</v>
      </c>
      <c r="AV34" s="258">
        <v>23.4</v>
      </c>
      <c r="AW34" s="265">
        <v>60</v>
      </c>
      <c r="AX34" s="91">
        <v>26</v>
      </c>
      <c r="AY34" s="92">
        <f t="shared" si="0"/>
        <v>58.5</v>
      </c>
      <c r="AZ34" s="93">
        <f t="shared" si="0"/>
        <v>850</v>
      </c>
      <c r="BA34" s="94">
        <f t="shared" si="1"/>
        <v>23.4</v>
      </c>
      <c r="BB34" s="95">
        <f t="shared" si="2"/>
        <v>20</v>
      </c>
      <c r="BC34" s="214"/>
      <c r="BD34" s="197">
        <f t="shared" si="3"/>
        <v>1</v>
      </c>
      <c r="BE34" s="98">
        <f t="shared" si="4"/>
        <v>71.5</v>
      </c>
      <c r="BF34" s="99"/>
      <c r="BG34" s="86">
        <f>dezembro!$BE35</f>
        <v>53.599999999999994</v>
      </c>
      <c r="BH34" s="97"/>
      <c r="BI34" s="197">
        <f t="shared" si="5"/>
        <v>0</v>
      </c>
    </row>
    <row r="35" spans="1:61" ht="21" customHeight="1">
      <c r="A35" s="71">
        <v>27</v>
      </c>
      <c r="B35" s="258">
        <v>4.9000000000000004</v>
      </c>
      <c r="C35" s="257">
        <v>60</v>
      </c>
      <c r="D35" s="258">
        <v>0.7</v>
      </c>
      <c r="E35" s="257">
        <v>40</v>
      </c>
      <c r="F35" s="258">
        <v>1.3</v>
      </c>
      <c r="G35" s="257">
        <v>50</v>
      </c>
      <c r="H35" s="258">
        <v>0.1</v>
      </c>
      <c r="I35" s="257">
        <v>60</v>
      </c>
      <c r="J35" s="258"/>
      <c r="K35" s="257"/>
      <c r="L35" s="258"/>
      <c r="M35" s="257"/>
      <c r="N35" s="258"/>
      <c r="O35" s="257"/>
      <c r="P35" s="258"/>
      <c r="Q35" s="257"/>
      <c r="R35" s="258"/>
      <c r="S35" s="257"/>
      <c r="T35" s="258"/>
      <c r="U35" s="257"/>
      <c r="V35" s="258"/>
      <c r="W35" s="257"/>
      <c r="X35" s="258"/>
      <c r="Y35" s="257"/>
      <c r="Z35" s="258"/>
      <c r="AA35" s="257"/>
      <c r="AB35" s="258"/>
      <c r="AC35" s="257"/>
      <c r="AD35" s="258"/>
      <c r="AE35" s="257"/>
      <c r="AF35" s="258"/>
      <c r="AG35" s="257"/>
      <c r="AH35" s="258"/>
      <c r="AI35" s="257"/>
      <c r="AJ35" s="258"/>
      <c r="AK35" s="265"/>
      <c r="AL35" s="258"/>
      <c r="AM35" s="257"/>
      <c r="AN35" s="258"/>
      <c r="AO35" s="257"/>
      <c r="AP35" s="258"/>
      <c r="AQ35" s="265"/>
      <c r="AR35" s="258"/>
      <c r="AS35" s="257"/>
      <c r="AT35" s="258"/>
      <c r="AU35" s="265"/>
      <c r="AV35" s="258"/>
      <c r="AW35" s="265"/>
      <c r="AX35" s="91">
        <v>27</v>
      </c>
      <c r="AY35" s="92">
        <f t="shared" si="0"/>
        <v>7</v>
      </c>
      <c r="AZ35" s="93">
        <f t="shared" si="0"/>
        <v>210</v>
      </c>
      <c r="BA35" s="94">
        <f t="shared" si="1"/>
        <v>4.9000000000000004</v>
      </c>
      <c r="BB35" s="95">
        <f t="shared" si="2"/>
        <v>4</v>
      </c>
      <c r="BC35" s="214"/>
      <c r="BD35" s="197">
        <f t="shared" si="3"/>
        <v>1</v>
      </c>
      <c r="BE35" s="98">
        <f t="shared" si="4"/>
        <v>53.599999999999994</v>
      </c>
      <c r="BF35" s="99"/>
      <c r="BG35" s="86">
        <f>dezembro!$BE36</f>
        <v>0</v>
      </c>
      <c r="BH35" s="97"/>
      <c r="BI35" s="197">
        <f t="shared" si="5"/>
        <v>0</v>
      </c>
    </row>
    <row r="36" spans="1:61" ht="21" customHeight="1">
      <c r="A36" s="71">
        <v>28</v>
      </c>
      <c r="B36" s="258"/>
      <c r="C36" s="257"/>
      <c r="D36" s="258"/>
      <c r="E36" s="257"/>
      <c r="F36" s="258"/>
      <c r="G36" s="257"/>
      <c r="H36" s="258"/>
      <c r="I36" s="257"/>
      <c r="J36" s="258"/>
      <c r="K36" s="257"/>
      <c r="L36" s="258"/>
      <c r="M36" s="257"/>
      <c r="N36" s="258"/>
      <c r="O36" s="257"/>
      <c r="P36" s="258"/>
      <c r="Q36" s="257"/>
      <c r="R36" s="258"/>
      <c r="S36" s="257"/>
      <c r="T36" s="258"/>
      <c r="U36" s="257"/>
      <c r="V36" s="258"/>
      <c r="W36" s="257"/>
      <c r="X36" s="258"/>
      <c r="Y36" s="257"/>
      <c r="Z36" s="258"/>
      <c r="AA36" s="257"/>
      <c r="AB36" s="258"/>
      <c r="AC36" s="257"/>
      <c r="AD36" s="258">
        <v>18.7</v>
      </c>
      <c r="AE36" s="257">
        <v>20</v>
      </c>
      <c r="AF36" s="258"/>
      <c r="AG36" s="257"/>
      <c r="AH36" s="258"/>
      <c r="AI36" s="257"/>
      <c r="AJ36" s="258"/>
      <c r="AK36" s="265"/>
      <c r="AL36" s="258"/>
      <c r="AM36" s="257"/>
      <c r="AN36" s="258"/>
      <c r="AO36" s="257"/>
      <c r="AP36" s="258"/>
      <c r="AQ36" s="265"/>
      <c r="AR36" s="258"/>
      <c r="AS36" s="257"/>
      <c r="AT36" s="258"/>
      <c r="AU36" s="265"/>
      <c r="AV36" s="258"/>
      <c r="AW36" s="265"/>
      <c r="AX36" s="91">
        <v>28</v>
      </c>
      <c r="AY36" s="92">
        <f t="shared" si="0"/>
        <v>18.7</v>
      </c>
      <c r="AZ36" s="93">
        <f t="shared" si="0"/>
        <v>20</v>
      </c>
      <c r="BA36" s="94">
        <f t="shared" si="1"/>
        <v>18.7</v>
      </c>
      <c r="BB36" s="95">
        <f t="shared" si="2"/>
        <v>1</v>
      </c>
      <c r="BC36" s="214"/>
      <c r="BD36" s="197">
        <f t="shared" si="3"/>
        <v>1</v>
      </c>
      <c r="BE36" s="98">
        <f t="shared" si="4"/>
        <v>0</v>
      </c>
      <c r="BF36" s="99"/>
      <c r="BG36" s="86">
        <f>dezembro!$BE37</f>
        <v>18.7</v>
      </c>
      <c r="BH36" s="97"/>
      <c r="BI36" s="197">
        <f t="shared" si="5"/>
        <v>0</v>
      </c>
    </row>
    <row r="37" spans="1:61" ht="21" customHeight="1">
      <c r="A37" s="71">
        <v>29</v>
      </c>
      <c r="B37" s="258"/>
      <c r="C37" s="257"/>
      <c r="D37" s="258"/>
      <c r="E37" s="257"/>
      <c r="F37" s="258"/>
      <c r="G37" s="257"/>
      <c r="H37" s="258"/>
      <c r="I37" s="257"/>
      <c r="J37" s="258"/>
      <c r="K37" s="257"/>
      <c r="L37" s="258"/>
      <c r="M37" s="257"/>
      <c r="N37" s="258"/>
      <c r="O37" s="257"/>
      <c r="P37" s="258"/>
      <c r="Q37" s="257"/>
      <c r="R37" s="258"/>
      <c r="S37" s="257"/>
      <c r="T37" s="258"/>
      <c r="U37" s="257"/>
      <c r="V37" s="258"/>
      <c r="W37" s="257"/>
      <c r="X37" s="258"/>
      <c r="Y37" s="257"/>
      <c r="Z37" s="258"/>
      <c r="AA37" s="257"/>
      <c r="AB37" s="258"/>
      <c r="AC37" s="257"/>
      <c r="AD37" s="258"/>
      <c r="AE37" s="257"/>
      <c r="AF37" s="258"/>
      <c r="AG37" s="257"/>
      <c r="AH37" s="258"/>
      <c r="AI37" s="257"/>
      <c r="AJ37" s="258"/>
      <c r="AK37" s="265"/>
      <c r="AL37" s="258"/>
      <c r="AM37" s="257"/>
      <c r="AN37" s="258"/>
      <c r="AO37" s="257"/>
      <c r="AP37" s="258"/>
      <c r="AQ37" s="265"/>
      <c r="AR37" s="271"/>
      <c r="AS37" s="272"/>
      <c r="AT37" s="258"/>
      <c r="AU37" s="265"/>
      <c r="AV37" s="258"/>
      <c r="AW37" s="265"/>
      <c r="AX37" s="111">
        <v>29</v>
      </c>
      <c r="AY37" s="92">
        <f t="shared" si="0"/>
        <v>0</v>
      </c>
      <c r="AZ37" s="93">
        <f t="shared" si="0"/>
        <v>0</v>
      </c>
      <c r="BA37" s="94">
        <f t="shared" si="1"/>
        <v>0</v>
      </c>
      <c r="BB37" s="95">
        <f t="shared" si="2"/>
        <v>0</v>
      </c>
      <c r="BC37" s="214"/>
      <c r="BD37" s="197">
        <f t="shared" si="3"/>
        <v>0</v>
      </c>
      <c r="BE37" s="98">
        <f t="shared" si="4"/>
        <v>18.7</v>
      </c>
      <c r="BF37" s="99"/>
      <c r="BG37" s="86">
        <f>dezembro!$BE38</f>
        <v>0</v>
      </c>
      <c r="BH37" s="97"/>
      <c r="BI37" s="197">
        <f t="shared" si="5"/>
        <v>0</v>
      </c>
    </row>
    <row r="38" spans="1:61" ht="21" customHeight="1" thickBot="1">
      <c r="A38" s="71">
        <v>30</v>
      </c>
      <c r="B38" s="269"/>
      <c r="C38" s="257"/>
      <c r="D38" s="258"/>
      <c r="E38" s="257"/>
      <c r="F38" s="258"/>
      <c r="G38" s="257"/>
      <c r="H38" s="258"/>
      <c r="I38" s="257"/>
      <c r="J38" s="258"/>
      <c r="K38" s="257"/>
      <c r="L38" s="258"/>
      <c r="M38" s="257"/>
      <c r="N38" s="258"/>
      <c r="O38" s="257"/>
      <c r="P38" s="258"/>
      <c r="Q38" s="257"/>
      <c r="R38" s="258"/>
      <c r="S38" s="257"/>
      <c r="T38" s="258"/>
      <c r="U38" s="257"/>
      <c r="V38" s="258"/>
      <c r="W38" s="257"/>
      <c r="X38" s="258"/>
      <c r="Y38" s="257"/>
      <c r="Z38" s="276"/>
      <c r="AA38" s="128"/>
      <c r="AB38" s="276"/>
      <c r="AC38" s="128"/>
      <c r="AD38" s="276"/>
      <c r="AE38" s="128"/>
      <c r="AF38" s="276"/>
      <c r="AG38" s="128"/>
      <c r="AH38" s="276"/>
      <c r="AI38" s="128"/>
      <c r="AJ38" s="276"/>
      <c r="AK38" s="346"/>
      <c r="AL38" s="283"/>
      <c r="AM38" s="128"/>
      <c r="AN38" s="276"/>
      <c r="AO38" s="128"/>
      <c r="AP38" s="276"/>
      <c r="AQ38" s="347"/>
      <c r="AR38" s="276"/>
      <c r="AS38" s="128"/>
      <c r="AT38" s="276"/>
      <c r="AU38" s="347"/>
      <c r="AV38" s="258"/>
      <c r="AW38" s="265"/>
      <c r="AX38" s="111">
        <v>30</v>
      </c>
      <c r="AY38" s="92">
        <f t="shared" si="0"/>
        <v>0</v>
      </c>
      <c r="AZ38" s="93">
        <f t="shared" si="0"/>
        <v>0</v>
      </c>
      <c r="BA38" s="94">
        <f t="shared" si="1"/>
        <v>0</v>
      </c>
      <c r="BB38" s="95">
        <f t="shared" si="2"/>
        <v>0</v>
      </c>
      <c r="BC38" s="214"/>
      <c r="BD38" s="197">
        <f t="shared" si="3"/>
        <v>0</v>
      </c>
      <c r="BE38" s="98">
        <f t="shared" si="4"/>
        <v>0</v>
      </c>
      <c r="BF38" s="99"/>
      <c r="BG38" s="86">
        <f>dezembro!$BE39</f>
        <v>0</v>
      </c>
      <c r="BH38" s="97"/>
      <c r="BI38" s="197">
        <f t="shared" si="5"/>
        <v>0</v>
      </c>
    </row>
    <row r="39" spans="1:61" ht="21" customHeight="1" thickBot="1">
      <c r="A39" s="114">
        <v>31</v>
      </c>
      <c r="B39" s="273"/>
      <c r="C39" s="274"/>
      <c r="D39" s="275"/>
      <c r="E39" s="274"/>
      <c r="F39" s="275"/>
      <c r="G39" s="274"/>
      <c r="H39" s="275"/>
      <c r="I39" s="274"/>
      <c r="J39" s="275"/>
      <c r="K39" s="274"/>
      <c r="L39" s="275"/>
      <c r="M39" s="274"/>
      <c r="N39" s="275"/>
      <c r="O39" s="274"/>
      <c r="P39" s="275"/>
      <c r="Q39" s="274"/>
      <c r="R39" s="275"/>
      <c r="S39" s="274"/>
      <c r="T39" s="275"/>
      <c r="U39" s="274"/>
      <c r="V39" s="275"/>
      <c r="W39" s="274"/>
      <c r="X39" s="275"/>
      <c r="Y39" s="274"/>
      <c r="Z39" s="275"/>
      <c r="AA39" s="274"/>
      <c r="AB39" s="275">
        <v>6.4</v>
      </c>
      <c r="AC39" s="274">
        <v>20</v>
      </c>
      <c r="AD39" s="275">
        <v>3.5</v>
      </c>
      <c r="AE39" s="274">
        <v>35</v>
      </c>
      <c r="AF39" s="275"/>
      <c r="AG39" s="274"/>
      <c r="AH39" s="275"/>
      <c r="AI39" s="274"/>
      <c r="AJ39" s="275"/>
      <c r="AK39" s="277"/>
      <c r="AL39" s="278"/>
      <c r="AM39" s="274"/>
      <c r="AN39" s="275"/>
      <c r="AO39" s="274"/>
      <c r="AP39" s="275"/>
      <c r="AQ39" s="279"/>
      <c r="AR39" s="275"/>
      <c r="AS39" s="274"/>
      <c r="AT39" s="275"/>
      <c r="AU39" s="279"/>
      <c r="AV39" s="280"/>
      <c r="AW39" s="279"/>
      <c r="AX39" s="123">
        <v>31</v>
      </c>
      <c r="AY39" s="92">
        <f t="shared" si="0"/>
        <v>9.9</v>
      </c>
      <c r="AZ39" s="93">
        <f t="shared" si="0"/>
        <v>55</v>
      </c>
      <c r="BA39" s="94">
        <f t="shared" si="1"/>
        <v>6.4</v>
      </c>
      <c r="BB39" s="95">
        <f t="shared" si="2"/>
        <v>2</v>
      </c>
      <c r="BC39" s="214"/>
      <c r="BD39" s="197">
        <f t="shared" si="3"/>
        <v>1</v>
      </c>
      <c r="BE39" s="98">
        <f t="shared" si="4"/>
        <v>0</v>
      </c>
      <c r="BF39" s="99"/>
      <c r="BG39" s="228">
        <f>dezembro!$BH40</f>
        <v>9.9</v>
      </c>
      <c r="BH39" s="125"/>
      <c r="BI39" s="197">
        <f t="shared" si="5"/>
        <v>0</v>
      </c>
    </row>
    <row r="40" spans="1:61" ht="21" customHeight="1" thickBot="1">
      <c r="A40" s="348">
        <v>1</v>
      </c>
      <c r="B40" s="349"/>
      <c r="C40" s="350"/>
      <c r="D40" s="349"/>
      <c r="E40" s="350"/>
      <c r="F40" s="349"/>
      <c r="G40" s="350"/>
      <c r="H40" s="349"/>
      <c r="I40" s="350"/>
      <c r="J40" s="349"/>
      <c r="K40" s="350"/>
      <c r="L40" s="349"/>
      <c r="M40" s="350"/>
      <c r="N40" s="349"/>
      <c r="O40" s="350"/>
      <c r="P40" s="31"/>
      <c r="Q40" s="32"/>
      <c r="R40" s="31"/>
      <c r="S40" s="32"/>
      <c r="T40" s="31"/>
      <c r="U40" s="32"/>
      <c r="V40" s="31"/>
      <c r="W40" s="32"/>
      <c r="X40" s="31"/>
      <c r="Y40" s="32"/>
      <c r="Z40" s="31"/>
      <c r="AA40" s="32"/>
      <c r="AB40" s="31"/>
      <c r="AC40" s="32"/>
      <c r="AD40" s="31"/>
      <c r="AE40" s="32"/>
      <c r="AF40" s="31"/>
      <c r="AG40" s="32"/>
      <c r="AH40" s="31"/>
      <c r="AI40" s="32"/>
      <c r="AJ40" s="31"/>
      <c r="AK40" s="32"/>
      <c r="AL40" s="31"/>
      <c r="AM40" s="32"/>
      <c r="AN40" s="31"/>
      <c r="AO40" s="32"/>
      <c r="AP40" s="31"/>
      <c r="AQ40" s="32"/>
      <c r="AR40" s="31"/>
      <c r="AS40" s="32"/>
      <c r="AT40" s="31"/>
      <c r="AU40" s="32"/>
      <c r="AV40" s="31"/>
      <c r="AW40" s="32"/>
      <c r="AX40" s="132"/>
      <c r="AY40" s="231" t="s">
        <v>53</v>
      </c>
      <c r="AZ40" s="232"/>
      <c r="BA40" s="233"/>
      <c r="BB40" s="136"/>
      <c r="BC40" s="214"/>
      <c r="BD40" s="137" t="s">
        <v>54</v>
      </c>
      <c r="BE40" s="138">
        <f>SUM(BE9:BE39)</f>
        <v>233.49999999999997</v>
      </c>
      <c r="BF40" s="232"/>
      <c r="BG40" s="139"/>
      <c r="BH40" s="140">
        <f>P39+R39+T39+V39+X39+Z39+AB39+AD39+AF39+AH39+AJ39+AL39+AN39+AP39+AR39+AT39+AV39+B40+D40+F40+H40+J40+L40+N40</f>
        <v>9.9</v>
      </c>
      <c r="BI40" s="214"/>
    </row>
    <row r="41" spans="1:61" ht="21" customHeight="1" thickBot="1">
      <c r="A41" s="142"/>
      <c r="B41" s="37" t="s">
        <v>19</v>
      </c>
      <c r="C41" s="37"/>
      <c r="D41" s="38" t="s">
        <v>20</v>
      </c>
      <c r="E41" s="38"/>
      <c r="F41" s="37" t="s">
        <v>21</v>
      </c>
      <c r="G41" s="37"/>
      <c r="H41" s="37" t="s">
        <v>22</v>
      </c>
      <c r="I41" s="37"/>
      <c r="J41" s="39" t="s">
        <v>23</v>
      </c>
      <c r="K41" s="39"/>
      <c r="L41" s="37" t="s">
        <v>24</v>
      </c>
      <c r="M41" s="37"/>
      <c r="N41" s="37" t="s">
        <v>25</v>
      </c>
      <c r="O41" s="37"/>
      <c r="P41" s="37" t="s">
        <v>26</v>
      </c>
      <c r="Q41" s="37"/>
      <c r="R41" s="37" t="s">
        <v>27</v>
      </c>
      <c r="S41" s="37"/>
      <c r="T41" s="37" t="s">
        <v>28</v>
      </c>
      <c r="U41" s="37"/>
      <c r="V41" s="37" t="s">
        <v>29</v>
      </c>
      <c r="W41" s="37"/>
      <c r="X41" s="37" t="s">
        <v>30</v>
      </c>
      <c r="Y41" s="37"/>
      <c r="Z41" s="40" t="s">
        <v>31</v>
      </c>
      <c r="AA41" s="40"/>
      <c r="AB41" s="37" t="s">
        <v>32</v>
      </c>
      <c r="AC41" s="37"/>
      <c r="AD41" s="37" t="s">
        <v>33</v>
      </c>
      <c r="AE41" s="37"/>
      <c r="AF41" s="37" t="s">
        <v>34</v>
      </c>
      <c r="AG41" s="37"/>
      <c r="AH41" s="37" t="s">
        <v>35</v>
      </c>
      <c r="AI41" s="37"/>
      <c r="AJ41" s="37" t="s">
        <v>36</v>
      </c>
      <c r="AK41" s="37"/>
      <c r="AL41" s="37" t="s">
        <v>37</v>
      </c>
      <c r="AM41" s="37"/>
      <c r="AN41" s="37" t="s">
        <v>38</v>
      </c>
      <c r="AO41" s="37"/>
      <c r="AP41" s="37" t="s">
        <v>39</v>
      </c>
      <c r="AQ41" s="37"/>
      <c r="AR41" s="37" t="s">
        <v>40</v>
      </c>
      <c r="AS41" s="37"/>
      <c r="AT41" s="37" t="s">
        <v>41</v>
      </c>
      <c r="AU41" s="37"/>
      <c r="AV41" s="37" t="s">
        <v>42</v>
      </c>
      <c r="AW41" s="37"/>
      <c r="AX41" s="146"/>
      <c r="AY41" s="33" t="s">
        <v>15</v>
      </c>
      <c r="AZ41" s="33" t="s">
        <v>16</v>
      </c>
      <c r="BA41" s="34" t="s">
        <v>17</v>
      </c>
      <c r="BB41" s="34" t="s">
        <v>55</v>
      </c>
      <c r="BC41" s="214"/>
      <c r="BD41" s="137" t="s">
        <v>56</v>
      </c>
      <c r="BE41" s="147">
        <f>MAX(BE9:BE39)</f>
        <v>71.5</v>
      </c>
      <c r="BF41" s="148"/>
      <c r="BG41" s="148"/>
      <c r="BH41" s="148"/>
      <c r="BI41" s="1"/>
    </row>
    <row r="42" spans="1:61" ht="21" customHeight="1" thickBot="1">
      <c r="A42" s="142"/>
      <c r="B42" s="234" t="s">
        <v>47</v>
      </c>
      <c r="C42" s="235" t="s">
        <v>48</v>
      </c>
      <c r="D42" s="204" t="s">
        <v>47</v>
      </c>
      <c r="E42" s="236" t="s">
        <v>48</v>
      </c>
      <c r="F42" s="204" t="s">
        <v>47</v>
      </c>
      <c r="G42" s="237" t="s">
        <v>48</v>
      </c>
      <c r="H42" s="204" t="s">
        <v>47</v>
      </c>
      <c r="I42" s="237" t="s">
        <v>48</v>
      </c>
      <c r="J42" s="204" t="s">
        <v>47</v>
      </c>
      <c r="K42" s="237" t="s">
        <v>48</v>
      </c>
      <c r="L42" s="204" t="s">
        <v>47</v>
      </c>
      <c r="M42" s="237" t="s">
        <v>48</v>
      </c>
      <c r="N42" s="204" t="s">
        <v>47</v>
      </c>
      <c r="O42" s="237" t="s">
        <v>48</v>
      </c>
      <c r="P42" s="204" t="s">
        <v>47</v>
      </c>
      <c r="Q42" s="237" t="s">
        <v>48</v>
      </c>
      <c r="R42" s="204" t="s">
        <v>47</v>
      </c>
      <c r="S42" s="237" t="s">
        <v>48</v>
      </c>
      <c r="T42" s="204" t="s">
        <v>47</v>
      </c>
      <c r="U42" s="237" t="s">
        <v>48</v>
      </c>
      <c r="V42" s="204" t="s">
        <v>47</v>
      </c>
      <c r="W42" s="237" t="s">
        <v>48</v>
      </c>
      <c r="X42" s="204" t="s">
        <v>47</v>
      </c>
      <c r="Y42" s="237" t="s">
        <v>48</v>
      </c>
      <c r="Z42" s="204" t="s">
        <v>47</v>
      </c>
      <c r="AA42" s="237" t="s">
        <v>48</v>
      </c>
      <c r="AB42" s="204" t="s">
        <v>47</v>
      </c>
      <c r="AC42" s="237" t="s">
        <v>48</v>
      </c>
      <c r="AD42" s="204" t="s">
        <v>47</v>
      </c>
      <c r="AE42" s="237" t="s">
        <v>48</v>
      </c>
      <c r="AF42" s="204" t="s">
        <v>47</v>
      </c>
      <c r="AG42" s="237" t="s">
        <v>48</v>
      </c>
      <c r="AH42" s="204" t="s">
        <v>47</v>
      </c>
      <c r="AI42" s="237" t="s">
        <v>48</v>
      </c>
      <c r="AJ42" s="204" t="s">
        <v>47</v>
      </c>
      <c r="AK42" s="205" t="s">
        <v>48</v>
      </c>
      <c r="AL42" s="204" t="s">
        <v>47</v>
      </c>
      <c r="AM42" s="237" t="s">
        <v>48</v>
      </c>
      <c r="AN42" s="204" t="s">
        <v>47</v>
      </c>
      <c r="AO42" s="237" t="s">
        <v>48</v>
      </c>
      <c r="AP42" s="204" t="s">
        <v>47</v>
      </c>
      <c r="AQ42" s="205" t="s">
        <v>48</v>
      </c>
      <c r="AR42" s="204" t="s">
        <v>47</v>
      </c>
      <c r="AS42" s="237" t="s">
        <v>48</v>
      </c>
      <c r="AT42" s="204" t="s">
        <v>47</v>
      </c>
      <c r="AU42" s="205" t="s">
        <v>48</v>
      </c>
      <c r="AV42" s="204" t="s">
        <v>47</v>
      </c>
      <c r="AW42" s="205" t="s">
        <v>48</v>
      </c>
      <c r="AX42" s="146"/>
      <c r="AY42" s="35" t="s">
        <v>57</v>
      </c>
      <c r="AZ42" s="35" t="s">
        <v>43</v>
      </c>
      <c r="BA42" s="35" t="s">
        <v>44</v>
      </c>
      <c r="BB42" s="35" t="s">
        <v>58</v>
      </c>
      <c r="BC42" s="214"/>
      <c r="BD42" s="137" t="s">
        <v>59</v>
      </c>
      <c r="BE42" s="70">
        <f>COUNTIF(BE9:BE39,"&gt;=1")</f>
        <v>14</v>
      </c>
      <c r="BF42" s="238"/>
      <c r="BG42" s="238"/>
      <c r="BH42" s="238"/>
      <c r="BI42" s="1"/>
    </row>
    <row r="43" spans="1:61" ht="21" customHeight="1" thickBot="1">
      <c r="A43" s="238" t="s">
        <v>60</v>
      </c>
      <c r="B43" s="154">
        <f>SUM(B9:B39)</f>
        <v>10.5</v>
      </c>
      <c r="C43" s="154"/>
      <c r="D43" s="154">
        <f t="shared" ref="D43:AV43" si="6">SUM(D9:D39)</f>
        <v>3.5</v>
      </c>
      <c r="E43" s="154"/>
      <c r="F43" s="154">
        <f t="shared" si="6"/>
        <v>2.8</v>
      </c>
      <c r="G43" s="154"/>
      <c r="H43" s="154">
        <f t="shared" si="6"/>
        <v>3.0000000000000004</v>
      </c>
      <c r="I43" s="154"/>
      <c r="J43" s="154">
        <f t="shared" si="6"/>
        <v>2.8000000000000003</v>
      </c>
      <c r="K43" s="154"/>
      <c r="L43" s="154">
        <f t="shared" si="6"/>
        <v>6.8999999999999995</v>
      </c>
      <c r="M43" s="154"/>
      <c r="N43" s="154">
        <f t="shared" si="6"/>
        <v>5</v>
      </c>
      <c r="O43" s="154"/>
      <c r="P43" s="154">
        <f t="shared" si="6"/>
        <v>2.4000000000000004</v>
      </c>
      <c r="Q43" s="154"/>
      <c r="R43" s="154">
        <f t="shared" si="6"/>
        <v>3.2</v>
      </c>
      <c r="S43" s="154"/>
      <c r="T43" s="154">
        <f t="shared" si="6"/>
        <v>7.1</v>
      </c>
      <c r="U43" s="154"/>
      <c r="V43" s="154">
        <f t="shared" si="6"/>
        <v>4.8999999999999995</v>
      </c>
      <c r="W43" s="154"/>
      <c r="X43" s="154">
        <f t="shared" si="6"/>
        <v>0.30000000000000004</v>
      </c>
      <c r="Y43" s="154"/>
      <c r="Z43" s="154">
        <f t="shared" si="6"/>
        <v>4.6999999999999993</v>
      </c>
      <c r="AA43" s="154"/>
      <c r="AB43" s="154">
        <f t="shared" si="6"/>
        <v>6.9</v>
      </c>
      <c r="AC43" s="154"/>
      <c r="AD43" s="154">
        <f t="shared" si="6"/>
        <v>31.299999999999997</v>
      </c>
      <c r="AE43" s="154"/>
      <c r="AF43" s="154">
        <f t="shared" si="6"/>
        <v>11.7</v>
      </c>
      <c r="AG43" s="154"/>
      <c r="AH43" s="154">
        <f t="shared" si="6"/>
        <v>0.3</v>
      </c>
      <c r="AI43" s="154"/>
      <c r="AJ43" s="154">
        <f t="shared" si="6"/>
        <v>47.1</v>
      </c>
      <c r="AK43" s="154"/>
      <c r="AL43" s="154">
        <f t="shared" si="6"/>
        <v>18.8</v>
      </c>
      <c r="AM43" s="154"/>
      <c r="AN43" s="154">
        <f t="shared" si="6"/>
        <v>22.3</v>
      </c>
      <c r="AO43" s="154"/>
      <c r="AP43" s="154">
        <f t="shared" si="6"/>
        <v>8</v>
      </c>
      <c r="AQ43" s="154"/>
      <c r="AR43" s="154">
        <f t="shared" si="6"/>
        <v>8.1999999999999993</v>
      </c>
      <c r="AS43" s="154"/>
      <c r="AT43" s="154">
        <f t="shared" si="6"/>
        <v>4.8</v>
      </c>
      <c r="AU43" s="154"/>
      <c r="AV43" s="154">
        <f t="shared" si="6"/>
        <v>26.9</v>
      </c>
      <c r="AW43" s="154"/>
      <c r="AX43" s="146"/>
      <c r="AY43" s="53" t="s">
        <v>49</v>
      </c>
      <c r="AZ43" s="53" t="s">
        <v>50</v>
      </c>
      <c r="BA43" s="54" t="s">
        <v>51</v>
      </c>
      <c r="BB43" s="54" t="s">
        <v>61</v>
      </c>
      <c r="BC43" s="214"/>
      <c r="BD43" s="137"/>
      <c r="BE43" s="70"/>
      <c r="BF43" s="238"/>
      <c r="BG43" s="238"/>
      <c r="BH43" s="238"/>
      <c r="BI43" s="1"/>
    </row>
    <row r="44" spans="1:61" s="161" customFormat="1" ht="21" customHeight="1" thickBot="1">
      <c r="A44" s="238" t="s">
        <v>62</v>
      </c>
      <c r="B44" s="155"/>
      <c r="C44" s="155">
        <f>SUM(C9:C39)</f>
        <v>210</v>
      </c>
      <c r="D44" s="155"/>
      <c r="E44" s="155">
        <f t="shared" ref="E44:AW44" si="7">SUM(E9:E39)</f>
        <v>355</v>
      </c>
      <c r="F44" s="155"/>
      <c r="G44" s="155">
        <f t="shared" si="7"/>
        <v>240</v>
      </c>
      <c r="H44" s="155"/>
      <c r="I44" s="155">
        <f t="shared" si="7"/>
        <v>270</v>
      </c>
      <c r="J44" s="155"/>
      <c r="K44" s="155">
        <f t="shared" si="7"/>
        <v>185</v>
      </c>
      <c r="L44" s="155"/>
      <c r="M44" s="155">
        <f t="shared" si="7"/>
        <v>285</v>
      </c>
      <c r="N44" s="155"/>
      <c r="O44" s="155">
        <f t="shared" si="7"/>
        <v>240</v>
      </c>
      <c r="P44" s="155"/>
      <c r="Q44" s="155">
        <f t="shared" si="7"/>
        <v>160</v>
      </c>
      <c r="R44" s="155"/>
      <c r="S44" s="155">
        <f t="shared" si="7"/>
        <v>120</v>
      </c>
      <c r="T44" s="155"/>
      <c r="U44" s="155">
        <f t="shared" si="7"/>
        <v>60</v>
      </c>
      <c r="V44" s="155"/>
      <c r="W44" s="155">
        <f t="shared" si="7"/>
        <v>55</v>
      </c>
      <c r="X44" s="155"/>
      <c r="Y44" s="155">
        <f t="shared" si="7"/>
        <v>30</v>
      </c>
      <c r="Z44" s="155"/>
      <c r="AA44" s="155">
        <f t="shared" si="7"/>
        <v>50</v>
      </c>
      <c r="AB44" s="155"/>
      <c r="AC44" s="155">
        <f t="shared" si="7"/>
        <v>50</v>
      </c>
      <c r="AD44" s="155"/>
      <c r="AE44" s="155">
        <f t="shared" si="7"/>
        <v>195</v>
      </c>
      <c r="AF44" s="155"/>
      <c r="AG44" s="155">
        <f t="shared" si="7"/>
        <v>130</v>
      </c>
      <c r="AH44" s="155"/>
      <c r="AI44" s="155">
        <f t="shared" si="7"/>
        <v>30</v>
      </c>
      <c r="AJ44" s="155"/>
      <c r="AK44" s="155">
        <f t="shared" si="7"/>
        <v>140</v>
      </c>
      <c r="AL44" s="155"/>
      <c r="AM44" s="155">
        <f t="shared" si="7"/>
        <v>195</v>
      </c>
      <c r="AN44" s="155"/>
      <c r="AO44" s="155">
        <f t="shared" si="7"/>
        <v>255</v>
      </c>
      <c r="AP44" s="155"/>
      <c r="AQ44" s="155">
        <f t="shared" si="7"/>
        <v>305</v>
      </c>
      <c r="AR44" s="155"/>
      <c r="AS44" s="155">
        <f t="shared" si="7"/>
        <v>300</v>
      </c>
      <c r="AT44" s="155"/>
      <c r="AU44" s="155">
        <f t="shared" si="7"/>
        <v>150</v>
      </c>
      <c r="AV44" s="155"/>
      <c r="AW44" s="155">
        <f t="shared" si="7"/>
        <v>240</v>
      </c>
      <c r="AX44" s="239"/>
      <c r="AY44" s="157">
        <f>AY9+AY10+AY11+AY12+AY13+AY14+AY15+AY16+AY17+AY18+AY19+AY20+AY21+AY22+AY23+AY24+AY25+AY26+AY27+AY28+AY29+AY30+AY31+AY32+AY33+AY34+AY35+AY36+AY37+AY38+AY39</f>
        <v>243.4</v>
      </c>
      <c r="AZ44" s="158">
        <f>AZ9+AZ10+AZ11+AZ12+AZ13+AZ14+AZ15+AZ16+AZ17+AZ18+AZ19+AZ20+AZ21+AZ22+AZ23+AZ24+AZ25+AZ26+AZ27+AZ28+AZ29+AZ30+AZ31+AZ32+AZ33+AZ34+AZ35+AZ36+AZ37+AZ38+AZ39</f>
        <v>4250</v>
      </c>
      <c r="BA44" s="154">
        <f>MAX(BA9:BA39)</f>
        <v>41.1</v>
      </c>
      <c r="BB44" s="155">
        <f>SUM(BB8:BB39)</f>
        <v>112</v>
      </c>
      <c r="BC44" s="42"/>
      <c r="BD44" s="197"/>
      <c r="BE44" s="240"/>
      <c r="BF44" s="241"/>
      <c r="BG44" s="240"/>
      <c r="BH44" s="242"/>
      <c r="BI44" s="1"/>
    </row>
    <row r="45" spans="1:61" s="161" customFormat="1" ht="21" customHeight="1" thickBot="1">
      <c r="A45" s="238" t="s">
        <v>63</v>
      </c>
      <c r="B45" s="155">
        <f>COUNT(B9:B39)</f>
        <v>6</v>
      </c>
      <c r="C45" s="155"/>
      <c r="D45" s="155">
        <f t="shared" ref="D45:AV45" si="8">COUNT(D9:D39)</f>
        <v>7</v>
      </c>
      <c r="E45" s="155"/>
      <c r="F45" s="155">
        <f t="shared" si="8"/>
        <v>5</v>
      </c>
      <c r="G45" s="155"/>
      <c r="H45" s="155">
        <f t="shared" si="8"/>
        <v>6</v>
      </c>
      <c r="I45" s="155"/>
      <c r="J45" s="155">
        <f t="shared" si="8"/>
        <v>4</v>
      </c>
      <c r="K45" s="155"/>
      <c r="L45" s="155">
        <f t="shared" si="8"/>
        <v>6</v>
      </c>
      <c r="M45" s="155"/>
      <c r="N45" s="155">
        <f t="shared" si="8"/>
        <v>5</v>
      </c>
      <c r="O45" s="155"/>
      <c r="P45" s="155">
        <f t="shared" si="8"/>
        <v>3</v>
      </c>
      <c r="Q45" s="155"/>
      <c r="R45" s="155">
        <f t="shared" si="8"/>
        <v>3</v>
      </c>
      <c r="S45" s="155"/>
      <c r="T45" s="155">
        <f t="shared" si="8"/>
        <v>1</v>
      </c>
      <c r="U45" s="155"/>
      <c r="V45" s="155">
        <f t="shared" si="8"/>
        <v>2</v>
      </c>
      <c r="W45" s="155"/>
      <c r="X45" s="155">
        <f t="shared" si="8"/>
        <v>3</v>
      </c>
      <c r="Y45" s="155"/>
      <c r="Z45" s="155">
        <f t="shared" si="8"/>
        <v>2</v>
      </c>
      <c r="AA45" s="155"/>
      <c r="AB45" s="155">
        <f t="shared" si="8"/>
        <v>3</v>
      </c>
      <c r="AC45" s="155"/>
      <c r="AD45" s="155">
        <f t="shared" si="8"/>
        <v>7</v>
      </c>
      <c r="AE45" s="155"/>
      <c r="AF45" s="155">
        <f t="shared" si="8"/>
        <v>6</v>
      </c>
      <c r="AG45" s="155"/>
      <c r="AH45" s="155">
        <f t="shared" si="8"/>
        <v>1</v>
      </c>
      <c r="AI45" s="155"/>
      <c r="AJ45" s="155">
        <f t="shared" si="8"/>
        <v>3</v>
      </c>
      <c r="AK45" s="155"/>
      <c r="AL45" s="155">
        <f t="shared" si="8"/>
        <v>5</v>
      </c>
      <c r="AM45" s="155"/>
      <c r="AN45" s="155">
        <f t="shared" si="8"/>
        <v>7</v>
      </c>
      <c r="AO45" s="155"/>
      <c r="AP45" s="155">
        <f t="shared" si="8"/>
        <v>7</v>
      </c>
      <c r="AQ45" s="155"/>
      <c r="AR45" s="155">
        <f t="shared" si="8"/>
        <v>7</v>
      </c>
      <c r="AS45" s="155"/>
      <c r="AT45" s="155">
        <f t="shared" si="8"/>
        <v>5</v>
      </c>
      <c r="AU45" s="155"/>
      <c r="AV45" s="155">
        <f t="shared" si="8"/>
        <v>8</v>
      </c>
      <c r="AW45" s="155"/>
      <c r="AX45" s="243"/>
      <c r="AY45" s="164" t="s">
        <v>64</v>
      </c>
      <c r="AZ45" s="165" t="s">
        <v>65</v>
      </c>
      <c r="BA45" s="240"/>
      <c r="BB45" s="34" t="s">
        <v>66</v>
      </c>
      <c r="BC45" s="214"/>
      <c r="BD45" s="197"/>
      <c r="BE45" s="238"/>
      <c r="BF45" s="241"/>
      <c r="BG45" s="240"/>
      <c r="BH45" s="238"/>
      <c r="BI45" s="1"/>
    </row>
    <row r="46" spans="1:61" s="161" customFormat="1" ht="21" customHeight="1" thickBot="1">
      <c r="A46" s="196"/>
      <c r="B46" s="196"/>
      <c r="C46" s="196"/>
      <c r="D46" s="196"/>
      <c r="E46" s="196"/>
      <c r="F46" s="196"/>
      <c r="G46" s="196"/>
      <c r="H46" s="196"/>
      <c r="I46" s="196"/>
      <c r="J46" s="196"/>
      <c r="K46" s="196"/>
      <c r="L46" s="196"/>
      <c r="M46" s="196"/>
      <c r="N46" s="196"/>
      <c r="O46" s="196"/>
      <c r="P46" s="196"/>
      <c r="Q46" s="196"/>
      <c r="R46" s="196"/>
      <c r="S46" s="196"/>
      <c r="T46" s="196"/>
      <c r="U46" s="196"/>
      <c r="V46" s="196"/>
      <c r="W46" s="196"/>
      <c r="X46" s="196"/>
      <c r="Y46" s="196"/>
      <c r="Z46" s="196"/>
      <c r="AA46" s="196"/>
      <c r="AB46" s="196"/>
      <c r="AC46" s="196"/>
      <c r="AD46" s="196"/>
      <c r="AE46" s="196"/>
      <c r="AF46" s="196"/>
      <c r="AG46" s="196"/>
      <c r="AH46" s="196"/>
      <c r="AI46" s="196"/>
      <c r="AJ46" s="196"/>
      <c r="AK46" s="196"/>
      <c r="AL46" s="196"/>
      <c r="AM46" s="196"/>
      <c r="AN46" s="196"/>
      <c r="AO46" s="196"/>
      <c r="AP46" s="196"/>
      <c r="AQ46" s="196"/>
      <c r="AR46" s="196"/>
      <c r="AS46" s="196"/>
      <c r="AT46" s="196"/>
      <c r="AU46" s="196"/>
      <c r="AV46" s="196"/>
      <c r="AW46" s="31"/>
      <c r="AX46" s="244"/>
      <c r="AY46" s="157">
        <f>[1]ano!N44</f>
        <v>181.2631428571429</v>
      </c>
      <c r="AZ46" s="167"/>
      <c r="BA46" s="245"/>
      <c r="BB46" s="35" t="s">
        <v>58</v>
      </c>
      <c r="BC46" s="214"/>
      <c r="BD46" s="197"/>
      <c r="BE46" s="240"/>
      <c r="BF46" s="238"/>
      <c r="BG46" s="245"/>
      <c r="BH46" s="238"/>
      <c r="BI46" s="1"/>
    </row>
    <row r="47" spans="1:61" s="161" customFormat="1" ht="21" customHeight="1" thickBot="1">
      <c r="A47" s="246"/>
      <c r="B47" s="247" t="s">
        <v>67</v>
      </c>
      <c r="C47" s="248"/>
      <c r="D47" s="248"/>
      <c r="E47" s="248"/>
      <c r="F47" s="248"/>
      <c r="G47" s="248"/>
      <c r="H47" s="248"/>
      <c r="I47" s="248"/>
      <c r="J47" s="248"/>
      <c r="K47" s="248"/>
      <c r="L47" s="248"/>
      <c r="M47" s="248"/>
      <c r="N47" s="242"/>
      <c r="O47" s="242"/>
      <c r="P47" s="242"/>
      <c r="Q47" s="242"/>
      <c r="R47" s="242"/>
      <c r="S47" s="242"/>
      <c r="T47" s="242"/>
      <c r="U47" s="242"/>
      <c r="V47" s="242"/>
      <c r="W47" s="242"/>
      <c r="X47" s="242"/>
      <c r="Y47" s="242"/>
      <c r="Z47" s="242"/>
      <c r="AA47" s="242"/>
      <c r="AB47" s="242"/>
      <c r="AC47" s="242"/>
      <c r="AD47" s="242"/>
      <c r="AE47" s="242"/>
      <c r="AF47" s="242"/>
      <c r="AG47" s="242"/>
      <c r="AH47" s="242"/>
      <c r="AI47" s="242"/>
      <c r="AJ47" s="242"/>
      <c r="AK47" s="242"/>
      <c r="AL47" s="242"/>
      <c r="AM47" s="242"/>
      <c r="AN47" s="242"/>
      <c r="AO47" s="242"/>
      <c r="AP47" s="242"/>
      <c r="AQ47" s="242"/>
      <c r="AR47" s="242"/>
      <c r="AS47" s="242"/>
      <c r="AT47" s="242"/>
      <c r="AU47" s="242"/>
      <c r="AV47" s="242"/>
      <c r="AW47" s="242"/>
      <c r="AX47" s="249"/>
      <c r="AY47" s="26" t="s">
        <v>68</v>
      </c>
      <c r="AZ47" s="167"/>
      <c r="BA47" s="245"/>
      <c r="BB47" s="54" t="s">
        <v>61</v>
      </c>
      <c r="BC47" s="214"/>
      <c r="BD47" s="197"/>
      <c r="BE47" s="238"/>
      <c r="BF47" s="238"/>
      <c r="BG47" s="245"/>
      <c r="BH47" s="238"/>
      <c r="BI47" s="1"/>
    </row>
    <row r="48" spans="1:61" s="161" customFormat="1" ht="21" customHeight="1" thickBot="1">
      <c r="A48" s="245"/>
      <c r="B48" s="250" t="s">
        <v>69</v>
      </c>
      <c r="C48" s="245"/>
      <c r="D48" s="245"/>
      <c r="E48" s="245"/>
      <c r="F48" s="245"/>
      <c r="G48" s="245"/>
      <c r="H48" s="245"/>
      <c r="I48" s="245"/>
      <c r="J48" s="245"/>
      <c r="K48" s="245"/>
      <c r="L48" s="245"/>
      <c r="M48" s="245"/>
      <c r="N48" s="196"/>
      <c r="O48" s="196"/>
      <c r="P48" s="196"/>
      <c r="Q48" s="196"/>
      <c r="R48" s="196"/>
      <c r="S48" s="196"/>
      <c r="T48" s="196"/>
      <c r="U48" s="196"/>
      <c r="V48" s="196"/>
      <c r="W48" s="196"/>
      <c r="X48" s="196"/>
      <c r="Y48" s="196"/>
      <c r="Z48" s="196"/>
      <c r="AA48" s="196"/>
      <c r="AB48" s="196"/>
      <c r="AC48" s="196"/>
      <c r="AD48" s="196"/>
      <c r="AE48" s="196"/>
      <c r="AF48" s="196"/>
      <c r="AG48" s="196"/>
      <c r="AH48" s="196"/>
      <c r="AI48" s="196"/>
      <c r="AJ48" s="196"/>
      <c r="AK48" s="196"/>
      <c r="AL48" s="196"/>
      <c r="AM48" s="196"/>
      <c r="AN48" s="196"/>
      <c r="AO48" s="196"/>
      <c r="AP48" s="196"/>
      <c r="AQ48" s="196"/>
      <c r="AR48" s="196"/>
      <c r="AS48" s="196"/>
      <c r="AT48" s="196"/>
      <c r="AU48" s="196"/>
      <c r="AV48" s="196"/>
      <c r="AW48" s="196"/>
      <c r="AX48" s="178"/>
      <c r="AY48" s="157">
        <f>AY44-AY46</f>
        <v>62.13685714285711</v>
      </c>
      <c r="AZ48" s="179"/>
      <c r="BA48" s="245"/>
      <c r="BB48" s="155">
        <f>SUM(BD9:BD39)</f>
        <v>21</v>
      </c>
      <c r="BC48" s="180"/>
      <c r="BD48" s="197"/>
      <c r="BE48" s="240"/>
      <c r="BF48" s="240"/>
      <c r="BG48" s="245"/>
      <c r="BH48" s="242"/>
      <c r="BI48" s="1"/>
    </row>
    <row r="49" spans="1:61" ht="24" customHeight="1">
      <c r="A49" s="1"/>
      <c r="B49" s="251" t="s">
        <v>71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7"/>
      <c r="BD49" s="197"/>
      <c r="BE49" s="1"/>
      <c r="BF49" s="1"/>
      <c r="BG49" s="1"/>
      <c r="BH49" s="1"/>
      <c r="BI49" s="1"/>
    </row>
    <row r="50" spans="1:61" ht="23.25">
      <c r="A50" s="294"/>
      <c r="B50" s="252"/>
      <c r="C50" s="252"/>
      <c r="D50" s="252"/>
      <c r="E50" s="252"/>
      <c r="F50" s="252"/>
      <c r="G50" s="252"/>
      <c r="H50" s="252"/>
      <c r="I50" s="252"/>
      <c r="J50" s="252"/>
      <c r="K50" s="252"/>
      <c r="L50" s="252"/>
      <c r="M50" s="252"/>
      <c r="N50" s="252"/>
      <c r="O50" s="252"/>
      <c r="P50" s="252"/>
      <c r="Q50" s="252"/>
      <c r="R50" s="252"/>
      <c r="S50" s="252"/>
      <c r="T50" s="252"/>
      <c r="U50" s="252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61" s="189" customFormat="1" ht="18">
      <c r="A51" s="188"/>
      <c r="B51" s="188"/>
      <c r="C51" s="188"/>
      <c r="D51" s="188"/>
      <c r="E51" s="188"/>
      <c r="F51" s="188"/>
      <c r="G51" s="188"/>
      <c r="H51" s="188"/>
      <c r="I51" s="188"/>
      <c r="J51" s="188"/>
      <c r="K51" s="188"/>
      <c r="L51" s="188"/>
      <c r="M51" s="188"/>
      <c r="N51" s="188"/>
      <c r="O51" s="188"/>
      <c r="P51" s="188"/>
      <c r="Q51" s="188"/>
      <c r="R51" s="188"/>
      <c r="S51" s="188"/>
      <c r="T51" s="188"/>
      <c r="U51" s="188"/>
      <c r="V51" s="188"/>
      <c r="W51" s="188"/>
      <c r="X51" s="188"/>
      <c r="Y51" s="188"/>
      <c r="Z51" s="188"/>
      <c r="AA51" s="188"/>
      <c r="AB51" s="188"/>
      <c r="AC51" s="188"/>
      <c r="AD51" s="188"/>
      <c r="AE51" s="188"/>
      <c r="AF51" s="188"/>
      <c r="AG51" s="188"/>
      <c r="AH51" s="188"/>
      <c r="AI51" s="188"/>
      <c r="AJ51" s="188"/>
      <c r="AK51" s="188"/>
      <c r="AL51" s="188"/>
      <c r="AM51" s="188"/>
      <c r="AN51" s="188"/>
      <c r="AO51" s="188"/>
      <c r="AP51" s="188"/>
      <c r="AQ51" s="188"/>
      <c r="AR51" s="188"/>
      <c r="AS51" s="188"/>
      <c r="AT51" s="188"/>
      <c r="AU51" s="188"/>
      <c r="AV51" s="188"/>
      <c r="BD51" s="191"/>
    </row>
    <row r="52" spans="1:61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61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1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1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1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12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1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1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</sheetData>
  <sheetProtection selectLockedCells="1" selectUnlockedCells="1"/>
  <mergeCells count="51">
    <mergeCell ref="AV41:AW41"/>
    <mergeCell ref="AJ41:AK41"/>
    <mergeCell ref="AL41:AM41"/>
    <mergeCell ref="AN41:AO41"/>
    <mergeCell ref="AP41:AQ41"/>
    <mergeCell ref="AR41:AS41"/>
    <mergeCell ref="AT41:AU41"/>
    <mergeCell ref="X41:Y41"/>
    <mergeCell ref="Z41:AA41"/>
    <mergeCell ref="AB41:AC41"/>
    <mergeCell ref="AD41:AE41"/>
    <mergeCell ref="AF41:AG41"/>
    <mergeCell ref="AH41:AI41"/>
    <mergeCell ref="L41:M41"/>
    <mergeCell ref="N41:O41"/>
    <mergeCell ref="P41:Q41"/>
    <mergeCell ref="R41:S41"/>
    <mergeCell ref="T41:U41"/>
    <mergeCell ref="V41:W41"/>
    <mergeCell ref="AN7:AO7"/>
    <mergeCell ref="AP7:AQ7"/>
    <mergeCell ref="AR7:AS7"/>
    <mergeCell ref="AT7:AU7"/>
    <mergeCell ref="AV7:AW7"/>
    <mergeCell ref="B41:C41"/>
    <mergeCell ref="D41:E41"/>
    <mergeCell ref="F41:G41"/>
    <mergeCell ref="H41:I41"/>
    <mergeCell ref="J41:K41"/>
    <mergeCell ref="AB7:AC7"/>
    <mergeCell ref="AD7:AE7"/>
    <mergeCell ref="AF7:AG7"/>
    <mergeCell ref="AH7:AI7"/>
    <mergeCell ref="AJ7:AK7"/>
    <mergeCell ref="AL7:AM7"/>
    <mergeCell ref="P7:Q7"/>
    <mergeCell ref="R7:S7"/>
    <mergeCell ref="T7:U7"/>
    <mergeCell ref="V7:W7"/>
    <mergeCell ref="X7:Y7"/>
    <mergeCell ref="Z7:AA7"/>
    <mergeCell ref="AY4:BB4"/>
    <mergeCell ref="BE4:BH4"/>
    <mergeCell ref="AY5:BB5"/>
    <mergeCell ref="B7:C7"/>
    <mergeCell ref="D7:E7"/>
    <mergeCell ref="F7:G7"/>
    <mergeCell ref="H7:I7"/>
    <mergeCell ref="J7:K7"/>
    <mergeCell ref="L7:M7"/>
    <mergeCell ref="N7:O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12</vt:i4>
      </vt:variant>
    </vt:vector>
  </HeadingPairs>
  <TitlesOfParts>
    <vt:vector size="24" baseType="lpstr">
      <vt:lpstr>janeiro</vt:lpstr>
      <vt:lpstr>fevereiro</vt:lpstr>
      <vt:lpstr>marco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  <vt:lpstr>abril!Area_de_impressao</vt:lpstr>
      <vt:lpstr>agosto!Area_de_impressao</vt:lpstr>
      <vt:lpstr>dezembro!Area_de_impressao</vt:lpstr>
      <vt:lpstr>fevereiro!Area_de_impressao</vt:lpstr>
      <vt:lpstr>janeiro!Area_de_impressao</vt:lpstr>
      <vt:lpstr>julho!Area_de_impressao</vt:lpstr>
      <vt:lpstr>junho!Area_de_impressao</vt:lpstr>
      <vt:lpstr>maio!Area_de_impressao</vt:lpstr>
      <vt:lpstr>marco!Area_de_impressao</vt:lpstr>
      <vt:lpstr>novembro!Area_de_impressao</vt:lpstr>
      <vt:lpstr>outubro!Area_de_impressao</vt:lpstr>
      <vt:lpstr>setembro!Area_de_impressao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2026-03-11T18:46:32Z</dcterms:created>
  <dcterms:modified xsi:type="dcterms:W3CDTF">2026-03-11T18:46:50Z</dcterms:modified>
</cp:coreProperties>
</file>